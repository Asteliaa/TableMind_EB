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8EDE0C4E-3601-406A-AAC2-91379ED4F960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00_Методика" sheetId="1" r:id="rId1"/>
    <sheet name="01_Параметры" sheetId="2" r:id="rId2"/>
    <sheet name="02_Конкуренты_SW" sheetId="3" r:id="rId3"/>
    <sheet name="03_Каналы" sheetId="4" r:id="rId4"/>
    <sheet name="04_География" sheetId="5" r:id="rId5"/>
    <sheet name="05_Запросы" sheetId="6" r:id="rId6"/>
    <sheet name="06_Воронка_сценарии" sheetId="7" r:id="rId7"/>
    <sheet name="07_Дашборд" sheetId="8" r:id="rId8"/>
    <sheet name="08_Ист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8" l="1"/>
  <c r="B3" i="8"/>
  <c r="E15" i="7"/>
  <c r="C15" i="7"/>
  <c r="A15" i="7"/>
  <c r="G6" i="5"/>
  <c r="G5" i="5"/>
  <c r="G4" i="5"/>
  <c r="G3" i="5"/>
  <c r="K15" i="3"/>
  <c r="J15" i="3"/>
  <c r="E15" i="3"/>
  <c r="G14" i="3"/>
  <c r="G13" i="3"/>
  <c r="H13" i="3" s="1"/>
  <c r="G12" i="3"/>
  <c r="H12" i="3" s="1"/>
  <c r="G11" i="3"/>
  <c r="H11" i="3" s="1"/>
  <c r="G10" i="3"/>
  <c r="H10" i="3" s="1"/>
  <c r="G9" i="3"/>
  <c r="G8" i="3"/>
  <c r="H8" i="3" s="1"/>
  <c r="G7" i="3"/>
  <c r="G6" i="3"/>
  <c r="G5" i="3"/>
  <c r="H5" i="3" s="1"/>
  <c r="G4" i="3"/>
  <c r="G3" i="3"/>
  <c r="B7" i="2"/>
  <c r="F3" i="8" s="1"/>
  <c r="R15" i="3" l="1"/>
  <c r="B8" i="4" s="1"/>
  <c r="B19" i="8" s="1"/>
  <c r="I10" i="3"/>
  <c r="I13" i="3"/>
  <c r="Q15" i="3"/>
  <c r="B7" i="4" s="1"/>
  <c r="H7" i="4" s="1"/>
  <c r="I14" i="3"/>
  <c r="I7" i="3"/>
  <c r="B8" i="2"/>
  <c r="C4" i="7" s="1"/>
  <c r="H4" i="7" s="1"/>
  <c r="I4" i="7" s="1"/>
  <c r="J4" i="7" s="1"/>
  <c r="I4" i="3"/>
  <c r="I9" i="3"/>
  <c r="H7" i="3"/>
  <c r="I12" i="3"/>
  <c r="G15" i="3"/>
  <c r="B5" i="8"/>
  <c r="I6" i="3"/>
  <c r="H14" i="3"/>
  <c r="M15" i="3"/>
  <c r="B3" i="4" s="1"/>
  <c r="I11" i="3"/>
  <c r="I8" i="3"/>
  <c r="H9" i="3"/>
  <c r="N15" i="3"/>
  <c r="B4" i="4" s="1"/>
  <c r="I5" i="3"/>
  <c r="H3" i="3"/>
  <c r="I3" i="3"/>
  <c r="H4" i="3"/>
  <c r="O15" i="3"/>
  <c r="B5" i="4" s="1"/>
  <c r="H6" i="3"/>
  <c r="P15" i="3"/>
  <c r="B6" i="4" s="1"/>
  <c r="H3" i="8" l="1"/>
  <c r="C6" i="7"/>
  <c r="H6" i="7" s="1"/>
  <c r="I6" i="7" s="1"/>
  <c r="J6" i="7" s="1"/>
  <c r="B10" i="8" s="1"/>
  <c r="H8" i="4"/>
  <c r="B18" i="8"/>
  <c r="B11" i="2"/>
  <c r="C7" i="4" s="1"/>
  <c r="C18" i="8" s="1"/>
  <c r="C5" i="7"/>
  <c r="H5" i="7" s="1"/>
  <c r="I5" i="7" s="1"/>
  <c r="J5" i="7" s="1"/>
  <c r="B9" i="8" s="1"/>
  <c r="B9" i="2"/>
  <c r="B12" i="2" s="1"/>
  <c r="B9" i="7"/>
  <c r="D9" i="7" s="1"/>
  <c r="B8" i="8"/>
  <c r="B16" i="7"/>
  <c r="B4" i="8"/>
  <c r="H15" i="3"/>
  <c r="H3" i="4"/>
  <c r="J4" i="8"/>
  <c r="B14" i="8"/>
  <c r="D5" i="8"/>
  <c r="I15" i="3"/>
  <c r="B17" i="8"/>
  <c r="H6" i="4"/>
  <c r="H4" i="4"/>
  <c r="B15" i="8"/>
  <c r="H5" i="4"/>
  <c r="C5" i="4"/>
  <c r="B16" i="8"/>
  <c r="D4" i="8" l="1"/>
  <c r="B10" i="7"/>
  <c r="D10" i="7" s="1"/>
  <c r="C9" i="8" s="1"/>
  <c r="D16" i="7"/>
  <c r="C3" i="4"/>
  <c r="F4" i="8"/>
  <c r="B11" i="7"/>
  <c r="D11" i="7" s="1"/>
  <c r="B17" i="7" s="1"/>
  <c r="B6" i="8" s="1"/>
  <c r="F16" i="7"/>
  <c r="C6" i="5"/>
  <c r="D6" i="5" s="1"/>
  <c r="C4" i="4"/>
  <c r="J3" i="8"/>
  <c r="D3" i="6"/>
  <c r="G3" i="6" s="1"/>
  <c r="C8" i="4"/>
  <c r="C19" i="8" s="1"/>
  <c r="D7" i="4"/>
  <c r="D4" i="6"/>
  <c r="G4" i="6" s="1"/>
  <c r="C6" i="4"/>
  <c r="D6" i="4" s="1"/>
  <c r="C3" i="5"/>
  <c r="D3" i="5" s="1"/>
  <c r="D5" i="6"/>
  <c r="G5" i="6" s="1"/>
  <c r="D6" i="6"/>
  <c r="G6" i="6" s="1"/>
  <c r="C4" i="5"/>
  <c r="D4" i="5" s="1"/>
  <c r="C5" i="5"/>
  <c r="D5" i="5" s="1"/>
  <c r="D5" i="4"/>
  <c r="C16" i="8"/>
  <c r="D3" i="4"/>
  <c r="C14" i="8"/>
  <c r="F15" i="7"/>
  <c r="C10" i="8"/>
  <c r="C15" i="8"/>
  <c r="D4" i="4"/>
  <c r="C8" i="8"/>
  <c r="B15" i="7"/>
  <c r="H4" i="8" l="1"/>
  <c r="D15" i="7"/>
  <c r="F5" i="8"/>
  <c r="C17" i="8"/>
  <c r="H5" i="8"/>
  <c r="D8" i="4"/>
</calcChain>
</file>

<file path=xl/sharedStrings.xml><?xml version="1.0" encoding="utf-8"?>
<sst xmlns="http://schemas.openxmlformats.org/spreadsheetml/2006/main" count="488" uniqueCount="363">
  <si>
    <t>Методика оценки объема рынка электронного бизнеса по данным Similarweb</t>
  </si>
  <si>
    <t>Блок</t>
  </si>
  <si>
    <t>Цель</t>
  </si>
  <si>
    <t>Действие</t>
  </si>
  <si>
    <t>Что фиксировать</t>
  </si>
  <si>
    <t>Расчетный результат</t>
  </si>
  <si>
    <t>Ограничения</t>
  </si>
  <si>
    <t>Лист Excel</t>
  </si>
  <si>
    <t>Выходной вывод</t>
  </si>
  <si>
    <t>1. Границы рынка</t>
  </si>
  <si>
    <t>Уточнить, какой рынок оценивается</t>
  </si>
  <si>
    <t>Зафиксировать продукт, географию, аудиторию и цифровые каналы</t>
  </si>
  <si>
    <t>Название рынка, территория, период, сегменты</t>
  </si>
  <si>
    <t>Паспорт расчетной модели</t>
  </si>
  <si>
    <t>Без границ рынка трафик конкурентов нельзя трактовать как объем рынка</t>
  </si>
  <si>
    <t>01_Параметры</t>
  </si>
  <si>
    <t>Что именно считается рынком</t>
  </si>
  <si>
    <t>2. Конкуренты</t>
  </si>
  <si>
    <t>Определить ядро цифрового рынка</t>
  </si>
  <si>
    <t>Собрать сайты прямых и частичных конкурентов</t>
  </si>
  <si>
    <t>Домен, сегмент, тип конкурента</t>
  </si>
  <si>
    <t>Список цифровых игроков</t>
  </si>
  <si>
    <t>Малые сайты могут отображаться неполно</t>
  </si>
  <si>
    <t>02_Конкуренты_SW</t>
  </si>
  <si>
    <t>Кто формирует цифровое предложение</t>
  </si>
  <si>
    <t>3. Трафик</t>
  </si>
  <si>
    <t>Оценить цифровой масштаб сегмента</t>
  </si>
  <si>
    <t>Внести посещения, географическую долю и релевантность</t>
  </si>
  <si>
    <t>Monthly visits, доля выбранной географии, релевантная доля</t>
  </si>
  <si>
    <t>Релевантный месячный и годовой трафик</t>
  </si>
  <si>
    <t>Трафик не равен покупкам</t>
  </si>
  <si>
    <t>Насколько велик цифровой поток аудитории</t>
  </si>
  <si>
    <t>4. Каналы</t>
  </si>
  <si>
    <t>Понять структуру привлечения аудитории</t>
  </si>
  <si>
    <t>Разложить трафик по Direct, Organic, Referral, Social, Paid, Mail, Display</t>
  </si>
  <si>
    <t>Доли каналов по конкурентам</t>
  </si>
  <si>
    <t>Канальная структура рынка</t>
  </si>
  <si>
    <t>Доли каналов оценочные</t>
  </si>
  <si>
    <t>03_Каналы</t>
  </si>
  <si>
    <t>Какие каналы важны для входа на рынок</t>
  </si>
  <si>
    <t>5. География</t>
  </si>
  <si>
    <t>Проверить территориальную концентрацию спроса</t>
  </si>
  <si>
    <t>Сопоставить страны/регионы по доле трафика</t>
  </si>
  <si>
    <t>Страна, доля, интерпретация</t>
  </si>
  <si>
    <t>Приоритетные географии</t>
  </si>
  <si>
    <t>Доля трафика не равна платежеспособности</t>
  </si>
  <si>
    <t>04_География</t>
  </si>
  <si>
    <t>Где целесообразно анализировать рынок</t>
  </si>
  <si>
    <t>6. Поиск</t>
  </si>
  <si>
    <t>Определить коммерческий спрос внутри трафика</t>
  </si>
  <si>
    <t>Зафиксировать ключевые запросы и намерение аудитории</t>
  </si>
  <si>
    <t>Запрос, доля или объем, тип намерения</t>
  </si>
  <si>
    <t>Индекс коммерческого интереса</t>
  </si>
  <si>
    <t>Запросы видны неполно в бесплатном доступе</t>
  </si>
  <si>
    <t>05_Запросы</t>
  </si>
  <si>
    <t>Какие потребности приводят аудиторию</t>
  </si>
  <si>
    <t>7. Воронка</t>
  </si>
  <si>
    <t>Перевести трафик в возможные заказы</t>
  </si>
  <si>
    <t>Задать конверсии и средний чек</t>
  </si>
  <si>
    <t>CR в заявку, CR в продажу, средний чек</t>
  </si>
  <si>
    <t>Оценка объема рынка в деньгах</t>
  </si>
  <si>
    <t>Конверсии задаются сценарно</t>
  </si>
  <si>
    <t>06_Воронка_сценарии</t>
  </si>
  <si>
    <t>Диапазон рынка по сценариям</t>
  </si>
  <si>
    <t>8. Проверка</t>
  </si>
  <si>
    <t>Снизить риск завышения оценки</t>
  </si>
  <si>
    <t>Сопоставить расчет с другими источниками</t>
  </si>
  <si>
    <t>Google Trends, Вордстат, статистика, рекламные кабинеты</t>
  </si>
  <si>
    <t>Уточненный диапазон оценки</t>
  </si>
  <si>
    <t>Источники измеряют разные показатели</t>
  </si>
  <si>
    <t>08_Источники</t>
  </si>
  <si>
    <t>Насколько расчет устойчив</t>
  </si>
  <si>
    <t>Ключевая расчетная логика</t>
  </si>
  <si>
    <t>1</t>
  </si>
  <si>
    <t>Наблюдаемый цифровой сегмент</t>
  </si>
  <si>
    <t>Сумма релевантного трафика выбранных конкурентов</t>
  </si>
  <si>
    <t>= сумма посещений × доля географии × доля релевантности</t>
  </si>
  <si>
    <t>2</t>
  </si>
  <si>
    <t>Оценка всего цифрового рынка</t>
  </si>
  <si>
    <t>Наблюдаемый сегмент / коэффициент покрытия конкурентов</t>
  </si>
  <si>
    <t>Если список конкурентов покрывает 70% рынка, общий рынок = наблюдаемый трафик / 70%</t>
  </si>
  <si>
    <t>3</t>
  </si>
  <si>
    <t>Оценка заявок</t>
  </si>
  <si>
    <t>Рыночный трафик × конверсия в заявку</t>
  </si>
  <si>
    <t>Конверсия задается по сценариям</t>
  </si>
  <si>
    <t>4</t>
  </si>
  <si>
    <t>Оценка продаж</t>
  </si>
  <si>
    <t>Заявки × конверсия в продажу</t>
  </si>
  <si>
    <t>Отражает платежеспособный спрос</t>
  </si>
  <si>
    <t>5</t>
  </si>
  <si>
    <t>Денежный объем</t>
  </si>
  <si>
    <t>Продажи × средний чек × повторные покупки</t>
  </si>
  <si>
    <t>Итоговый объем рынка за год</t>
  </si>
  <si>
    <t>Параметры оценки рынка</t>
  </si>
  <si>
    <t>Параметр</t>
  </si>
  <si>
    <t>Значение</t>
  </si>
  <si>
    <t>Единица / формат</t>
  </si>
  <si>
    <t>Комментарий</t>
  </si>
  <si>
    <t>Название рынка</t>
  </si>
  <si>
    <t>текст</t>
  </si>
  <si>
    <t>Замените на ваш рынок</t>
  </si>
  <si>
    <t>Географическая граница</t>
  </si>
  <si>
    <t>Страна, регион или город</t>
  </si>
  <si>
    <t>Период анализа</t>
  </si>
  <si>
    <t>Период, показанный в Similarweb</t>
  </si>
  <si>
    <t>Дата фиксации данных</t>
  </si>
  <si>
    <t>дата</t>
  </si>
  <si>
    <t>Количество конкурентов в выборке</t>
  </si>
  <si>
    <t>формула</t>
  </si>
  <si>
    <t>Наблюдаемый релевантный трафик, мес.</t>
  </si>
  <si>
    <t>посещения</t>
  </si>
  <si>
    <t>Сумма по конкурентам</t>
  </si>
  <si>
    <t>Наблюдаемый релевантный трафик, год</t>
  </si>
  <si>
    <t>Годовая оценка</t>
  </si>
  <si>
    <t>Коэффициент покрытия конкурентов</t>
  </si>
  <si>
    <t>%</t>
  </si>
  <si>
    <t>Оцените, какую долю рынка покрывает список конкурентов</t>
  </si>
  <si>
    <t>Оценка всего цифрового трафика рынка, мес.</t>
  </si>
  <si>
    <t>Наблюдаемый трафик / покрытие</t>
  </si>
  <si>
    <t>Оценка всего цифрового трафика рынка, год</t>
  </si>
  <si>
    <t>Правила заполнения</t>
  </si>
  <si>
    <t>Сначала зафиксируйте границы рынка</t>
  </si>
  <si>
    <t>Без этого нельзя решить, какие сайты считать конкурентами</t>
  </si>
  <si>
    <t>В Similarweb соберите данные по 5–20 сайтам</t>
  </si>
  <si>
    <t>Чем шире выборка, тем устойчивее оценка</t>
  </si>
  <si>
    <t>Вносите только сопоставимый период</t>
  </si>
  <si>
    <t>Например, последние 3 месяца для всех сайтов</t>
  </si>
  <si>
    <t>Разделяйте весь трафик и релевантный трафик</t>
  </si>
  <si>
    <t>Не все посещения сайта относятся к анализируемому рынку</t>
  </si>
  <si>
    <t>Итог давайте диапазоном</t>
  </si>
  <si>
    <t>Осторожный, базовый и оптимистичный сценарии</t>
  </si>
  <si>
    <t>Ввод данных Similarweb по конкурентам</t>
  </si>
  <si>
    <t>Домен</t>
  </si>
  <si>
    <t>Название / конкурент</t>
  </si>
  <si>
    <t>Сегмент</t>
  </si>
  <si>
    <t>Тип</t>
  </si>
  <si>
    <t>Monthly visits</t>
  </si>
  <si>
    <t>Релевантный трафик, мес.</t>
  </si>
  <si>
    <t>Релевантный трафик, год</t>
  </si>
  <si>
    <t>Доля рынка по трафику</t>
  </si>
  <si>
    <t>Bounce rate</t>
  </si>
  <si>
    <t>Pages / visit</t>
  </si>
  <si>
    <t>Avg duration</t>
  </si>
  <si>
    <t>Direct</t>
  </si>
  <si>
    <t>Organic search</t>
  </si>
  <si>
    <t>Referral</t>
  </si>
  <si>
    <t>Social</t>
  </si>
  <si>
    <t>Paid search</t>
  </si>
  <si>
    <t>Display</t>
  </si>
  <si>
    <t>example-agency.by</t>
  </si>
  <si>
    <t>прямой</t>
  </si>
  <si>
    <t>частичный</t>
  </si>
  <si>
    <t>заменитель</t>
  </si>
  <si>
    <t>ИТОГО / среднее</t>
  </si>
  <si>
    <t>Канальная структура рынка по данным Similarweb</t>
  </si>
  <si>
    <t>Канал</t>
  </si>
  <si>
    <t>Средневзвешенная доля</t>
  </si>
  <si>
    <t>Оценка рыночного трафика, мес.</t>
  </si>
  <si>
    <t>Оценка рыночного трафика, год</t>
  </si>
  <si>
    <t>Коммерческая интерпретация</t>
  </si>
  <si>
    <t>Ограничение</t>
  </si>
  <si>
    <t>Приоритет</t>
  </si>
  <si>
    <t>Сила бренда и повторные посещения</t>
  </si>
  <si>
    <t>Узнаваемость конкурентов, прямые заходы</t>
  </si>
  <si>
    <t>Не всегда означает новый спрос</t>
  </si>
  <si>
    <t>Поисковый спрос и эффективность содержания</t>
  </si>
  <si>
    <t>Семантическое ядро, видимость в поиске</t>
  </si>
  <si>
    <t>Запросы могут быть информационными</t>
  </si>
  <si>
    <t>Партнерские и справочные источники</t>
  </si>
  <si>
    <t>Каталоги, публикации, партнеры</t>
  </si>
  <si>
    <t>Часть переходов может быть нерелевантна</t>
  </si>
  <si>
    <t>Спрос через социальные сети</t>
  </si>
  <si>
    <t>Активность в соцсетях и сообществах</t>
  </si>
  <si>
    <t>Социальный трафик не всегда конверсионный</t>
  </si>
  <si>
    <t>Платный спрос и рекламная конкуренция</t>
  </si>
  <si>
    <t>Стоимость клика, рекламные объявления</t>
  </si>
  <si>
    <t>Высокая доля может отражать закупку трафика</t>
  </si>
  <si>
    <t>Медийная реклама и охват</t>
  </si>
  <si>
    <t>Баннеры, ретаргетинг</t>
  </si>
  <si>
    <t>Слабее связан с намерением покупки</t>
  </si>
  <si>
    <t>Географическая структура цифрового рынка</t>
  </si>
  <si>
    <t>Страна / регион</t>
  </si>
  <si>
    <t>Оценка месячного трафика рынка</t>
  </si>
  <si>
    <t>Оценка годового трафика рынка</t>
  </si>
  <si>
    <t>Платежеспособность / доступность</t>
  </si>
  <si>
    <t>Конкурентная плотность</t>
  </si>
  <si>
    <t>Приоритет рынка</t>
  </si>
  <si>
    <t>средняя</t>
  </si>
  <si>
    <t>высокая</t>
  </si>
  <si>
    <t>Поисковые запросы и коммерческий интерес</t>
  </si>
  <si>
    <t>Запрос / ключевая фраза</t>
  </si>
  <si>
    <t>Источник</t>
  </si>
  <si>
    <t>Доля поискового трафика</t>
  </si>
  <si>
    <t>Оценочный месячный трафик</t>
  </si>
  <si>
    <t>Тип намерения</t>
  </si>
  <si>
    <t>Коммерческий вес</t>
  </si>
  <si>
    <t>Решение</t>
  </si>
  <si>
    <t>включить</t>
  </si>
  <si>
    <t>проблемный</t>
  </si>
  <si>
    <t>исключить</t>
  </si>
  <si>
    <t>Расчет объема рынка через цифровую воронку и сценарии</t>
  </si>
  <si>
    <t>Сценарные допущения</t>
  </si>
  <si>
    <t>Сценарий</t>
  </si>
  <si>
    <t>Оценка рынка: посещения/мес.</t>
  </si>
  <si>
    <t>Конверсия в заявку</t>
  </si>
  <si>
    <t>Конверсия заявки в продажу</t>
  </si>
  <si>
    <t>Средний чек</t>
  </si>
  <si>
    <t>Покупок/клиента в год</t>
  </si>
  <si>
    <t>Заказов/мес.</t>
  </si>
  <si>
    <t>Выручка/мес.</t>
  </si>
  <si>
    <t>Выручка/год</t>
  </si>
  <si>
    <t>Осторожный</t>
  </si>
  <si>
    <t>Базовый</t>
  </si>
  <si>
    <t>Оптимистичный</t>
  </si>
  <si>
    <t>Достижимая доля нового бизнеса (SOM)</t>
  </si>
  <si>
    <t>Рыночная выручка/год</t>
  </si>
  <si>
    <t>Достижимая доля нового бизнеса</t>
  </si>
  <si>
    <t>Потенциальная выручка нового бизнеса/год</t>
  </si>
  <si>
    <t>Первые клиенты, тестирование канала</t>
  </si>
  <si>
    <t>Не учитывать как гарантированный доход</t>
  </si>
  <si>
    <t>Устойчивый канал привлечения</t>
  </si>
  <si>
    <t>Сильное позиционирование и повторные продажи</t>
  </si>
  <si>
    <t>Формула итогового вывода</t>
  </si>
  <si>
    <t>Оценочный цифровой объем рынка за год определяется как диапазон между осторожным и оптимистичным сценариями.</t>
  </si>
  <si>
    <t>Минимум</t>
  </si>
  <si>
    <t>База</t>
  </si>
  <si>
    <t>Максимум</t>
  </si>
  <si>
    <t>Единица</t>
  </si>
  <si>
    <t>Рыночная выручка минимум</t>
  </si>
  <si>
    <t>Рыночная выручка база</t>
  </si>
  <si>
    <t>Рыночная выручка максимум</t>
  </si>
  <si>
    <t>Вывод</t>
  </si>
  <si>
    <t>Итоговая панель оценки объема рынка по Similarweb</t>
  </si>
  <si>
    <t>Ключевые показатели</t>
  </si>
  <si>
    <t>Рынок</t>
  </si>
  <si>
    <t>География</t>
  </si>
  <si>
    <t>Конкурентов</t>
  </si>
  <si>
    <t>Наблюдаемый трафик/мес.</t>
  </si>
  <si>
    <t>Оценка трафика рынка/мес.</t>
  </si>
  <si>
    <t>Осторожный рынок/год</t>
  </si>
  <si>
    <t>Базовый рынок/год</t>
  </si>
  <si>
    <t>Оптимистичный рынок/год</t>
  </si>
  <si>
    <t>SOM базовый/год</t>
  </si>
  <si>
    <t>Главный канал</t>
  </si>
  <si>
    <t>Главный конкурент</t>
  </si>
  <si>
    <t>Доля главного конкурента</t>
  </si>
  <si>
    <t>Главный поисковый запрос</t>
  </si>
  <si>
    <t>Коммерческий индекс</t>
  </si>
  <si>
    <t>Итоговый вывод</t>
  </si>
  <si>
    <t>Рынок, год</t>
  </si>
  <si>
    <t>SOM нового бизнеса, год</t>
  </si>
  <si>
    <t>Доля</t>
  </si>
  <si>
    <t>Трафик/мес.</t>
  </si>
  <si>
    <t>Источники данных и журнал фиксации</t>
  </si>
  <si>
    <t>Что брать</t>
  </si>
  <si>
    <t>Как фиксировать</t>
  </si>
  <si>
    <t>Ссылка</t>
  </si>
  <si>
    <t>Дата обращения</t>
  </si>
  <si>
    <t>Similarweb Website Analysis</t>
  </si>
  <si>
    <t>Посещаемость, каналы, география, похожие сайты, поисковые запросы</t>
  </si>
  <si>
    <t>https://www.similarweb.com/website/</t>
  </si>
  <si>
    <t>Данные оценочные, полнота зависит от доступа</t>
  </si>
  <si>
    <t>Similarweb Data Methodology</t>
  </si>
  <si>
    <t>Описание природы и ограничений данных</t>
  </si>
  <si>
    <t>Использовать для методологических оговорок</t>
  </si>
  <si>
    <t>https://support.similarweb.com/hc/en-us/articles/360001631538-Similarweb-Data-Methodology</t>
  </si>
  <si>
    <t>Методология может обновляться</t>
  </si>
  <si>
    <t>Similarweb Data Exporter</t>
  </si>
  <si>
    <t>Выгрузка настраиваемых наборов данных</t>
  </si>
  <si>
    <t>Использовать при наличии платного доступа или единиц извлечения</t>
  </si>
  <si>
    <t>https://support.similarweb.com/hc/en-us/articles/13252032019101-Data-Exporter</t>
  </si>
  <si>
    <t>Может быть недоступно в бесплатной версии</t>
  </si>
  <si>
    <t>Google Trends</t>
  </si>
  <si>
    <t>Динамика относительного поискового интереса</t>
  </si>
  <si>
    <t>CSV-выгрузка и фиксация параметров</t>
  </si>
  <si>
    <t>https://trends.google.com/</t>
  </si>
  <si>
    <t>Индекс 0–100, не абсолютный объем спроса</t>
  </si>
  <si>
    <t>Яндекс Вордстат</t>
  </si>
  <si>
    <t>Частотность и динамика поисковых запросов</t>
  </si>
  <si>
    <t>https://wordstat.yandex.ru/</t>
  </si>
  <si>
    <t>Отражает аудиторию Яндекса</t>
  </si>
  <si>
    <t>Белстат / официальная статистика</t>
  </si>
  <si>
    <t>Количество организаций, отрасли, население, доходы</t>
  </si>
  <si>
    <t>Использовать для проверки сегмента клиентов</t>
  </si>
  <si>
    <t>https://www.belstat.gov.by/</t>
  </si>
  <si>
    <t>Официальные категории могут не совпадать с цифровым рынком</t>
  </si>
  <si>
    <t>Дата</t>
  </si>
  <si>
    <t>Сайт / домен</t>
  </si>
  <si>
    <t>Раздел Similarweb</t>
  </si>
  <si>
    <t>Показатель</t>
  </si>
  <si>
    <t>Комментарий / снимок экрана</t>
  </si>
  <si>
    <t>Traffic &amp; Engagement</t>
  </si>
  <si>
    <t>Онлайн-проверка Excel-моделей и финансовых таблиц (TableMind)</t>
  </si>
  <si>
    <t>Англоязычные страны и ЕС-27</t>
  </si>
  <si>
    <t>последние 3 месяца (06-08.2026)</t>
  </si>
  <si>
    <t>Доля целевой географии x релевантность x качество</t>
  </si>
  <si>
    <t>shortcut.ai</t>
  </si>
  <si>
    <t>Shortcut</t>
  </si>
  <si>
    <t>AI-агент для Excel</t>
  </si>
  <si>
    <t>Similarweb Pro, 06-08.2026, 03.10.2026</t>
  </si>
  <si>
    <t>perfectxl.com</t>
  </si>
  <si>
    <t>PerfectXL</t>
  </si>
  <si>
    <t>аудит таблиц</t>
  </si>
  <si>
    <t>rows.com</t>
  </si>
  <si>
    <t>Rows</t>
  </si>
  <si>
    <t>AI-таблицы</t>
  </si>
  <si>
    <t>numerous.ai</t>
  </si>
  <si>
    <t>Numerous.ai</t>
  </si>
  <si>
    <t>AI-помощник в таблицах</t>
  </si>
  <si>
    <t>operis.com</t>
  </si>
  <si>
    <t>Operis</t>
  </si>
  <si>
    <t>аудит финансовых моделей</t>
  </si>
  <si>
    <t>arixcel.com</t>
  </si>
  <si>
    <t>Arixcel</t>
  </si>
  <si>
    <t>formulabot.com</t>
  </si>
  <si>
    <t>Formula Bot</t>
  </si>
  <si>
    <t>ajelix.com</t>
  </si>
  <si>
    <t>Ajelix</t>
  </si>
  <si>
    <t>datarails.com</t>
  </si>
  <si>
    <t>Datarails</t>
  </si>
  <si>
    <t>FP&amp;A-платформа для Excel</t>
  </si>
  <si>
    <t>julius.ai</t>
  </si>
  <si>
    <t>Julius AI</t>
  </si>
  <si>
    <t>AI-анализ данных</t>
  </si>
  <si>
    <t>spreadsheetdetective.com</t>
  </si>
  <si>
    <t>Spreadsheet Detective</t>
  </si>
  <si>
    <t>cimcon.com</t>
  </si>
  <si>
    <t>CIMCON Software</t>
  </si>
  <si>
    <t>риски пользовательских таблиц</t>
  </si>
  <si>
    <t>США</t>
  </si>
  <si>
    <t>Великобритания</t>
  </si>
  <si>
    <t>ЕС-27 и Канада, Австралия (из топ-5 стран сайтов)</t>
  </si>
  <si>
    <t>Вне границ проекта или не раскрыто (Индия, Бразилия, остальные страны)</t>
  </si>
  <si>
    <t>н/д</t>
  </si>
  <si>
    <t>низкая</t>
  </si>
  <si>
    <t>Англоязычный рынок вне США</t>
  </si>
  <si>
    <t>Расширение на ЕС после MVP</t>
  </si>
  <si>
    <t>Индия и другие страны вне границ проекта</t>
  </si>
  <si>
    <t>Доля визитов 12 сайтов (по топ-5 стран каждого)</t>
  </si>
  <si>
    <t>запросы о проверке и аудите (инструментальные и услуговые)</t>
  </si>
  <si>
    <t>инструментальный и услуговый</t>
  </si>
  <si>
    <t>проблемные запросы (ошибки в формулах)</t>
  </si>
  <si>
    <t>Потребность есть, нужна коммерческая проверка</t>
  </si>
  <si>
    <t>AI-запросы (Copilot, ChatGPT, нейросети для Excel)</t>
  </si>
  <si>
    <t>AI-инструменты</t>
  </si>
  <si>
    <t>включить частично</t>
  </si>
  <si>
    <t>Конкурентное поле заменителей</t>
  </si>
  <si>
    <t>прочие запросы выборки</t>
  </si>
  <si>
    <t>прочее</t>
  </si>
  <si>
    <t>Не подтверждают платежеспособный спрос</t>
  </si>
  <si>
    <t>-</t>
  </si>
  <si>
    <t>Рекомендация</t>
  </si>
  <si>
    <t>Основной рынок - англоязычные страны</t>
  </si>
  <si>
    <t>ЛР1 - структура намерений выборки топов Вордстата (4 578 запросов)</t>
  </si>
  <si>
    <t>Прямой спрос - проверить файл, заказать аудит</t>
  </si>
  <si>
    <t>у.е./год</t>
  </si>
  <si>
    <t>Дата выгрузки</t>
  </si>
  <si>
    <t>Основание - конкурентный анализ</t>
  </si>
  <si>
    <t>Основание - данные продаж после запуска</t>
  </si>
  <si>
    <t>Выгрузка и фиксация данных</t>
  </si>
  <si>
    <t>Рассчитывается автоматически</t>
  </si>
  <si>
    <t>Выгрузка CSV/XLSX или снимок интерфейса</t>
  </si>
  <si>
    <t>Журнал сбора данных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</si>
</sst>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0.0"/>
    <numFmt numFmtId="167" formatCode="#,##0\ &quot;у.е.&quot;"/>
  </numFmts>
  <fonts count="6">
    <font>
      <sz val="11"/>
      <name val="Carlito"/>
    </font>
    <font>
      <sz val="11"/>
      <name val="Carlito"/>
    </font>
    <font>
      <b/>
      <sz val="11"/>
      <color rgb="FFFFFFFF"/>
      <name val="Calibri"/>
      <family val="2"/>
      <charset val="204"/>
    </font>
    <font>
      <b/>
      <sz val="14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i/>
      <sz val="11"/>
      <color rgb="FF1F3864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AF1FB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4" fillId="0" borderId="0" xfId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3" borderId="1" xfId="1" applyFont="1" applyFill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2" fillId="3" borderId="4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0" borderId="4" xfId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64" fontId="4" fillId="0" borderId="1" xfId="1" applyNumberFormat="1" applyFont="1" applyBorder="1" applyAlignment="1">
      <alignment horizontal="center" vertical="center" wrapText="1"/>
    </xf>
    <xf numFmtId="164" fontId="4" fillId="0" borderId="2" xfId="1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3" fontId="4" fillId="0" borderId="1" xfId="1" applyNumberFormat="1" applyFont="1" applyBorder="1" applyAlignment="1">
      <alignment horizontal="center" vertical="center" wrapText="1"/>
    </xf>
    <xf numFmtId="3" fontId="4" fillId="0" borderId="2" xfId="1" applyNumberFormat="1" applyFont="1" applyBorder="1" applyAlignment="1">
      <alignment horizontal="center" vertical="center" wrapText="1"/>
    </xf>
    <xf numFmtId="3" fontId="4" fillId="0" borderId="3" xfId="1" applyNumberFormat="1" applyFont="1" applyBorder="1" applyAlignment="1">
      <alignment horizontal="center" vertical="center" wrapText="1"/>
    </xf>
    <xf numFmtId="9" fontId="4" fillId="0" borderId="1" xfId="1" applyNumberFormat="1" applyFont="1" applyBorder="1" applyAlignment="1">
      <alignment horizontal="center" vertical="center" wrapText="1"/>
    </xf>
    <xf numFmtId="165" fontId="4" fillId="0" borderId="1" xfId="1" applyNumberFormat="1" applyFont="1" applyBorder="1" applyAlignment="1">
      <alignment horizontal="center" vertical="center" wrapText="1"/>
    </xf>
    <xf numFmtId="165" fontId="4" fillId="0" borderId="2" xfId="1" applyNumberFormat="1" applyFont="1" applyBorder="1" applyAlignment="1">
      <alignment horizontal="center" vertical="center" wrapText="1"/>
    </xf>
    <xf numFmtId="166" fontId="4" fillId="0" borderId="1" xfId="1" applyNumberFormat="1" applyFont="1" applyBorder="1" applyAlignment="1">
      <alignment horizontal="center" vertical="center" wrapText="1"/>
    </xf>
    <xf numFmtId="166" fontId="4" fillId="0" borderId="2" xfId="1" applyNumberFormat="1" applyFont="1" applyBorder="1" applyAlignment="1">
      <alignment horizontal="center" vertical="center" wrapText="1"/>
    </xf>
    <xf numFmtId="21" fontId="4" fillId="0" borderId="1" xfId="0" applyNumberFormat="1" applyFont="1" applyBorder="1" applyAlignment="1">
      <alignment horizontal="center" vertical="center" wrapText="1"/>
    </xf>
    <xf numFmtId="0" fontId="4" fillId="5" borderId="1" xfId="1" applyFont="1" applyFill="1" applyBorder="1" applyAlignment="1">
      <alignment horizontal="left" vertical="center" wrapText="1"/>
    </xf>
    <xf numFmtId="0" fontId="4" fillId="5" borderId="2" xfId="1" applyFont="1" applyFill="1" applyBorder="1" applyAlignment="1">
      <alignment horizontal="left" vertical="center" wrapText="1"/>
    </xf>
    <xf numFmtId="0" fontId="4" fillId="5" borderId="1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0" fontId="4" fillId="5" borderId="3" xfId="1" applyFont="1" applyFill="1" applyBorder="1" applyAlignment="1">
      <alignment horizontal="center" vertical="center" wrapText="1"/>
    </xf>
    <xf numFmtId="3" fontId="4" fillId="5" borderId="1" xfId="1" applyNumberFormat="1" applyFont="1" applyFill="1" applyBorder="1" applyAlignment="1">
      <alignment horizontal="center" vertical="center" wrapText="1"/>
    </xf>
    <xf numFmtId="3" fontId="4" fillId="5" borderId="2" xfId="1" applyNumberFormat="1" applyFont="1" applyFill="1" applyBorder="1" applyAlignment="1">
      <alignment horizontal="center" vertical="center" wrapText="1"/>
    </xf>
    <xf numFmtId="3" fontId="4" fillId="5" borderId="3" xfId="1" applyNumberFormat="1" applyFont="1" applyFill="1" applyBorder="1" applyAlignment="1">
      <alignment horizontal="center" vertical="center" wrapText="1"/>
    </xf>
    <xf numFmtId="165" fontId="4" fillId="5" borderId="2" xfId="1" applyNumberFormat="1" applyFont="1" applyFill="1" applyBorder="1" applyAlignment="1">
      <alignment horizontal="center" vertical="center" wrapText="1"/>
    </xf>
    <xf numFmtId="166" fontId="4" fillId="5" borderId="2" xfId="1" applyNumberFormat="1" applyFont="1" applyFill="1" applyBorder="1" applyAlignment="1">
      <alignment horizontal="center" vertical="center" wrapText="1"/>
    </xf>
    <xf numFmtId="167" fontId="4" fillId="0" borderId="1" xfId="1" applyNumberFormat="1" applyFont="1" applyBorder="1" applyAlignment="1">
      <alignment horizontal="center" vertical="center" wrapText="1"/>
    </xf>
    <xf numFmtId="167" fontId="4" fillId="0" borderId="2" xfId="1" applyNumberFormat="1" applyFont="1" applyBorder="1" applyAlignment="1">
      <alignment horizontal="center" vertical="center" wrapText="1"/>
    </xf>
    <xf numFmtId="167" fontId="4" fillId="0" borderId="3" xfId="1" applyNumberFormat="1" applyFont="1" applyBorder="1" applyAlignment="1">
      <alignment horizontal="center" vertical="center" wrapText="1"/>
    </xf>
    <xf numFmtId="167" fontId="4" fillId="0" borderId="4" xfId="1" applyNumberFormat="1" applyFont="1" applyBorder="1" applyAlignment="1">
      <alignment horizontal="center" vertical="center" wrapText="1"/>
    </xf>
    <xf numFmtId="167" fontId="4" fillId="5" borderId="1" xfId="1" applyNumberFormat="1" applyFont="1" applyFill="1" applyBorder="1" applyAlignment="1">
      <alignment horizontal="center" vertical="center" wrapText="1"/>
    </xf>
    <xf numFmtId="3" fontId="4" fillId="5" borderId="4" xfId="1" applyNumberFormat="1" applyFont="1" applyFill="1" applyBorder="1" applyAlignment="1">
      <alignment horizontal="center" vertical="center" wrapText="1"/>
    </xf>
    <xf numFmtId="0" fontId="4" fillId="5" borderId="4" xfId="1" applyFont="1" applyFill="1" applyBorder="1" applyAlignment="1">
      <alignment horizontal="left" vertical="center" wrapText="1"/>
    </xf>
    <xf numFmtId="3" fontId="4" fillId="0" borderId="4" xfId="1" applyNumberFormat="1" applyFont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4" fillId="4" borderId="1" xfId="1" applyFont="1" applyFill="1" applyBorder="1" applyAlignment="1">
      <alignment horizontal="left" vertical="center" wrapText="1"/>
    </xf>
    <xf numFmtId="0" fontId="4" fillId="4" borderId="4" xfId="1" applyFont="1" applyFill="1" applyBorder="1" applyAlignment="1">
      <alignment horizontal="left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left" vertical="center" wrapText="1"/>
    </xf>
    <xf numFmtId="0" fontId="4" fillId="4" borderId="3" xfId="1" applyFont="1" applyFill="1" applyBorder="1" applyAlignment="1">
      <alignment horizontal="left" vertical="center" wrapText="1"/>
    </xf>
    <xf numFmtId="0" fontId="5" fillId="4" borderId="1" xfId="1" applyFont="1" applyFill="1" applyBorder="1" applyAlignment="1">
      <alignment horizontal="left" vertical="center" wrapText="1"/>
    </xf>
    <xf numFmtId="0" fontId="5" fillId="4" borderId="4" xfId="1" applyFont="1" applyFill="1" applyBorder="1" applyAlignment="1">
      <alignment horizontal="left" vertical="center" wrapText="1"/>
    </xf>
    <xf numFmtId="0" fontId="5" fillId="4" borderId="2" xfId="1" applyFont="1" applyFill="1" applyBorder="1" applyAlignment="1">
      <alignment horizontal="left" vertical="center" wrapText="1"/>
    </xf>
    <xf numFmtId="0" fontId="5" fillId="4" borderId="3" xfId="1" applyFont="1" applyFill="1" applyBorder="1" applyAlignment="1">
      <alignment horizontal="left" vertical="center" wrapText="1"/>
    </xf>
  </cellXfs>
  <cellStyles count="2">
    <cellStyle name="Normal" xfId="1" xr:uid="{00000000-0005-0000-0000-000000000000}"/>
    <cellStyle name="Обычный" xfId="0" builtinId="0"/>
  </cellStyles>
  <dxfs count="115"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9DC3E6"/>
        </left>
        <right style="thin">
          <color rgb="FF9DC3E6"/>
        </right>
        <top/>
        <bottom/>
        <vertical/>
        <horizontal/>
      </border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Рынок, год</c:v>
          </c:tx>
          <c:spPr>
            <a:solidFill>
              <a:srgbClr val="1F4E79"/>
            </a:solidFill>
          </c:spPr>
          <c:invertIfNegative val="1"/>
          <c:cat>
            <c:strRef>
              <c:f>'07_Дашборд'!$A$8:$A$10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'07_Дашборд'!$B$8:$B$10</c:f>
              <c:numCache>
                <c:formatCode>#\ ##0\ "у.е."</c:formatCode>
                <c:ptCount val="3"/>
                <c:pt idx="0">
                  <c:v>48344.731813454797</c:v>
                </c:pt>
                <c:pt idx="1">
                  <c:v>382736.14153855189</c:v>
                </c:pt>
                <c:pt idx="2">
                  <c:v>2185477.9807474152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6F90-4E04-9243-AD7F2B97EBB6}"/>
            </c:ext>
          </c:extLst>
        </c:ser>
        <c:ser>
          <c:idx val="1"/>
          <c:order val="1"/>
          <c:tx>
            <c:v>SOM нового бизнеса, год</c:v>
          </c:tx>
          <c:spPr>
            <a:solidFill>
              <a:srgbClr val="2E75B6"/>
            </a:solidFill>
          </c:spPr>
          <c:invertIfNegative val="1"/>
          <c:cat>
            <c:strRef>
              <c:f>'07_Дашборд'!$A$8:$A$10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'07_Дашборд'!$C$8:$C$10</c:f>
              <c:numCache>
                <c:formatCode>#\ ##0\ "у.е."</c:formatCode>
                <c:ptCount val="3"/>
                <c:pt idx="0">
                  <c:v>241.72365906727399</c:v>
                </c:pt>
                <c:pt idx="1">
                  <c:v>5741.0421230782786</c:v>
                </c:pt>
                <c:pt idx="2">
                  <c:v>87419.119229896605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1-6F90-4E04-9243-AD7F2B97EB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\ &quot;у.е.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Доля</c:v>
          </c:tx>
          <c:spPr>
            <a:solidFill>
              <a:srgbClr val="1F4E79"/>
            </a:solidFill>
          </c:spPr>
          <c:invertIfNegative val="1"/>
          <c:cat>
            <c:strRef>
              <c:f>'07_Дашборд'!$A$14:$A$19</c:f>
              <c:strCache>
                <c:ptCount val="6"/>
                <c:pt idx="0">
                  <c:v>Direct</c:v>
                </c:pt>
                <c:pt idx="1">
                  <c:v>Organic search</c:v>
                </c:pt>
                <c:pt idx="2">
                  <c:v>Referral</c:v>
                </c:pt>
                <c:pt idx="3">
                  <c:v>Social</c:v>
                </c:pt>
                <c:pt idx="4">
                  <c:v>Paid search</c:v>
                </c:pt>
                <c:pt idx="5">
                  <c:v>Display</c:v>
                </c:pt>
              </c:strCache>
            </c:strRef>
          </c:cat>
          <c:val>
            <c:numRef>
              <c:f>'07_Дашборд'!$B$14:$B$19</c:f>
              <c:numCache>
                <c:formatCode>0.0%</c:formatCode>
                <c:ptCount val="6"/>
                <c:pt idx="0">
                  <c:v>0.42811271005849544</c:v>
                </c:pt>
                <c:pt idx="1">
                  <c:v>0.33621024727914578</c:v>
                </c:pt>
                <c:pt idx="2">
                  <c:v>6.8977444410577307E-2</c:v>
                </c:pt>
                <c:pt idx="3">
                  <c:v>4.5325886585435807E-2</c:v>
                </c:pt>
                <c:pt idx="4">
                  <c:v>4.40039542394247E-2</c:v>
                </c:pt>
                <c:pt idx="5">
                  <c:v>2.3418550096868437E-2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7EC9-46E4-8428-A4B50461A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1</xdr:col>
      <xdr:colOff>3970337</xdr:colOff>
      <xdr:row>40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117475</xdr:colOff>
      <xdr:row>21</xdr:row>
      <xdr:rowOff>0</xdr:rowOff>
    </xdr:from>
    <xdr:to>
      <xdr:col>4</xdr:col>
      <xdr:colOff>1335087</xdr:colOff>
      <xdr:row>40</xdr:row>
      <xdr:rowOff>44450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ethodTable" displayName="MethodTable" ref="A2:H10" headerRowDxfId="114" dataDxfId="113" totalsRowDxfId="112">
  <tableColumns count="8">
    <tableColumn id="1" xr3:uid="{00000000-0010-0000-0000-000001000000}" name="Блок" dataDxfId="111"/>
    <tableColumn id="2" xr3:uid="{00000000-0010-0000-0000-000002000000}" name="Цель" dataDxfId="110"/>
    <tableColumn id="3" xr3:uid="{00000000-0010-0000-0000-000003000000}" name="Действие" dataDxfId="109"/>
    <tableColumn id="4" xr3:uid="{00000000-0010-0000-0000-000004000000}" name="Что фиксировать" dataDxfId="108"/>
    <tableColumn id="5" xr3:uid="{00000000-0010-0000-0000-000005000000}" name="Расчетный результат" dataDxfId="107"/>
    <tableColumn id="6" xr3:uid="{00000000-0010-0000-0000-000006000000}" name="Ограничения" dataDxfId="106"/>
    <tableColumn id="7" xr3:uid="{00000000-0010-0000-0000-000007000000}" name="Лист Excel" dataDxfId="105"/>
    <tableColumn id="8" xr3:uid="{00000000-0010-0000-0000-000008000000}" name="Выходной вывод" dataDxfId="10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ramsTable" displayName="ParamsTable" ref="A2:D12" headerRowDxfId="103" dataDxfId="102" totalsRowDxfId="101">
  <tableColumns count="4">
    <tableColumn id="1" xr3:uid="{00000000-0010-0000-0100-000001000000}" name="Параметр" dataDxfId="100"/>
    <tableColumn id="2" xr3:uid="{00000000-0010-0000-0100-000002000000}" name="Значение" dataDxfId="99"/>
    <tableColumn id="3" xr3:uid="{00000000-0010-0000-0100-000003000000}" name="Единица / формат" dataDxfId="98"/>
    <tableColumn id="4" xr3:uid="{00000000-0010-0000-0100-000004000000}" name="Комментарий" dataDxfId="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mpetitorsTable" displayName="CompetitorsTable" ref="A2:S14" headerRowDxfId="96" dataDxfId="95" totalsRowDxfId="94">
  <tableColumns count="19">
    <tableColumn id="1" xr3:uid="{00000000-0010-0000-0200-000001000000}" name="Домен" dataDxfId="93"/>
    <tableColumn id="2" xr3:uid="{00000000-0010-0000-0200-000002000000}" name="Название / конкурент" dataDxfId="92"/>
    <tableColumn id="3" xr3:uid="{00000000-0010-0000-0200-000003000000}" name="Сегмент" dataDxfId="91"/>
    <tableColumn id="4" xr3:uid="{00000000-0010-0000-0200-000004000000}" name="Тип" dataDxfId="90"/>
    <tableColumn id="5" xr3:uid="{00000000-0010-0000-0200-000005000000}" name="Monthly visits" dataDxfId="89"/>
    <tableColumn id="6" xr3:uid="{00000000-0010-0000-0200-000006000000}" name="Доля целевой географии x релевантность x качество" dataDxfId="88"/>
    <tableColumn id="7" xr3:uid="{00000000-0010-0000-0200-000007000000}" name="Релевантный трафик, мес." dataDxfId="87"/>
    <tableColumn id="8" xr3:uid="{00000000-0010-0000-0200-000008000000}" name="Релевантный трафик, год" dataDxfId="86"/>
    <tableColumn id="9" xr3:uid="{00000000-0010-0000-0200-000009000000}" name="Доля рынка по трафику" dataDxfId="85"/>
    <tableColumn id="10" xr3:uid="{00000000-0010-0000-0200-00000A000000}" name="Bounce rate" dataDxfId="84"/>
    <tableColumn id="11" xr3:uid="{00000000-0010-0000-0200-00000B000000}" name="Pages / visit" dataDxfId="83"/>
    <tableColumn id="12" xr3:uid="{00000000-0010-0000-0200-00000C000000}" name="Avg duration" dataDxfId="82"/>
    <tableColumn id="13" xr3:uid="{00000000-0010-0000-0200-00000D000000}" name="Direct" dataDxfId="81"/>
    <tableColumn id="14" xr3:uid="{00000000-0010-0000-0200-00000E000000}" name="Organic search" dataDxfId="80"/>
    <tableColumn id="15" xr3:uid="{00000000-0010-0000-0200-00000F000000}" name="Referral" dataDxfId="79"/>
    <tableColumn id="16" xr3:uid="{00000000-0010-0000-0200-000010000000}" name="Social" dataDxfId="78"/>
    <tableColumn id="17" xr3:uid="{00000000-0010-0000-0200-000011000000}" name="Paid search" dataDxfId="77"/>
    <tableColumn id="18" xr3:uid="{00000000-0010-0000-0200-000012000000}" name="Display" dataDxfId="76"/>
    <tableColumn id="19" xr3:uid="{00000000-0010-0000-0200-000013000000}" name="Комментарий" dataDxfId="7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hannelsTable" displayName="ChannelsTable" ref="A2:H8" headerRowDxfId="74" dataDxfId="73" totalsRowDxfId="72">
  <tableColumns count="8">
    <tableColumn id="1" xr3:uid="{00000000-0010-0000-0300-000001000000}" name="Канал" dataDxfId="71"/>
    <tableColumn id="2" xr3:uid="{00000000-0010-0000-0300-000002000000}" name="Средневзвешенная доля" dataDxfId="70"/>
    <tableColumn id="3" xr3:uid="{00000000-0010-0000-0300-000003000000}" name="Оценка рыночного трафика, мес." dataDxfId="69"/>
    <tableColumn id="4" xr3:uid="{00000000-0010-0000-0300-000004000000}" name="Оценка рыночного трафика, год" dataDxfId="68"/>
    <tableColumn id="5" xr3:uid="{00000000-0010-0000-0300-000005000000}" name="Коммерческая интерпретация" dataDxfId="67"/>
    <tableColumn id="6" xr3:uid="{00000000-0010-0000-0300-000006000000}" name="Рекомендация" dataDxfId="66"/>
    <tableColumn id="7" xr3:uid="{00000000-0010-0000-0300-000007000000}" name="Ограничение" dataDxfId="65"/>
    <tableColumn id="8" xr3:uid="{00000000-0010-0000-0300-000008000000}" name="Приоритет" dataDxfId="6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eoTable" displayName="GeoTable" ref="A2:H6" headerRowDxfId="63" dataDxfId="62" totalsRowDxfId="61">
  <tableColumns count="8">
    <tableColumn id="1" xr3:uid="{00000000-0010-0000-0400-000001000000}" name="Страна / регион" dataDxfId="60"/>
    <tableColumn id="2" xr3:uid="{00000000-0010-0000-0400-000002000000}" name="Доля визитов 12 сайтов (по топ-5 стран каждого)" dataDxfId="59"/>
    <tableColumn id="3" xr3:uid="{00000000-0010-0000-0400-000003000000}" name="Оценка месячного трафика рынка" dataDxfId="58"/>
    <tableColumn id="4" xr3:uid="{00000000-0010-0000-0400-000004000000}" name="Оценка годового трафика рынка" dataDxfId="57"/>
    <tableColumn id="5" xr3:uid="{00000000-0010-0000-0400-000005000000}" name="Платежеспособность / доступность" dataDxfId="56"/>
    <tableColumn id="6" xr3:uid="{00000000-0010-0000-0400-000006000000}" name="Конкурентная плотность" dataDxfId="55"/>
    <tableColumn id="7" xr3:uid="{00000000-0010-0000-0400-000007000000}" name="Приоритет рынка" dataDxfId="54"/>
    <tableColumn id="8" xr3:uid="{00000000-0010-0000-0400-000008000000}" name="Комментарий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QueriesTable" displayName="QueriesTable" ref="A2:J6" headerRowDxfId="52" dataDxfId="51" totalsRowDxfId="50">
  <tableColumns count="10">
    <tableColumn id="1" xr3:uid="{00000000-0010-0000-0500-000001000000}" name="Запрос / ключевая фраза" dataDxfId="49"/>
    <tableColumn id="2" xr3:uid="{00000000-0010-0000-0500-000002000000}" name="Источник" dataDxfId="48"/>
    <tableColumn id="3" xr3:uid="{00000000-0010-0000-0500-000003000000}" name="Доля поискового трафика" dataDxfId="47"/>
    <tableColumn id="4" xr3:uid="{00000000-0010-0000-0500-000004000000}" name="Оценочный месячный трафик" dataDxfId="46"/>
    <tableColumn id="5" xr3:uid="{00000000-0010-0000-0500-000005000000}" name="Тип намерения" dataDxfId="45"/>
    <tableColumn id="6" xr3:uid="{00000000-0010-0000-0500-000006000000}" name="Коммерческий вес" dataDxfId="44"/>
    <tableColumn id="7" xr3:uid="{00000000-0010-0000-0500-000007000000}" name="Индекс коммерческого интереса" dataDxfId="43"/>
    <tableColumn id="8" xr3:uid="{00000000-0010-0000-0500-000008000000}" name="Сегмент" dataDxfId="42"/>
    <tableColumn id="9" xr3:uid="{00000000-0010-0000-0500-000009000000}" name="Решение" dataDxfId="41"/>
    <tableColumn id="10" xr3:uid="{00000000-0010-0000-0500-00000A000000}" name="Комментарий" dataDxfId="4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cenarioTable" displayName="ScenarioTable" ref="A3:J6" headerRowDxfId="39" dataDxfId="38" totalsRowDxfId="37">
  <tableColumns count="10">
    <tableColumn id="1" xr3:uid="{00000000-0010-0000-0600-000001000000}" name="Сценарий" dataDxfId="36"/>
    <tableColumn id="2" xr3:uid="{00000000-0010-0000-0600-000002000000}" name="Коэффициент покрытия конкурентов" dataDxfId="35"/>
    <tableColumn id="3" xr3:uid="{00000000-0010-0000-0600-000003000000}" name="Оценка рынка: посещения/мес." dataDxfId="34"/>
    <tableColumn id="4" xr3:uid="{00000000-0010-0000-0600-000004000000}" name="Конверсия в заявку" dataDxfId="33"/>
    <tableColumn id="5" xr3:uid="{00000000-0010-0000-0600-000005000000}" name="Конверсия заявки в продажу" dataDxfId="32"/>
    <tableColumn id="6" xr3:uid="{00000000-0010-0000-0600-000006000000}" name="Средний чек" dataDxfId="31"/>
    <tableColumn id="7" xr3:uid="{00000000-0010-0000-0600-000007000000}" name="Покупок/клиента в год" dataDxfId="30"/>
    <tableColumn id="8" xr3:uid="{00000000-0010-0000-0600-000008000000}" name="Заказов/мес." dataDxfId="29"/>
    <tableColumn id="9" xr3:uid="{00000000-0010-0000-0600-000009000000}" name="Выручка/мес." dataDxfId="28"/>
    <tableColumn id="10" xr3:uid="{00000000-0010-0000-0600-00000A000000}" name="Выручка/год" dataDxfId="2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omTable" displayName="SomTable" ref="A8:F11" headerRowDxfId="26" dataDxfId="25" totalsRowDxfId="24">
  <tableColumns count="6">
    <tableColumn id="1" xr3:uid="{00000000-0010-0000-0700-000001000000}" name="Сценарий" dataDxfId="23"/>
    <tableColumn id="2" xr3:uid="{00000000-0010-0000-0700-000002000000}" name="Рыночная выручка/год" dataDxfId="22"/>
    <tableColumn id="3" xr3:uid="{00000000-0010-0000-0700-000003000000}" name="Достижимая доля нового бизнеса" dataDxfId="21"/>
    <tableColumn id="4" xr3:uid="{00000000-0010-0000-0700-000004000000}" name="Потенциальная выручка нового бизнеса/год" dataDxfId="20"/>
    <tableColumn id="5" xr3:uid="{00000000-0010-0000-0700-000005000000}" name="Комментарий" dataDxfId="19"/>
    <tableColumn id="6" xr3:uid="{00000000-0010-0000-0700-000006000000}" name="Ограничение" dataDxfId="1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ourcesTable" displayName="SourcesTable" ref="A2:F8" headerRowDxfId="17" dataDxfId="16" totalsRowDxfId="15">
  <tableColumns count="6">
    <tableColumn id="1" xr3:uid="{00000000-0010-0000-0800-000001000000}" name="Источник" dataDxfId="14"/>
    <tableColumn id="2" xr3:uid="{00000000-0010-0000-0800-000002000000}" name="Что брать" dataDxfId="13"/>
    <tableColumn id="3" xr3:uid="{00000000-0010-0000-0800-000003000000}" name="Как фиксировать" dataDxfId="12"/>
    <tableColumn id="4" xr3:uid="{00000000-0010-0000-0800-000004000000}" name="Ссылка" dataDxfId="11"/>
    <tableColumn id="5" xr3:uid="{00000000-0010-0000-0800-000005000000}" name="Дата обращения" dataDxfId="10"/>
    <tableColumn id="6" xr3:uid="{00000000-0010-0000-0800-000006000000}" name="Ограничение" dataDxfId="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ataLogTable" displayName="DataLogTable" ref="A10:F11" headerRowDxfId="8" dataDxfId="7" totalsRowDxfId="6">
  <tableColumns count="6">
    <tableColumn id="1" xr3:uid="{00000000-0010-0000-0900-000001000000}" name="Дата" dataDxfId="5"/>
    <tableColumn id="2" xr3:uid="{00000000-0010-0000-0900-000002000000}" name="Сайт / домен" dataDxfId="4"/>
    <tableColumn id="3" xr3:uid="{00000000-0010-0000-0900-000003000000}" name="Раздел Similarweb" dataDxfId="3"/>
    <tableColumn id="4" xr3:uid="{00000000-0010-0000-0900-000004000000}" name="Показатель" dataDxfId="2"/>
    <tableColumn id="5" xr3:uid="{00000000-0010-0000-0900-000005000000}" name="Значение" dataDxfId="1"/>
    <tableColumn id="6" xr3:uid="{00000000-0010-0000-0900-000006000000}" name="Комментарий / снимок экрана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6"/>
  <sheetViews>
    <sheetView tabSelected="1" workbookViewId="0">
      <selection sqref="A1:H1"/>
    </sheetView>
  </sheetViews>
  <sheetFormatPr defaultRowHeight="13.5"/>
  <cols>
    <col min="1" max="1" width="20.375" customWidth="1"/>
    <col min="2" max="2" width="50.8125" customWidth="1"/>
    <col min="3" max="4" width="52.5625" customWidth="1"/>
    <col min="5" max="5" width="42.4375" customWidth="1"/>
    <col min="6" max="6" width="52.5625" customWidth="1"/>
    <col min="7" max="7" width="23.5" customWidth="1"/>
    <col min="8" max="8" width="45.5625" customWidth="1"/>
    <col min="9" max="26" width="10.5625" customWidth="1"/>
  </cols>
  <sheetData>
    <row r="1" spans="1:26" ht="20" customHeight="1">
      <c r="A1" s="49" t="s">
        <v>0</v>
      </c>
      <c r="B1" s="49"/>
      <c r="C1" s="49"/>
      <c r="D1" s="49"/>
      <c r="E1" s="49"/>
      <c r="F1" s="49"/>
      <c r="G1" s="49"/>
      <c r="H1" s="5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9" t="s">
        <v>8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8.5">
      <c r="A3" s="4" t="s">
        <v>9</v>
      </c>
      <c r="B3" s="4" t="s">
        <v>10</v>
      </c>
      <c r="C3" s="4" t="s">
        <v>11</v>
      </c>
      <c r="D3" s="4" t="s">
        <v>12</v>
      </c>
      <c r="E3" s="6" t="s">
        <v>13</v>
      </c>
      <c r="F3" s="4" t="s">
        <v>14</v>
      </c>
      <c r="G3" s="6" t="s">
        <v>15</v>
      </c>
      <c r="H3" s="10" t="s">
        <v>16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4" t="s">
        <v>17</v>
      </c>
      <c r="B4" s="4" t="s">
        <v>18</v>
      </c>
      <c r="C4" s="4" t="s">
        <v>19</v>
      </c>
      <c r="D4" s="4" t="s">
        <v>20</v>
      </c>
      <c r="E4" s="6" t="s">
        <v>21</v>
      </c>
      <c r="F4" s="4" t="s">
        <v>22</v>
      </c>
      <c r="G4" s="6" t="s">
        <v>23</v>
      </c>
      <c r="H4" s="11" t="s">
        <v>24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4" t="s">
        <v>25</v>
      </c>
      <c r="B5" s="4" t="s">
        <v>26</v>
      </c>
      <c r="C5" s="4" t="s">
        <v>27</v>
      </c>
      <c r="D5" s="4" t="s">
        <v>28</v>
      </c>
      <c r="E5" s="4" t="s">
        <v>29</v>
      </c>
      <c r="F5" s="6" t="s">
        <v>30</v>
      </c>
      <c r="G5" s="6" t="s">
        <v>23</v>
      </c>
      <c r="H5" s="11" t="s">
        <v>31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8.5">
      <c r="A6" s="4" t="s">
        <v>32</v>
      </c>
      <c r="B6" s="4" t="s">
        <v>33</v>
      </c>
      <c r="C6" s="4" t="s">
        <v>34</v>
      </c>
      <c r="D6" s="6" t="s">
        <v>35</v>
      </c>
      <c r="E6" s="6" t="s">
        <v>36</v>
      </c>
      <c r="F6" s="6" t="s">
        <v>37</v>
      </c>
      <c r="G6" s="6" t="s">
        <v>38</v>
      </c>
      <c r="H6" s="11" t="s">
        <v>39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4" t="s">
        <v>40</v>
      </c>
      <c r="B7" s="4" t="s">
        <v>41</v>
      </c>
      <c r="C7" s="4" t="s">
        <v>42</v>
      </c>
      <c r="D7" s="6" t="s">
        <v>43</v>
      </c>
      <c r="E7" s="6" t="s">
        <v>44</v>
      </c>
      <c r="F7" s="4" t="s">
        <v>45</v>
      </c>
      <c r="G7" s="6" t="s">
        <v>46</v>
      </c>
      <c r="H7" s="11" t="s">
        <v>47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48</v>
      </c>
      <c r="B8" s="4" t="s">
        <v>49</v>
      </c>
      <c r="C8" s="4" t="s">
        <v>50</v>
      </c>
      <c r="D8" s="4" t="s">
        <v>51</v>
      </c>
      <c r="E8" s="4" t="s">
        <v>52</v>
      </c>
      <c r="F8" s="4" t="s">
        <v>53</v>
      </c>
      <c r="G8" s="6" t="s">
        <v>54</v>
      </c>
      <c r="H8" s="11" t="s">
        <v>55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4" t="s">
        <v>56</v>
      </c>
      <c r="B9" s="4" t="s">
        <v>57</v>
      </c>
      <c r="C9" s="4" t="s">
        <v>58</v>
      </c>
      <c r="D9" s="4" t="s">
        <v>59</v>
      </c>
      <c r="E9" s="4" t="s">
        <v>60</v>
      </c>
      <c r="F9" s="6" t="s">
        <v>61</v>
      </c>
      <c r="G9" s="6" t="s">
        <v>62</v>
      </c>
      <c r="H9" s="10" t="s">
        <v>63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4" t="s">
        <v>64</v>
      </c>
      <c r="B10" s="4" t="s">
        <v>65</v>
      </c>
      <c r="C10" s="4" t="s">
        <v>66</v>
      </c>
      <c r="D10" s="4" t="s">
        <v>67</v>
      </c>
      <c r="E10" s="6" t="s">
        <v>68</v>
      </c>
      <c r="F10" s="4" t="s">
        <v>69</v>
      </c>
      <c r="G10" s="6" t="s">
        <v>70</v>
      </c>
      <c r="H10" s="10" t="s">
        <v>71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0" customHeight="1">
      <c r="A11" s="51" t="s">
        <v>72</v>
      </c>
      <c r="B11" s="51"/>
      <c r="C11" s="51"/>
      <c r="D11" s="51"/>
      <c r="E11" s="51"/>
      <c r="F11" s="51"/>
      <c r="G11" s="51"/>
      <c r="H11" s="5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4" t="s">
        <v>73</v>
      </c>
      <c r="B12" s="6" t="s">
        <v>74</v>
      </c>
      <c r="C12" s="4" t="s">
        <v>75</v>
      </c>
      <c r="D12" s="4" t="s">
        <v>76</v>
      </c>
      <c r="E12" s="6" t="s">
        <v>350</v>
      </c>
      <c r="F12" s="6" t="s">
        <v>350</v>
      </c>
      <c r="G12" s="6" t="s">
        <v>350</v>
      </c>
      <c r="H12" s="10" t="s">
        <v>350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8.5">
      <c r="A13" s="4" t="s">
        <v>77</v>
      </c>
      <c r="B13" s="6" t="s">
        <v>78</v>
      </c>
      <c r="C13" s="4" t="s">
        <v>79</v>
      </c>
      <c r="D13" s="4" t="s">
        <v>80</v>
      </c>
      <c r="E13" s="6" t="s">
        <v>350</v>
      </c>
      <c r="F13" s="6" t="s">
        <v>350</v>
      </c>
      <c r="G13" s="6" t="s">
        <v>350</v>
      </c>
      <c r="H13" s="10" t="s">
        <v>350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>
      <c r="A14" s="4" t="s">
        <v>81</v>
      </c>
      <c r="B14" s="6" t="s">
        <v>82</v>
      </c>
      <c r="C14" s="4" t="s">
        <v>83</v>
      </c>
      <c r="D14" s="4" t="s">
        <v>84</v>
      </c>
      <c r="E14" s="6" t="s">
        <v>350</v>
      </c>
      <c r="F14" s="6" t="s">
        <v>350</v>
      </c>
      <c r="G14" s="6" t="s">
        <v>350</v>
      </c>
      <c r="H14" s="10" t="s">
        <v>350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>
      <c r="A15" s="4" t="s">
        <v>85</v>
      </c>
      <c r="B15" s="6" t="s">
        <v>86</v>
      </c>
      <c r="C15" s="6" t="s">
        <v>87</v>
      </c>
      <c r="D15" s="4" t="s">
        <v>88</v>
      </c>
      <c r="E15" s="6" t="s">
        <v>350</v>
      </c>
      <c r="F15" s="6" t="s">
        <v>350</v>
      </c>
      <c r="G15" s="6" t="s">
        <v>350</v>
      </c>
      <c r="H15" s="10" t="s">
        <v>350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>
      <c r="A16" s="5" t="s">
        <v>89</v>
      </c>
      <c r="B16" s="7" t="s">
        <v>90</v>
      </c>
      <c r="C16" s="5" t="s">
        <v>91</v>
      </c>
      <c r="D16" s="7" t="s">
        <v>92</v>
      </c>
      <c r="E16" s="7" t="s">
        <v>350</v>
      </c>
      <c r="F16" s="7" t="s">
        <v>350</v>
      </c>
      <c r="G16" s="7" t="s">
        <v>350</v>
      </c>
      <c r="H16" s="8" t="s">
        <v>350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</sheetData>
  <mergeCells count="2">
    <mergeCell ref="A1:H1"/>
    <mergeCell ref="A11:H1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8"/>
  <sheetViews>
    <sheetView workbookViewId="0"/>
  </sheetViews>
  <sheetFormatPr defaultRowHeight="13.5"/>
  <cols>
    <col min="1" max="1" width="47.6875" customWidth="1"/>
    <col min="2" max="4" width="52.5625" customWidth="1"/>
    <col min="5" max="26" width="10.5625" customWidth="1"/>
  </cols>
  <sheetData>
    <row r="1" spans="1:26" ht="20" customHeight="1">
      <c r="A1" s="49" t="s">
        <v>93</v>
      </c>
      <c r="B1" s="49"/>
      <c r="C1" s="49"/>
      <c r="D1" s="49"/>
      <c r="E1" s="53"/>
      <c r="F1" s="53"/>
      <c r="G1" s="53"/>
      <c r="H1" s="54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3" t="s">
        <v>94</v>
      </c>
      <c r="B2" s="3" t="s">
        <v>95</v>
      </c>
      <c r="C2" s="3" t="s">
        <v>96</v>
      </c>
      <c r="D2" s="9" t="s">
        <v>97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8.5">
      <c r="A3" s="12" t="s">
        <v>98</v>
      </c>
      <c r="B3" s="12" t="s">
        <v>292</v>
      </c>
      <c r="C3" s="15" t="s">
        <v>99</v>
      </c>
      <c r="D3" s="18" t="s">
        <v>100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12" t="s">
        <v>101</v>
      </c>
      <c r="B4" s="15" t="s">
        <v>293</v>
      </c>
      <c r="C4" s="15" t="s">
        <v>99</v>
      </c>
      <c r="D4" s="18" t="s">
        <v>102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12" t="s">
        <v>103</v>
      </c>
      <c r="B5" s="12" t="s">
        <v>294</v>
      </c>
      <c r="C5" s="15" t="s">
        <v>99</v>
      </c>
      <c r="D5" s="21" t="s">
        <v>104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12" t="s">
        <v>105</v>
      </c>
      <c r="B6" s="19">
        <v>46298</v>
      </c>
      <c r="C6" s="15" t="s">
        <v>106</v>
      </c>
      <c r="D6" s="21" t="s">
        <v>356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12" t="s">
        <v>107</v>
      </c>
      <c r="B7" s="15">
        <f>COUNT('02_Конкуренты_SW'!E3:E14)</f>
        <v>12</v>
      </c>
      <c r="C7" s="15" t="s">
        <v>108</v>
      </c>
      <c r="D7" s="18" t="s">
        <v>360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12" t="s">
        <v>109</v>
      </c>
      <c r="B8" s="22">
        <f>SUM('02_Конкуренты_SW'!G3:G14)</f>
        <v>87230.380599999989</v>
      </c>
      <c r="C8" s="15" t="s">
        <v>110</v>
      </c>
      <c r="D8" s="18" t="s">
        <v>111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12" t="s">
        <v>112</v>
      </c>
      <c r="B9" s="22">
        <f>SUM('02_Конкуренты_SW'!H3:H14)</f>
        <v>1046764.5671999998</v>
      </c>
      <c r="C9" s="15" t="s">
        <v>110</v>
      </c>
      <c r="D9" s="18" t="s">
        <v>113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12" t="s">
        <v>114</v>
      </c>
      <c r="B10" s="25">
        <v>0.55000000000000004</v>
      </c>
      <c r="C10" s="15" t="s">
        <v>115</v>
      </c>
      <c r="D10" s="21" t="s">
        <v>116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12" t="s">
        <v>117</v>
      </c>
      <c r="B11" s="22">
        <f>IFERROR(B8/B10,0)</f>
        <v>158600.69199999998</v>
      </c>
      <c r="C11" s="15" t="s">
        <v>110</v>
      </c>
      <c r="D11" s="21" t="s">
        <v>118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12" t="s">
        <v>119</v>
      </c>
      <c r="B12" s="22">
        <f>IFERROR(B9/B10,0)</f>
        <v>1903208.3039999995</v>
      </c>
      <c r="C12" s="15" t="s">
        <v>110</v>
      </c>
      <c r="D12" s="21" t="s">
        <v>118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0" customHeight="1">
      <c r="A13" s="51" t="s">
        <v>120</v>
      </c>
      <c r="B13" s="51"/>
      <c r="C13" s="51"/>
      <c r="D13" s="51"/>
      <c r="E13" s="55"/>
      <c r="F13" s="55"/>
      <c r="G13" s="55"/>
      <c r="H13" s="56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>
      <c r="A14" s="12" t="s">
        <v>73</v>
      </c>
      <c r="B14" s="12" t="s">
        <v>121</v>
      </c>
      <c r="C14" s="12" t="s">
        <v>122</v>
      </c>
      <c r="D14" s="18" t="s">
        <v>350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>
      <c r="A15" s="12" t="s">
        <v>77</v>
      </c>
      <c r="B15" s="12" t="s">
        <v>123</v>
      </c>
      <c r="C15" s="12" t="s">
        <v>124</v>
      </c>
      <c r="D15" s="18" t="s">
        <v>350</v>
      </c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>
      <c r="A16" s="12" t="s">
        <v>81</v>
      </c>
      <c r="B16" s="12" t="s">
        <v>125</v>
      </c>
      <c r="C16" s="12" t="s">
        <v>126</v>
      </c>
      <c r="D16" s="18" t="s">
        <v>350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>
      <c r="A17" s="12" t="s">
        <v>85</v>
      </c>
      <c r="B17" s="12" t="s">
        <v>127</v>
      </c>
      <c r="C17" s="12" t="s">
        <v>128</v>
      </c>
      <c r="D17" s="18" t="s">
        <v>350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>
      <c r="A18" s="13" t="s">
        <v>89</v>
      </c>
      <c r="B18" s="16" t="s">
        <v>129</v>
      </c>
      <c r="C18" s="13" t="s">
        <v>130</v>
      </c>
      <c r="D18" s="17" t="s">
        <v>350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</sheetData>
  <mergeCells count="2">
    <mergeCell ref="A1:H1"/>
    <mergeCell ref="A13:H13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5"/>
  <sheetViews>
    <sheetView workbookViewId="0"/>
  </sheetViews>
  <sheetFormatPr defaultRowHeight="13.5"/>
  <cols>
    <col min="1" max="1" width="28.75" customWidth="1"/>
    <col min="2" max="2" width="25.625" customWidth="1"/>
    <col min="3" max="3" width="34" customWidth="1"/>
    <col min="4" max="4" width="14.0625" customWidth="1"/>
    <col min="5" max="5" width="18.25" customWidth="1"/>
    <col min="6" max="6" width="52.5625" customWidth="1"/>
    <col min="7" max="7" width="28.75" customWidth="1"/>
    <col min="8" max="8" width="27.6875" customWidth="1"/>
    <col min="9" max="9" width="25.625" customWidth="1"/>
    <col min="10" max="10" width="15.125" customWidth="1"/>
    <col min="11" max="11" width="17.1875" customWidth="1"/>
    <col min="12" max="12" width="16.1875" customWidth="1"/>
    <col min="13" max="13" width="10.5625" customWidth="1"/>
    <col min="14" max="14" width="18.25" customWidth="1"/>
    <col min="15" max="15" width="11.9375" customWidth="1"/>
    <col min="16" max="16" width="10.5625" customWidth="1"/>
    <col min="17" max="17" width="15.125" customWidth="1"/>
    <col min="18" max="18" width="10.9375" customWidth="1"/>
    <col min="19" max="19" width="43.4375" customWidth="1"/>
    <col min="20" max="26" width="10.5625" customWidth="1"/>
  </cols>
  <sheetData>
    <row r="1" spans="1:26" ht="20" customHeight="1">
      <c r="A1" s="49" t="s">
        <v>131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50"/>
      <c r="T1" s="1"/>
      <c r="U1" s="1"/>
      <c r="V1" s="1"/>
      <c r="W1" s="1"/>
      <c r="X1" s="1"/>
      <c r="Y1" s="1"/>
      <c r="Z1" s="1"/>
    </row>
    <row r="2" spans="1:26" ht="14.25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295</v>
      </c>
      <c r="G2" s="3" t="s">
        <v>137</v>
      </c>
      <c r="H2" s="3" t="s">
        <v>138</v>
      </c>
      <c r="I2" s="3" t="s">
        <v>139</v>
      </c>
      <c r="J2" s="3" t="s">
        <v>140</v>
      </c>
      <c r="K2" s="3" t="s">
        <v>141</v>
      </c>
      <c r="L2" s="3" t="s">
        <v>142</v>
      </c>
      <c r="M2" s="3" t="s">
        <v>143</v>
      </c>
      <c r="N2" s="3" t="s">
        <v>144</v>
      </c>
      <c r="O2" s="3" t="s">
        <v>145</v>
      </c>
      <c r="P2" s="3" t="s">
        <v>146</v>
      </c>
      <c r="Q2" s="3" t="s">
        <v>147</v>
      </c>
      <c r="R2" s="3" t="s">
        <v>148</v>
      </c>
      <c r="S2" s="9" t="s">
        <v>97</v>
      </c>
      <c r="T2" s="2"/>
      <c r="U2" s="2"/>
      <c r="V2" s="2"/>
      <c r="W2" s="2"/>
      <c r="X2" s="2"/>
      <c r="Y2" s="2"/>
      <c r="Z2" s="2"/>
    </row>
    <row r="3" spans="1:26" ht="14.25">
      <c r="A3" s="12" t="s">
        <v>296</v>
      </c>
      <c r="B3" s="15" t="s">
        <v>297</v>
      </c>
      <c r="C3" s="15" t="s">
        <v>298</v>
      </c>
      <c r="D3" s="15" t="s">
        <v>151</v>
      </c>
      <c r="E3" s="22">
        <v>154111</v>
      </c>
      <c r="F3" s="25">
        <v>7.9000000000000001E-2</v>
      </c>
      <c r="G3" s="22">
        <f t="shared" ref="G3:G14" si="0">IFERROR(E3*F3,0)</f>
        <v>12174.769</v>
      </c>
      <c r="H3" s="22">
        <f t="shared" ref="H3:H14" si="1">G3*12</f>
        <v>146097.228</v>
      </c>
      <c r="I3" s="26">
        <f t="shared" ref="I3:I14" si="2">IFERROR(G3/SUM($G$3:$G$14),0)</f>
        <v>0.13957028407141905</v>
      </c>
      <c r="J3" s="26" t="s">
        <v>350</v>
      </c>
      <c r="K3" s="28">
        <v>3.14</v>
      </c>
      <c r="L3" s="30">
        <v>9.6064814814814819E-4</v>
      </c>
      <c r="M3" s="26">
        <v>0.55579999999999996</v>
      </c>
      <c r="N3" s="26">
        <v>0.31739999999999996</v>
      </c>
      <c r="O3" s="26">
        <v>6.4199999999999993E-2</v>
      </c>
      <c r="P3" s="26">
        <v>3.4500000000000003E-2</v>
      </c>
      <c r="Q3" s="26">
        <v>2.3E-3</v>
      </c>
      <c r="R3" s="26">
        <v>3.3E-3</v>
      </c>
      <c r="S3" s="21" t="s">
        <v>299</v>
      </c>
      <c r="T3" s="2"/>
      <c r="U3" s="2"/>
      <c r="V3" s="2"/>
      <c r="W3" s="2"/>
      <c r="X3" s="2"/>
      <c r="Y3" s="2"/>
      <c r="Z3" s="2"/>
    </row>
    <row r="4" spans="1:26" ht="14.25">
      <c r="A4" s="12" t="s">
        <v>300</v>
      </c>
      <c r="B4" s="15" t="s">
        <v>301</v>
      </c>
      <c r="C4" s="15" t="s">
        <v>302</v>
      </c>
      <c r="D4" s="15" t="s">
        <v>150</v>
      </c>
      <c r="E4" s="22">
        <v>35325</v>
      </c>
      <c r="F4" s="25">
        <v>0.2989</v>
      </c>
      <c r="G4" s="22">
        <f t="shared" si="0"/>
        <v>10558.6425</v>
      </c>
      <c r="H4" s="22">
        <f t="shared" si="1"/>
        <v>126703.70999999999</v>
      </c>
      <c r="I4" s="26">
        <f t="shared" si="2"/>
        <v>0.12104317816079781</v>
      </c>
      <c r="J4" s="26">
        <v>0.40329999999999999</v>
      </c>
      <c r="K4" s="28">
        <v>1.84</v>
      </c>
      <c r="L4" s="30">
        <v>3.4722222222222224E-4</v>
      </c>
      <c r="M4" s="26">
        <v>0.40429999999999999</v>
      </c>
      <c r="N4" s="26">
        <v>0.32549999999999996</v>
      </c>
      <c r="O4" s="26">
        <v>0.10550000000000001</v>
      </c>
      <c r="P4" s="26">
        <v>6.2199999999999998E-2</v>
      </c>
      <c r="Q4" s="26">
        <v>1.5300000000000001E-2</v>
      </c>
      <c r="R4" s="26">
        <v>2.7099999999999999E-2</v>
      </c>
      <c r="S4" s="21" t="s">
        <v>299</v>
      </c>
      <c r="T4" s="2"/>
      <c r="U4" s="2"/>
      <c r="V4" s="2"/>
      <c r="W4" s="2"/>
      <c r="X4" s="2"/>
      <c r="Y4" s="2"/>
      <c r="Z4" s="2"/>
    </row>
    <row r="5" spans="1:26" ht="14.25">
      <c r="A5" s="12" t="s">
        <v>303</v>
      </c>
      <c r="B5" s="15" t="s">
        <v>304</v>
      </c>
      <c r="C5" s="15" t="s">
        <v>305</v>
      </c>
      <c r="D5" s="15" t="s">
        <v>152</v>
      </c>
      <c r="E5" s="22">
        <v>241737</v>
      </c>
      <c r="F5" s="25">
        <v>1.3899999999999999E-2</v>
      </c>
      <c r="G5" s="22">
        <f t="shared" si="0"/>
        <v>3360.1442999999999</v>
      </c>
      <c r="H5" s="22">
        <f t="shared" si="1"/>
        <v>40321.731599999999</v>
      </c>
      <c r="I5" s="26">
        <f t="shared" si="2"/>
        <v>3.8520344367269678E-2</v>
      </c>
      <c r="J5" s="26">
        <v>0.41420000000000001</v>
      </c>
      <c r="K5" s="28">
        <v>1.95</v>
      </c>
      <c r="L5" s="30">
        <v>4.2824074074074075E-4</v>
      </c>
      <c r="M5" s="26">
        <v>0.34159999999999996</v>
      </c>
      <c r="N5" s="26">
        <v>0.53139999999999998</v>
      </c>
      <c r="O5" s="26">
        <v>2.9600000000000001E-2</v>
      </c>
      <c r="P5" s="26">
        <v>3.4200000000000001E-2</v>
      </c>
      <c r="Q5" s="26">
        <v>0</v>
      </c>
      <c r="R5" s="26">
        <v>1.37E-2</v>
      </c>
      <c r="S5" s="21" t="s">
        <v>299</v>
      </c>
      <c r="T5" s="2"/>
      <c r="U5" s="2"/>
      <c r="V5" s="2"/>
      <c r="W5" s="2"/>
      <c r="X5" s="2"/>
      <c r="Y5" s="2"/>
      <c r="Z5" s="2"/>
    </row>
    <row r="6" spans="1:26" ht="14.25">
      <c r="A6" s="12" t="s">
        <v>306</v>
      </c>
      <c r="B6" s="15" t="s">
        <v>307</v>
      </c>
      <c r="C6" s="15" t="s">
        <v>308</v>
      </c>
      <c r="D6" s="15" t="s">
        <v>152</v>
      </c>
      <c r="E6" s="22">
        <v>202178</v>
      </c>
      <c r="F6" s="25">
        <v>4.1399999999999999E-2</v>
      </c>
      <c r="G6" s="22">
        <f t="shared" si="0"/>
        <v>8370.1692000000003</v>
      </c>
      <c r="H6" s="22">
        <f t="shared" si="1"/>
        <v>100442.0304</v>
      </c>
      <c r="I6" s="26">
        <f t="shared" si="2"/>
        <v>9.5954748132785303E-2</v>
      </c>
      <c r="J6" s="26">
        <v>0.43520000000000003</v>
      </c>
      <c r="K6" s="28">
        <v>2.34</v>
      </c>
      <c r="L6" s="30">
        <v>3.3564814814814812E-4</v>
      </c>
      <c r="M6" s="26">
        <v>0.255</v>
      </c>
      <c r="N6" s="26">
        <v>0.56380000000000008</v>
      </c>
      <c r="O6" s="26">
        <v>8.2899999999999988E-2</v>
      </c>
      <c r="P6" s="26">
        <v>1.66E-2</v>
      </c>
      <c r="Q6" s="26">
        <v>4.24E-2</v>
      </c>
      <c r="R6" s="26">
        <v>1.67E-2</v>
      </c>
      <c r="S6" s="21" t="s">
        <v>299</v>
      </c>
      <c r="T6" s="2"/>
      <c r="U6" s="2"/>
      <c r="V6" s="2"/>
      <c r="W6" s="2"/>
      <c r="X6" s="2"/>
      <c r="Y6" s="2"/>
      <c r="Z6" s="2"/>
    </row>
    <row r="7" spans="1:26" ht="14.25">
      <c r="A7" s="12" t="s">
        <v>309</v>
      </c>
      <c r="B7" s="15" t="s">
        <v>310</v>
      </c>
      <c r="C7" s="15" t="s">
        <v>311</v>
      </c>
      <c r="D7" s="15" t="s">
        <v>150</v>
      </c>
      <c r="E7" s="22">
        <v>14688</v>
      </c>
      <c r="F7" s="25">
        <v>0.38390000000000002</v>
      </c>
      <c r="G7" s="22">
        <f t="shared" si="0"/>
        <v>5638.7232000000004</v>
      </c>
      <c r="H7" s="22">
        <f t="shared" si="1"/>
        <v>67664.678400000004</v>
      </c>
      <c r="I7" s="26">
        <f t="shared" si="2"/>
        <v>6.4641735611090531E-2</v>
      </c>
      <c r="J7" s="26">
        <v>0.69</v>
      </c>
      <c r="K7" s="28">
        <v>1.72</v>
      </c>
      <c r="L7" s="30">
        <v>3.0092592592592595E-4</v>
      </c>
      <c r="M7" s="26">
        <v>0.2676</v>
      </c>
      <c r="N7" s="26">
        <v>0.29380000000000001</v>
      </c>
      <c r="O7" s="26">
        <v>8.1900000000000001E-2</v>
      </c>
      <c r="P7" s="26">
        <v>0.10919999999999999</v>
      </c>
      <c r="Q7" s="26">
        <v>4.3400000000000001E-2</v>
      </c>
      <c r="R7" s="26">
        <v>9.2200000000000004E-2</v>
      </c>
      <c r="S7" s="21" t="s">
        <v>299</v>
      </c>
      <c r="T7" s="2"/>
      <c r="U7" s="2"/>
      <c r="V7" s="2"/>
      <c r="W7" s="2"/>
      <c r="X7" s="2"/>
      <c r="Y7" s="2"/>
      <c r="Z7" s="2"/>
    </row>
    <row r="8" spans="1:26" ht="14.25">
      <c r="A8" s="12" t="s">
        <v>312</v>
      </c>
      <c r="B8" s="15" t="s">
        <v>313</v>
      </c>
      <c r="C8" s="15" t="s">
        <v>302</v>
      </c>
      <c r="D8" s="15" t="s">
        <v>150</v>
      </c>
      <c r="E8" s="22">
        <v>17824</v>
      </c>
      <c r="F8" s="25">
        <v>0.37569999999999998</v>
      </c>
      <c r="G8" s="22">
        <f t="shared" si="0"/>
        <v>6696.4767999999995</v>
      </c>
      <c r="H8" s="22">
        <f t="shared" si="1"/>
        <v>80357.72159999999</v>
      </c>
      <c r="I8" s="26">
        <f t="shared" si="2"/>
        <v>7.6767712738834482E-2</v>
      </c>
      <c r="J8" s="26">
        <v>0.38909999999999995</v>
      </c>
      <c r="K8" s="28">
        <v>2.0299999999999998</v>
      </c>
      <c r="L8" s="30">
        <v>3.5879629629629629E-4</v>
      </c>
      <c r="M8" s="26">
        <v>0.38640000000000002</v>
      </c>
      <c r="N8" s="26">
        <v>0.32950000000000002</v>
      </c>
      <c r="O8" s="26">
        <v>0.10890000000000001</v>
      </c>
      <c r="P8" s="26">
        <v>6.0200000000000004E-2</v>
      </c>
      <c r="Q8" s="26">
        <v>1.61E-2</v>
      </c>
      <c r="R8" s="26">
        <v>3.2199999999999999E-2</v>
      </c>
      <c r="S8" s="21" t="s">
        <v>299</v>
      </c>
      <c r="T8" s="2"/>
      <c r="U8" s="2"/>
      <c r="V8" s="2"/>
      <c r="W8" s="2"/>
      <c r="X8" s="2"/>
      <c r="Y8" s="2"/>
      <c r="Z8" s="2"/>
    </row>
    <row r="9" spans="1:26" ht="14.25">
      <c r="A9" s="12" t="s">
        <v>314</v>
      </c>
      <c r="B9" s="15" t="s">
        <v>315</v>
      </c>
      <c r="C9" s="15" t="s">
        <v>308</v>
      </c>
      <c r="D9" s="15" t="s">
        <v>152</v>
      </c>
      <c r="E9" s="22">
        <v>292214</v>
      </c>
      <c r="F9" s="25">
        <v>2.3199999999999998E-2</v>
      </c>
      <c r="G9" s="22">
        <f t="shared" si="0"/>
        <v>6779.3647999999994</v>
      </c>
      <c r="H9" s="22">
        <f t="shared" si="1"/>
        <v>81352.377599999993</v>
      </c>
      <c r="I9" s="26">
        <f t="shared" si="2"/>
        <v>7.7717932139803145E-2</v>
      </c>
      <c r="J9" s="26">
        <v>0.41840000000000005</v>
      </c>
      <c r="K9" s="28">
        <v>3.09</v>
      </c>
      <c r="L9" s="30">
        <v>6.3657407407407413E-4</v>
      </c>
      <c r="M9" s="26">
        <v>0.28260000000000002</v>
      </c>
      <c r="N9" s="26">
        <v>0.57700000000000007</v>
      </c>
      <c r="O9" s="26">
        <v>7.5800000000000006E-2</v>
      </c>
      <c r="P9" s="26">
        <v>2.46E-2</v>
      </c>
      <c r="Q9" s="26">
        <v>1E-4</v>
      </c>
      <c r="R9" s="26">
        <v>7.000000000000001E-4</v>
      </c>
      <c r="S9" s="21" t="s">
        <v>299</v>
      </c>
      <c r="T9" s="2"/>
      <c r="U9" s="2"/>
      <c r="V9" s="2"/>
      <c r="W9" s="2"/>
      <c r="X9" s="2"/>
      <c r="Y9" s="2"/>
      <c r="Z9" s="2"/>
    </row>
    <row r="10" spans="1:26" ht="14.25">
      <c r="A10" s="12" t="s">
        <v>316</v>
      </c>
      <c r="B10" s="15" t="s">
        <v>317</v>
      </c>
      <c r="C10" s="15" t="s">
        <v>308</v>
      </c>
      <c r="D10" s="15" t="s">
        <v>152</v>
      </c>
      <c r="E10" s="22">
        <v>116617</v>
      </c>
      <c r="F10" s="25">
        <v>3.8699999999999998E-2</v>
      </c>
      <c r="G10" s="22">
        <f t="shared" si="0"/>
        <v>4513.0779000000002</v>
      </c>
      <c r="H10" s="22">
        <f t="shared" si="1"/>
        <v>54156.934800000003</v>
      </c>
      <c r="I10" s="26">
        <f t="shared" si="2"/>
        <v>5.1737455104030584E-2</v>
      </c>
      <c r="J10" s="26">
        <v>0.40770000000000001</v>
      </c>
      <c r="K10" s="28">
        <v>1.81</v>
      </c>
      <c r="L10" s="30">
        <v>3.2407407407407406E-4</v>
      </c>
      <c r="M10" s="26">
        <v>0.26350000000000001</v>
      </c>
      <c r="N10" s="26">
        <v>0.56409999999999993</v>
      </c>
      <c r="O10" s="26">
        <v>0.11810000000000001</v>
      </c>
      <c r="P10" s="26">
        <v>1.7399999999999999E-2</v>
      </c>
      <c r="Q10" s="26">
        <v>7.000000000000001E-4</v>
      </c>
      <c r="R10" s="26">
        <v>3.0000000000000001E-3</v>
      </c>
      <c r="S10" s="21" t="s">
        <v>299</v>
      </c>
      <c r="T10" s="2"/>
      <c r="U10" s="2"/>
      <c r="V10" s="2"/>
      <c r="W10" s="2"/>
      <c r="X10" s="2"/>
      <c r="Y10" s="2"/>
      <c r="Z10" s="2"/>
    </row>
    <row r="11" spans="1:26" ht="14.25">
      <c r="A11" s="12" t="s">
        <v>318</v>
      </c>
      <c r="B11" s="15" t="s">
        <v>319</v>
      </c>
      <c r="C11" s="15" t="s">
        <v>320</v>
      </c>
      <c r="D11" s="15" t="s">
        <v>152</v>
      </c>
      <c r="E11" s="22">
        <v>222359</v>
      </c>
      <c r="F11" s="25">
        <v>0.1031</v>
      </c>
      <c r="G11" s="22">
        <f t="shared" si="0"/>
        <v>22925.212899999999</v>
      </c>
      <c r="H11" s="22">
        <f t="shared" si="1"/>
        <v>275102.55479999998</v>
      </c>
      <c r="I11" s="26">
        <f t="shared" si="2"/>
        <v>0.26281225350975945</v>
      </c>
      <c r="J11" s="26">
        <v>0.39200000000000002</v>
      </c>
      <c r="K11" s="28">
        <v>3.86</v>
      </c>
      <c r="L11" s="30">
        <v>2.3032407407407407E-3</v>
      </c>
      <c r="M11" s="26">
        <v>0.59200000000000008</v>
      </c>
      <c r="N11" s="26">
        <v>0.121</v>
      </c>
      <c r="O11" s="26">
        <v>1.9900000000000001E-2</v>
      </c>
      <c r="P11" s="26">
        <v>5.1400000000000001E-2</v>
      </c>
      <c r="Q11" s="26">
        <v>0.1159</v>
      </c>
      <c r="R11" s="26">
        <v>3.1099999999999999E-2</v>
      </c>
      <c r="S11" s="21" t="s">
        <v>299</v>
      </c>
      <c r="T11" s="2"/>
      <c r="U11" s="2"/>
      <c r="V11" s="2"/>
      <c r="W11" s="2"/>
      <c r="X11" s="2"/>
      <c r="Y11" s="2"/>
      <c r="Z11" s="2"/>
    </row>
    <row r="12" spans="1:26" ht="14.25">
      <c r="A12" s="12" t="s">
        <v>321</v>
      </c>
      <c r="B12" s="15" t="s">
        <v>322</v>
      </c>
      <c r="C12" s="15" t="s">
        <v>323</v>
      </c>
      <c r="D12" s="15" t="s">
        <v>152</v>
      </c>
      <c r="E12" s="22">
        <v>701540</v>
      </c>
      <c r="F12" s="25">
        <v>7.0000000000000001E-3</v>
      </c>
      <c r="G12" s="22">
        <f t="shared" si="0"/>
        <v>4910.78</v>
      </c>
      <c r="H12" s="22">
        <f t="shared" si="1"/>
        <v>58929.36</v>
      </c>
      <c r="I12" s="26">
        <f t="shared" si="2"/>
        <v>5.6296670566171991E-2</v>
      </c>
      <c r="J12" s="26">
        <v>0.4325</v>
      </c>
      <c r="K12" s="28">
        <v>3.24</v>
      </c>
      <c r="L12" s="30">
        <v>1.2037037037037038E-3</v>
      </c>
      <c r="M12" s="26">
        <v>0.35590000000000005</v>
      </c>
      <c r="N12" s="26">
        <v>0.40939999999999999</v>
      </c>
      <c r="O12" s="26">
        <v>0.1018</v>
      </c>
      <c r="P12" s="26">
        <v>2.01E-2</v>
      </c>
      <c r="Q12" s="26">
        <v>5.2900000000000003E-2</v>
      </c>
      <c r="R12" s="26">
        <v>3.3E-3</v>
      </c>
      <c r="S12" s="21" t="s">
        <v>299</v>
      </c>
      <c r="T12" s="2"/>
      <c r="U12" s="2"/>
      <c r="V12" s="2"/>
      <c r="W12" s="2"/>
      <c r="X12" s="2"/>
      <c r="Y12" s="2"/>
      <c r="Z12" s="2"/>
    </row>
    <row r="13" spans="1:26" ht="14.25">
      <c r="A13" s="12" t="s">
        <v>324</v>
      </c>
      <c r="B13" s="15" t="s">
        <v>325</v>
      </c>
      <c r="C13" s="15" t="s">
        <v>302</v>
      </c>
      <c r="D13" s="15" t="s">
        <v>150</v>
      </c>
      <c r="E13" s="22">
        <v>1935</v>
      </c>
      <c r="F13" s="25">
        <v>0.4294</v>
      </c>
      <c r="G13" s="22">
        <f t="shared" si="0"/>
        <v>830.88900000000001</v>
      </c>
      <c r="H13" s="22">
        <f t="shared" si="1"/>
        <v>9970.6679999999997</v>
      </c>
      <c r="I13" s="26">
        <f t="shared" si="2"/>
        <v>9.5252249764917352E-3</v>
      </c>
      <c r="J13" s="26">
        <v>0.40749999999999997</v>
      </c>
      <c r="K13" s="28">
        <v>2.0499999999999998</v>
      </c>
      <c r="L13" s="30">
        <v>6.3657407407407413E-4</v>
      </c>
      <c r="M13" s="26">
        <v>0.38969999999999999</v>
      </c>
      <c r="N13" s="26">
        <v>0.30840000000000001</v>
      </c>
      <c r="O13" s="26">
        <v>0.10640000000000001</v>
      </c>
      <c r="P13" s="26">
        <v>6.3699999999999993E-2</v>
      </c>
      <c r="Q13" s="26">
        <v>1.72E-2</v>
      </c>
      <c r="R13" s="26">
        <v>4.0300000000000002E-2</v>
      </c>
      <c r="S13" s="21" t="s">
        <v>299</v>
      </c>
      <c r="T13" s="2"/>
      <c r="U13" s="2"/>
      <c r="V13" s="2"/>
      <c r="W13" s="2"/>
      <c r="X13" s="2"/>
      <c r="Y13" s="2"/>
      <c r="Z13" s="2"/>
    </row>
    <row r="14" spans="1:26" ht="14.25">
      <c r="A14" s="12" t="s">
        <v>326</v>
      </c>
      <c r="B14" s="15" t="s">
        <v>327</v>
      </c>
      <c r="C14" s="12" t="s">
        <v>328</v>
      </c>
      <c r="D14" s="15" t="s">
        <v>151</v>
      </c>
      <c r="E14" s="22">
        <v>5522</v>
      </c>
      <c r="F14" s="25">
        <v>8.5500000000000007E-2</v>
      </c>
      <c r="G14" s="22">
        <f t="shared" si="0"/>
        <v>472.13100000000003</v>
      </c>
      <c r="H14" s="22">
        <f t="shared" si="1"/>
        <v>5665.5720000000001</v>
      </c>
      <c r="I14" s="26">
        <f t="shared" si="2"/>
        <v>5.4124606215463431E-3</v>
      </c>
      <c r="J14" s="26">
        <v>0.37270000000000003</v>
      </c>
      <c r="K14" s="28">
        <v>1.85</v>
      </c>
      <c r="L14" s="30">
        <v>3.9351851851851852E-4</v>
      </c>
      <c r="M14" s="26">
        <v>0.38520000000000004</v>
      </c>
      <c r="N14" s="26">
        <v>0.34020000000000006</v>
      </c>
      <c r="O14" s="26">
        <v>9.6500000000000002E-2</v>
      </c>
      <c r="P14" s="26">
        <v>6.1400000000000003E-2</v>
      </c>
      <c r="Q14" s="26">
        <v>1.3899999999999999E-2</v>
      </c>
      <c r="R14" s="26">
        <v>3.0099999999999998E-2</v>
      </c>
      <c r="S14" s="21" t="s">
        <v>299</v>
      </c>
      <c r="T14" s="2"/>
      <c r="U14" s="2"/>
      <c r="V14" s="2"/>
      <c r="W14" s="2"/>
      <c r="X14" s="2"/>
      <c r="Y14" s="2"/>
      <c r="Z14" s="2"/>
    </row>
    <row r="15" spans="1:26" ht="14.25">
      <c r="A15" s="32" t="s">
        <v>153</v>
      </c>
      <c r="B15" s="34" t="s">
        <v>350</v>
      </c>
      <c r="C15" s="34" t="s">
        <v>350</v>
      </c>
      <c r="D15" s="34" t="s">
        <v>350</v>
      </c>
      <c r="E15" s="37">
        <f>SUM(E3:E14)</f>
        <v>2006050</v>
      </c>
      <c r="F15" s="34" t="s">
        <v>350</v>
      </c>
      <c r="G15" s="37">
        <f>SUM(G3:G14)</f>
        <v>87230.380599999989</v>
      </c>
      <c r="H15" s="37">
        <f>SUM(H3:H14)</f>
        <v>1046764.5671999998</v>
      </c>
      <c r="I15" s="39">
        <f>SUM(I3:I14)</f>
        <v>1.0000000000000002</v>
      </c>
      <c r="J15" s="39">
        <f>AVERAGE(J3:J14)</f>
        <v>0.43296363636363638</v>
      </c>
      <c r="K15" s="40">
        <f>AVERAGE(K3:K14)</f>
        <v>2.4099999999999997</v>
      </c>
      <c r="L15" s="34" t="s">
        <v>350</v>
      </c>
      <c r="M15" s="39">
        <f t="shared" ref="M15:R15" si="3">SUMPRODUCT($G$3:$G$14,M3:M14)/SUM($G$3:$G$14)</f>
        <v>0.42811271005849544</v>
      </c>
      <c r="N15" s="39">
        <f t="shared" si="3"/>
        <v>0.33621024727914578</v>
      </c>
      <c r="O15" s="39">
        <f t="shared" si="3"/>
        <v>6.8977444410577307E-2</v>
      </c>
      <c r="P15" s="39">
        <f t="shared" si="3"/>
        <v>4.5325886585435807E-2</v>
      </c>
      <c r="Q15" s="39">
        <f t="shared" si="3"/>
        <v>4.40039542394247E-2</v>
      </c>
      <c r="R15" s="39">
        <f t="shared" si="3"/>
        <v>2.3418550096868437E-2</v>
      </c>
      <c r="S15" s="35" t="s">
        <v>350</v>
      </c>
      <c r="T15" s="2"/>
      <c r="U15" s="2"/>
      <c r="V15" s="2"/>
      <c r="W15" s="2"/>
      <c r="X15" s="2"/>
      <c r="Y15" s="2"/>
      <c r="Z15" s="2"/>
    </row>
  </sheetData>
  <mergeCells count="1">
    <mergeCell ref="A1:S1"/>
  </mergeCells>
  <conditionalFormatting sqref="G3:G14">
    <cfRule type="dataBar" priority="5">
      <dataBar>
        <cfvo type="min"/>
        <cfvo type="max"/>
        <color rgb="FF5B9BD5"/>
      </dataBar>
    </cfRule>
  </conditionalFormatting>
  <conditionalFormatting sqref="I3:I14">
    <cfRule type="dataBar" priority="6">
      <dataBar>
        <cfvo type="min"/>
        <cfvo type="max"/>
        <color rgb="FF5B9BD5"/>
      </dataBar>
    </cfRule>
  </conditionalFormatting>
  <conditionalFormatting sqref="G3:G14">
    <cfRule type="dataBar" priority="7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{EB80DA47-65D5-0FD9-4F60-F086E4E88A3E}</x14:id>
        </ext>
      </extLst>
    </cfRule>
  </conditionalFormatting>
  <conditionalFormatting sqref="I3:I14">
    <cfRule type="dataBar" priority="8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{CB69B622-0734-D549-5FB7-D119D9835D3D}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B80DA47-65D5-0FD9-4F60-F086E4E88A3E}">
            <x14:dataBar>
              <x14:cfvo type="min"/>
              <x14:cfvo type="max"/>
              <x14:negativeFillColor auto="1"/>
              <x14:axisColor auto="1"/>
            </x14:dataBar>
          </x14:cfRule>
          <xm:sqref>G3:G14</xm:sqref>
        </x14:conditionalFormatting>
        <x14:conditionalFormatting xmlns:xm="http://schemas.microsoft.com/office/excel/2006/main">
          <x14:cfRule type="dataBar" id="{CB69B622-0734-D549-5FB7-D119D9835D3D}">
            <x14:dataBar>
              <x14:cfvo type="min"/>
              <x14:cfvo type="max"/>
              <x14:negativeFillColor auto="1"/>
              <x14:axisColor auto="1"/>
            </x14:dataBar>
          </x14:cfRule>
          <xm:sqref>I3:I14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8"/>
  <sheetViews>
    <sheetView workbookViewId="0"/>
  </sheetViews>
  <sheetFormatPr defaultRowHeight="13.5"/>
  <cols>
    <col min="1" max="1" width="18.25" customWidth="1"/>
    <col min="2" max="2" width="25.625" customWidth="1"/>
    <col min="3" max="3" width="35.0625" customWidth="1"/>
    <col min="4" max="4" width="34" customWidth="1"/>
    <col min="5" max="5" width="47.6875" customWidth="1"/>
    <col min="6" max="6" width="44.5" customWidth="1"/>
    <col min="7" max="7" width="48.6875" customWidth="1"/>
    <col min="8" max="8" width="13" customWidth="1"/>
    <col min="9" max="26" width="10.5625" customWidth="1"/>
  </cols>
  <sheetData>
    <row r="1" spans="1:26" ht="20" customHeight="1">
      <c r="A1" s="49" t="s">
        <v>154</v>
      </c>
      <c r="B1" s="49"/>
      <c r="C1" s="49"/>
      <c r="D1" s="49"/>
      <c r="E1" s="49"/>
      <c r="F1" s="49"/>
      <c r="G1" s="49"/>
      <c r="H1" s="5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3" t="s">
        <v>155</v>
      </c>
      <c r="B2" s="3" t="s">
        <v>156</v>
      </c>
      <c r="C2" s="3" t="s">
        <v>157</v>
      </c>
      <c r="D2" s="3" t="s">
        <v>158</v>
      </c>
      <c r="E2" s="3" t="s">
        <v>159</v>
      </c>
      <c r="F2" s="3" t="s">
        <v>351</v>
      </c>
      <c r="G2" s="3" t="s">
        <v>160</v>
      </c>
      <c r="H2" s="9" t="s">
        <v>161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12" t="s">
        <v>143</v>
      </c>
      <c r="B3" s="26">
        <f>'02_Конкуренты_SW'!M15</f>
        <v>0.42811271005849544</v>
      </c>
      <c r="C3" s="22">
        <f>B3*'01_Параметры'!$B$11</f>
        <v>67898.972069272728</v>
      </c>
      <c r="D3" s="22">
        <f t="shared" ref="D3:D8" si="0">C3*12</f>
        <v>814787.66483127279</v>
      </c>
      <c r="E3" s="12" t="s">
        <v>162</v>
      </c>
      <c r="F3" s="12" t="s">
        <v>163</v>
      </c>
      <c r="G3" s="12" t="s">
        <v>164</v>
      </c>
      <c r="H3" s="18" t="str">
        <f t="shared" ref="H3:H8" si="1">IF(B3&gt;=0.3,"высокий",IF(B3&gt;=0.15,"средний","низкий"))</f>
        <v>высокий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12" t="s">
        <v>144</v>
      </c>
      <c r="B4" s="26">
        <f>'02_Конкуренты_SW'!N15</f>
        <v>0.33621024727914578</v>
      </c>
      <c r="C4" s="22">
        <f>B4*'01_Параметры'!$B$11</f>
        <v>53323.177875963629</v>
      </c>
      <c r="D4" s="22">
        <f t="shared" si="0"/>
        <v>639878.13451156358</v>
      </c>
      <c r="E4" s="12" t="s">
        <v>165</v>
      </c>
      <c r="F4" s="12" t="s">
        <v>166</v>
      </c>
      <c r="G4" s="12" t="s">
        <v>167</v>
      </c>
      <c r="H4" s="18" t="str">
        <f t="shared" si="1"/>
        <v>высокий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12" t="s">
        <v>145</v>
      </c>
      <c r="B5" s="26">
        <f>'02_Конкуренты_SW'!O15</f>
        <v>6.8977444410577307E-2</v>
      </c>
      <c r="C5" s="22">
        <f>B5*'01_Параметры'!$B$11</f>
        <v>10939.870415909092</v>
      </c>
      <c r="D5" s="22">
        <f t="shared" si="0"/>
        <v>131278.44499090911</v>
      </c>
      <c r="E5" s="12" t="s">
        <v>168</v>
      </c>
      <c r="F5" s="12" t="s">
        <v>169</v>
      </c>
      <c r="G5" s="12" t="s">
        <v>170</v>
      </c>
      <c r="H5" s="18" t="str">
        <f t="shared" si="1"/>
        <v>низкий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12" t="s">
        <v>146</v>
      </c>
      <c r="B6" s="26">
        <f>'02_Конкуренты_SW'!P15</f>
        <v>4.5325886585435807E-2</v>
      </c>
      <c r="C6" s="22">
        <f>B6*'01_Параметры'!$B$11</f>
        <v>7188.7169779636351</v>
      </c>
      <c r="D6" s="22">
        <f t="shared" si="0"/>
        <v>86264.603735563622</v>
      </c>
      <c r="E6" s="15" t="s">
        <v>171</v>
      </c>
      <c r="F6" s="12" t="s">
        <v>172</v>
      </c>
      <c r="G6" s="12" t="s">
        <v>173</v>
      </c>
      <c r="H6" s="18" t="str">
        <f t="shared" si="1"/>
        <v>низкий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12" t="s">
        <v>147</v>
      </c>
      <c r="B7" s="26">
        <f>'02_Конкуренты_SW'!Q15</f>
        <v>4.40039542394247E-2</v>
      </c>
      <c r="C7" s="22">
        <f>B7*'01_Параметры'!$B$11</f>
        <v>6979.0575931090907</v>
      </c>
      <c r="D7" s="22">
        <f t="shared" si="0"/>
        <v>83748.691117309092</v>
      </c>
      <c r="E7" s="12" t="s">
        <v>174</v>
      </c>
      <c r="F7" s="12" t="s">
        <v>175</v>
      </c>
      <c r="G7" s="12" t="s">
        <v>176</v>
      </c>
      <c r="H7" s="18" t="str">
        <f t="shared" si="1"/>
        <v>низкий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13" t="s">
        <v>148</v>
      </c>
      <c r="B8" s="27">
        <f>'02_Конкуренты_SW'!R15</f>
        <v>2.3418550096868437E-2</v>
      </c>
      <c r="C8" s="23">
        <f>B8*'01_Параметры'!$B$11</f>
        <v>3714.1982510000007</v>
      </c>
      <c r="D8" s="23">
        <f t="shared" si="0"/>
        <v>44570.379012000005</v>
      </c>
      <c r="E8" s="16" t="s">
        <v>177</v>
      </c>
      <c r="F8" s="16" t="s">
        <v>178</v>
      </c>
      <c r="G8" s="13" t="s">
        <v>179</v>
      </c>
      <c r="H8" s="17" t="str">
        <f t="shared" si="1"/>
        <v>низкий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</sheetData>
  <mergeCells count="1">
    <mergeCell ref="A1:H1"/>
  </mergeCells>
  <conditionalFormatting sqref="B3:B8">
    <cfRule type="dataBar" priority="1">
      <dataBar>
        <cfvo type="min"/>
        <cfvo type="max"/>
        <color rgb="FF5B9BD5"/>
      </dataBar>
    </cfRule>
  </conditionalFormatting>
  <conditionalFormatting sqref="B3:B8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{A25272C7-95F9-2CA7-00A0-2CD1C1E906FA}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5272C7-95F9-2CA7-00A0-2CD1C1E906FA}">
            <x14:dataBar>
              <x14:cfvo type="min"/>
              <x14:cfvo type="max"/>
              <x14:negativeFillColor auto="1"/>
              <x14:axisColor auto="1"/>
            </x14:dataBar>
          </x14:cfRule>
          <xm:sqref>B3:B8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6"/>
  <sheetViews>
    <sheetView workbookViewId="0"/>
  </sheetViews>
  <sheetFormatPr defaultRowHeight="13.5"/>
  <cols>
    <col min="1" max="2" width="52.5625" customWidth="1"/>
    <col min="3" max="3" width="35.0625" customWidth="1"/>
    <col min="4" max="4" width="34" customWidth="1"/>
    <col min="5" max="5" width="37.1875" customWidth="1"/>
    <col min="6" max="6" width="26.6875" customWidth="1"/>
    <col min="7" max="7" width="19.3125" customWidth="1"/>
    <col min="8" max="8" width="45.5625" customWidth="1"/>
    <col min="9" max="26" width="10.5625" customWidth="1"/>
  </cols>
  <sheetData>
    <row r="1" spans="1:26" ht="20" customHeight="1">
      <c r="A1" s="49" t="s">
        <v>180</v>
      </c>
      <c r="B1" s="49"/>
      <c r="C1" s="49"/>
      <c r="D1" s="49"/>
      <c r="E1" s="49"/>
      <c r="F1" s="49"/>
      <c r="G1" s="49"/>
      <c r="H1" s="5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3" t="s">
        <v>181</v>
      </c>
      <c r="B2" s="3" t="s">
        <v>338</v>
      </c>
      <c r="C2" s="3" t="s">
        <v>182</v>
      </c>
      <c r="D2" s="3" t="s">
        <v>183</v>
      </c>
      <c r="E2" s="3" t="s">
        <v>184</v>
      </c>
      <c r="F2" s="3" t="s">
        <v>185</v>
      </c>
      <c r="G2" s="3" t="s">
        <v>186</v>
      </c>
      <c r="H2" s="9" t="s">
        <v>97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12" t="s">
        <v>329</v>
      </c>
      <c r="B3" s="26">
        <v>0.1673</v>
      </c>
      <c r="C3" s="22">
        <f>B3*'01_Параметры'!$B$11</f>
        <v>26533.895771599997</v>
      </c>
      <c r="D3" s="22">
        <f>C3*12</f>
        <v>318406.74925919995</v>
      </c>
      <c r="E3" s="15" t="s">
        <v>188</v>
      </c>
      <c r="F3" s="15" t="s">
        <v>188</v>
      </c>
      <c r="G3" s="15" t="str">
        <f>IF(B3&gt;=0.35,"высокий",IF(B3&gt;=0.15,"средний","низкий"))</f>
        <v>средний</v>
      </c>
      <c r="H3" s="21" t="s">
        <v>352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12" t="s">
        <v>330</v>
      </c>
      <c r="B4" s="26">
        <v>1.7299999999999999E-2</v>
      </c>
      <c r="C4" s="22">
        <f>B4*'01_Параметры'!$B$11</f>
        <v>2743.7919715999997</v>
      </c>
      <c r="D4" s="22">
        <f>C4*12</f>
        <v>32925.503659199996</v>
      </c>
      <c r="E4" s="15" t="s">
        <v>188</v>
      </c>
      <c r="F4" s="15" t="s">
        <v>187</v>
      </c>
      <c r="G4" s="15" t="str">
        <f>IF(B4&gt;=0.35,"высокий",IF(B4&gt;=0.15,"средний","низкий"))</f>
        <v>низкий</v>
      </c>
      <c r="H4" s="18" t="s">
        <v>335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12" t="s">
        <v>331</v>
      </c>
      <c r="B5" s="26">
        <v>2.5399999999999999E-2</v>
      </c>
      <c r="C5" s="22">
        <f>B5*'01_Параметры'!$B$11</f>
        <v>4028.4575767999995</v>
      </c>
      <c r="D5" s="22">
        <f>C5*12</f>
        <v>48341.490921599994</v>
      </c>
      <c r="E5" s="15" t="s">
        <v>188</v>
      </c>
      <c r="F5" s="15" t="s">
        <v>187</v>
      </c>
      <c r="G5" s="15" t="str">
        <f>IF(B5&gt;=0.35,"высокий",IF(B5&gt;=0.15,"средний","низкий"))</f>
        <v>низкий</v>
      </c>
      <c r="H5" s="18" t="s">
        <v>336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8.5">
      <c r="A6" s="13" t="s">
        <v>332</v>
      </c>
      <c r="B6" s="27">
        <v>0.79</v>
      </c>
      <c r="C6" s="23">
        <f>B6*'01_Параметры'!$B$11</f>
        <v>125294.54667999998</v>
      </c>
      <c r="D6" s="23">
        <f>C6*12</f>
        <v>1503534.5601599999</v>
      </c>
      <c r="E6" s="16" t="s">
        <v>333</v>
      </c>
      <c r="F6" s="16" t="s">
        <v>334</v>
      </c>
      <c r="G6" s="16" t="str">
        <f>IF(B6&gt;=0.35,"высокий",IF(B6&gt;=0.15,"средний","низкий"))</f>
        <v>высокий</v>
      </c>
      <c r="H6" s="14" t="s">
        <v>337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mergeCells count="1">
    <mergeCell ref="A1:H1"/>
  </mergeCells>
  <conditionalFormatting sqref="B3:B6">
    <cfRule type="dataBar" priority="1">
      <dataBar>
        <cfvo type="min"/>
        <cfvo type="max"/>
        <color rgb="FF5B9BD5"/>
      </dataBar>
    </cfRule>
  </conditionalFormatting>
  <conditionalFormatting sqref="B3:B6"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{03081BB8-B402-1447-119C-38DF0B9C73D3}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3081BB8-B402-1447-119C-38DF0B9C73D3}">
            <x14:dataBar>
              <x14:cfvo type="min"/>
              <x14:cfvo type="max"/>
              <x14:negativeFillColor auto="1"/>
              <x14:axisColor auto="1"/>
            </x14:dataBar>
          </x14:cfRule>
          <xm:sqref>B3:B6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6"/>
  <sheetViews>
    <sheetView workbookViewId="0"/>
  </sheetViews>
  <sheetFormatPr defaultRowHeight="13.5"/>
  <cols>
    <col min="1" max="2" width="52.5625" customWidth="1"/>
    <col min="3" max="3" width="27.6875" customWidth="1"/>
    <col min="4" max="4" width="29.8125" customWidth="1"/>
    <col min="5" max="5" width="32.9375" customWidth="1"/>
    <col min="6" max="6" width="20.375" customWidth="1"/>
    <col min="7" max="7" width="34" customWidth="1"/>
    <col min="8" max="8" width="32.9375" customWidth="1"/>
    <col min="9" max="9" width="21.4375" customWidth="1"/>
    <col min="10" max="10" width="50.8125" customWidth="1"/>
    <col min="11" max="26" width="10.5625" customWidth="1"/>
  </cols>
  <sheetData>
    <row r="1" spans="1:26" ht="20" customHeight="1">
      <c r="A1" s="49" t="s">
        <v>189</v>
      </c>
      <c r="B1" s="49"/>
      <c r="C1" s="49"/>
      <c r="D1" s="49"/>
      <c r="E1" s="49"/>
      <c r="F1" s="49"/>
      <c r="G1" s="49"/>
      <c r="H1" s="49"/>
      <c r="I1" s="49"/>
      <c r="J1" s="50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3" t="s">
        <v>190</v>
      </c>
      <c r="B2" s="3" t="s">
        <v>191</v>
      </c>
      <c r="C2" s="3" t="s">
        <v>192</v>
      </c>
      <c r="D2" s="3" t="s">
        <v>193</v>
      </c>
      <c r="E2" s="3" t="s">
        <v>194</v>
      </c>
      <c r="F2" s="3" t="s">
        <v>195</v>
      </c>
      <c r="G2" s="3" t="s">
        <v>52</v>
      </c>
      <c r="H2" s="3" t="s">
        <v>134</v>
      </c>
      <c r="I2" s="3" t="s">
        <v>196</v>
      </c>
      <c r="J2" s="9" t="s">
        <v>97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8.5">
      <c r="A3" s="12" t="s">
        <v>339</v>
      </c>
      <c r="B3" s="12" t="s">
        <v>353</v>
      </c>
      <c r="C3" s="26">
        <v>0.109</v>
      </c>
      <c r="D3" s="22">
        <f>C3*'01_Параметры'!$B$11</f>
        <v>17287.475427999998</v>
      </c>
      <c r="E3" s="15" t="s">
        <v>340</v>
      </c>
      <c r="F3" s="28">
        <v>1</v>
      </c>
      <c r="G3" s="22">
        <f t="shared" ref="G3:G6" si="0">D3*F3</f>
        <v>17287.475427999998</v>
      </c>
      <c r="H3" s="15" t="s">
        <v>340</v>
      </c>
      <c r="I3" s="15" t="s">
        <v>197</v>
      </c>
      <c r="J3" s="21" t="s">
        <v>354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8.5">
      <c r="A4" s="12" t="s">
        <v>341</v>
      </c>
      <c r="B4" s="12" t="s">
        <v>353</v>
      </c>
      <c r="C4" s="26">
        <v>0.36599999999999999</v>
      </c>
      <c r="D4" s="22">
        <f>C4*'01_Параметры'!$B$11</f>
        <v>58047.853271999993</v>
      </c>
      <c r="E4" s="15" t="s">
        <v>198</v>
      </c>
      <c r="F4" s="28">
        <v>0.6</v>
      </c>
      <c r="G4" s="22">
        <f t="shared" si="0"/>
        <v>34828.711963199996</v>
      </c>
      <c r="H4" s="15" t="s">
        <v>198</v>
      </c>
      <c r="I4" s="15" t="s">
        <v>197</v>
      </c>
      <c r="J4" s="21" t="s">
        <v>342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8.5">
      <c r="A5" s="12" t="s">
        <v>343</v>
      </c>
      <c r="B5" s="12" t="s">
        <v>353</v>
      </c>
      <c r="C5" s="26">
        <v>0.45300000000000001</v>
      </c>
      <c r="D5" s="22">
        <f>C5*'01_Параметры'!$B$11</f>
        <v>71846.113475999999</v>
      </c>
      <c r="E5" s="15" t="s">
        <v>344</v>
      </c>
      <c r="F5" s="28">
        <v>0.25</v>
      </c>
      <c r="G5" s="22">
        <f t="shared" si="0"/>
        <v>17961.528369</v>
      </c>
      <c r="H5" s="15" t="s">
        <v>344</v>
      </c>
      <c r="I5" s="15" t="s">
        <v>345</v>
      </c>
      <c r="J5" s="21" t="s">
        <v>346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8.5">
      <c r="A6" s="13" t="s">
        <v>347</v>
      </c>
      <c r="B6" s="13" t="s">
        <v>353</v>
      </c>
      <c r="C6" s="27">
        <v>7.1999999999999995E-2</v>
      </c>
      <c r="D6" s="23">
        <f>C6*'01_Параметры'!$B$11</f>
        <v>11419.249823999999</v>
      </c>
      <c r="E6" s="16" t="s">
        <v>348</v>
      </c>
      <c r="F6" s="29">
        <v>0.1</v>
      </c>
      <c r="G6" s="23">
        <f t="shared" si="0"/>
        <v>1141.9249823999999</v>
      </c>
      <c r="H6" s="16" t="s">
        <v>348</v>
      </c>
      <c r="I6" s="16" t="s">
        <v>199</v>
      </c>
      <c r="J6" s="14" t="s">
        <v>349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mergeCells count="1">
    <mergeCell ref="A1:J1"/>
  </mergeCells>
  <conditionalFormatting sqref="G3:G6">
    <cfRule type="dataBar" priority="9">
      <dataBar>
        <cfvo type="min"/>
        <cfvo type="max"/>
        <color rgb="FF5B9BD5"/>
      </dataBar>
    </cfRule>
  </conditionalFormatting>
  <conditionalFormatting sqref="G3:G6">
    <cfRule type="dataBar" priority="10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{7D7FB6A3-5205-A760-7B60-17D23870CB04}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7FB6A3-5205-A760-7B60-17D23870CB04}">
            <x14:dataBar>
              <x14:cfvo type="min"/>
              <x14:cfvo type="max"/>
              <x14:negativeFillColor auto="1"/>
              <x14:axisColor auto="1"/>
            </x14:dataBar>
          </x14:cfRule>
          <xm:sqref>G3:G6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7"/>
  <sheetViews>
    <sheetView workbookViewId="0"/>
  </sheetViews>
  <sheetFormatPr defaultRowHeight="13.5"/>
  <cols>
    <col min="1" max="2" width="52.5625" customWidth="1"/>
    <col min="3" max="3" width="35.0625" customWidth="1"/>
    <col min="4" max="4" width="45.5625" customWidth="1"/>
    <col min="5" max="5" width="49.75" customWidth="1"/>
    <col min="6" max="6" width="43.4375" customWidth="1"/>
    <col min="7" max="7" width="25.625" customWidth="1"/>
    <col min="8" max="9" width="16.1875" customWidth="1"/>
    <col min="10" max="10" width="18.25" customWidth="1"/>
    <col min="11" max="26" width="10.5625" customWidth="1"/>
  </cols>
  <sheetData>
    <row r="1" spans="1:26" ht="20" customHeight="1">
      <c r="A1" s="49" t="s">
        <v>200</v>
      </c>
      <c r="B1" s="49"/>
      <c r="C1" s="49"/>
      <c r="D1" s="49"/>
      <c r="E1" s="49"/>
      <c r="F1" s="49"/>
      <c r="G1" s="49"/>
      <c r="H1" s="49"/>
      <c r="I1" s="49"/>
      <c r="J1" s="50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57" t="s">
        <v>201</v>
      </c>
      <c r="B2" s="57"/>
      <c r="C2" s="57"/>
      <c r="D2" s="57"/>
      <c r="E2" s="57"/>
      <c r="F2" s="57"/>
      <c r="G2" s="57"/>
      <c r="H2" s="57"/>
      <c r="I2" s="57"/>
      <c r="J2" s="58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3" t="s">
        <v>202</v>
      </c>
      <c r="B3" s="3" t="s">
        <v>114</v>
      </c>
      <c r="C3" s="3" t="s">
        <v>203</v>
      </c>
      <c r="D3" s="3" t="s">
        <v>204</v>
      </c>
      <c r="E3" s="3" t="s">
        <v>205</v>
      </c>
      <c r="F3" s="3" t="s">
        <v>206</v>
      </c>
      <c r="G3" s="3" t="s">
        <v>207</v>
      </c>
      <c r="H3" s="3" t="s">
        <v>208</v>
      </c>
      <c r="I3" s="3" t="s">
        <v>209</v>
      </c>
      <c r="J3" s="9" t="s">
        <v>210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12" t="s">
        <v>211</v>
      </c>
      <c r="B4" s="25">
        <v>0.7</v>
      </c>
      <c r="C4" s="22">
        <f>IFERROR('01_Параметры'!$B$8/B4,0)</f>
        <v>124614.82942857142</v>
      </c>
      <c r="D4" s="26">
        <v>0.02</v>
      </c>
      <c r="E4" s="26">
        <v>0.03</v>
      </c>
      <c r="F4" s="41">
        <v>17.27</v>
      </c>
      <c r="G4" s="28">
        <v>3.12</v>
      </c>
      <c r="H4" s="22">
        <f>C4*D4*E4</f>
        <v>74.768897657142844</v>
      </c>
      <c r="I4" s="41">
        <f>H4*F4</f>
        <v>1291.2588625388569</v>
      </c>
      <c r="J4" s="44">
        <f>I4*12*G4</f>
        <v>48344.731813454797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12" t="s">
        <v>212</v>
      </c>
      <c r="B5" s="25">
        <v>0.55000000000000004</v>
      </c>
      <c r="C5" s="22">
        <f>IFERROR('01_Параметры'!$B$8/B5,0)</f>
        <v>158600.69199999998</v>
      </c>
      <c r="D5" s="26">
        <v>0.04</v>
      </c>
      <c r="E5" s="26">
        <v>0.05</v>
      </c>
      <c r="F5" s="41">
        <v>19.43</v>
      </c>
      <c r="G5" s="28">
        <v>5.1749999999999998</v>
      </c>
      <c r="H5" s="22">
        <f>C5*D5*E5</f>
        <v>317.20138399999996</v>
      </c>
      <c r="I5" s="41">
        <f>H5*F5</f>
        <v>6163.2228911199991</v>
      </c>
      <c r="J5" s="44">
        <f>I5*12*G5</f>
        <v>382736.14153855189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12" t="s">
        <v>213</v>
      </c>
      <c r="B6" s="25">
        <v>0.4</v>
      </c>
      <c r="C6" s="22">
        <f>IFERROR('01_Параметры'!$B$8/B6,0)</f>
        <v>218075.95149999997</v>
      </c>
      <c r="D6" s="26">
        <v>7.0000000000000007E-2</v>
      </c>
      <c r="E6" s="26">
        <v>0.08</v>
      </c>
      <c r="F6" s="41">
        <v>20.29</v>
      </c>
      <c r="G6" s="28">
        <v>7.35</v>
      </c>
      <c r="H6" s="22">
        <f>C6*D6*E6</f>
        <v>1221.2253284000001</v>
      </c>
      <c r="I6" s="41">
        <f>H6*F6</f>
        <v>24778.661913235999</v>
      </c>
      <c r="J6" s="44">
        <f>I6*12*G6</f>
        <v>2185477.9807474152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0" customHeight="1">
      <c r="A7" s="51" t="s">
        <v>214</v>
      </c>
      <c r="B7" s="51"/>
      <c r="C7" s="51"/>
      <c r="D7" s="51"/>
      <c r="E7" s="51"/>
      <c r="F7" s="51"/>
      <c r="G7" s="55"/>
      <c r="H7" s="55"/>
      <c r="I7" s="55"/>
      <c r="J7" s="56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3" t="s">
        <v>202</v>
      </c>
      <c r="B8" s="3" t="s">
        <v>215</v>
      </c>
      <c r="C8" s="3" t="s">
        <v>216</v>
      </c>
      <c r="D8" s="3" t="s">
        <v>217</v>
      </c>
      <c r="E8" s="3" t="s">
        <v>97</v>
      </c>
      <c r="F8" s="9" t="s">
        <v>160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12" t="s">
        <v>211</v>
      </c>
      <c r="B9" s="41">
        <f>J4</f>
        <v>48344.731813454797</v>
      </c>
      <c r="C9" s="26">
        <v>5.0000000000000001E-3</v>
      </c>
      <c r="D9" s="41">
        <f>B9*C9</f>
        <v>241.72365906727399</v>
      </c>
      <c r="E9" s="12" t="s">
        <v>218</v>
      </c>
      <c r="F9" s="21" t="s">
        <v>219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12" t="s">
        <v>212</v>
      </c>
      <c r="B10" s="41">
        <f>J5</f>
        <v>382736.14153855189</v>
      </c>
      <c r="C10" s="26">
        <v>1.4999999999999999E-2</v>
      </c>
      <c r="D10" s="41">
        <f>B10*C10</f>
        <v>5741.0421230782786</v>
      </c>
      <c r="E10" s="15" t="s">
        <v>220</v>
      </c>
      <c r="F10" s="21" t="s">
        <v>357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12" t="s">
        <v>213</v>
      </c>
      <c r="B11" s="41">
        <f>J6</f>
        <v>2185477.9807474152</v>
      </c>
      <c r="C11" s="26">
        <v>0.04</v>
      </c>
      <c r="D11" s="41">
        <f>B11*C11</f>
        <v>87419.119229896605</v>
      </c>
      <c r="E11" s="12" t="s">
        <v>221</v>
      </c>
      <c r="F11" s="21" t="s">
        <v>358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0" customHeight="1">
      <c r="A12" s="51" t="s">
        <v>222</v>
      </c>
      <c r="B12" s="51"/>
      <c r="C12" s="51"/>
      <c r="D12" s="51"/>
      <c r="E12" s="51"/>
      <c r="F12" s="51"/>
      <c r="G12" s="55"/>
      <c r="H12" s="55"/>
      <c r="I12" s="55"/>
      <c r="J12" s="56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28.5">
      <c r="A13" s="4" t="s">
        <v>223</v>
      </c>
      <c r="B13" s="6" t="s">
        <v>350</v>
      </c>
      <c r="C13" s="6" t="s">
        <v>350</v>
      </c>
      <c r="D13" s="6" t="s">
        <v>350</v>
      </c>
      <c r="E13" s="6" t="s">
        <v>350</v>
      </c>
      <c r="F13" s="10" t="s">
        <v>350</v>
      </c>
      <c r="G13" s="1"/>
      <c r="H13" s="1"/>
      <c r="I13" s="1"/>
      <c r="J13" s="1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>
      <c r="A14" s="4" t="s">
        <v>224</v>
      </c>
      <c r="B14" s="41" t="s">
        <v>350</v>
      </c>
      <c r="C14" s="41" t="s">
        <v>225</v>
      </c>
      <c r="D14" s="41" t="s">
        <v>350</v>
      </c>
      <c r="E14" s="41" t="s">
        <v>226</v>
      </c>
      <c r="F14" s="41" t="s">
        <v>350</v>
      </c>
      <c r="G14" s="7" t="s">
        <v>227</v>
      </c>
      <c r="H14" s="8" t="s">
        <v>355</v>
      </c>
      <c r="I14" s="1"/>
      <c r="J14" s="1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>
      <c r="A15" s="4" t="str">
        <f>A9</f>
        <v>Осторожный</v>
      </c>
      <c r="B15" s="41">
        <f>D9</f>
        <v>241.72365906727399</v>
      </c>
      <c r="C15" s="41" t="str">
        <f>A10</f>
        <v>Базовый</v>
      </c>
      <c r="D15" s="41">
        <f>D10</f>
        <v>5741.0421230782786</v>
      </c>
      <c r="E15" s="41" t="str">
        <f>A11</f>
        <v>Оптимистичный</v>
      </c>
      <c r="F15" s="44">
        <f>D11</f>
        <v>87419.119229896605</v>
      </c>
      <c r="G15" s="1"/>
      <c r="H15" s="1"/>
      <c r="I15" s="1"/>
      <c r="J15" s="1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>
      <c r="A16" s="4" t="s">
        <v>228</v>
      </c>
      <c r="B16" s="41">
        <f>J4</f>
        <v>48344.731813454797</v>
      </c>
      <c r="C16" s="41" t="s">
        <v>229</v>
      </c>
      <c r="D16" s="41">
        <f>J5</f>
        <v>382736.14153855189</v>
      </c>
      <c r="E16" s="41" t="s">
        <v>230</v>
      </c>
      <c r="F16" s="44">
        <f>J6</f>
        <v>2185477.9807474152</v>
      </c>
      <c r="G16" s="1"/>
      <c r="H16" s="1"/>
      <c r="I16" s="1"/>
      <c r="J16" s="1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57">
      <c r="A17" s="5" t="s">
        <v>231</v>
      </c>
      <c r="B17" s="5" t="str">
        <f>"При заданных допущениях годовой объем цифрового рынка оценивается в диапазоне от "&amp;TEXT(J4,"# ##0")&amp;" до "&amp;TEXT(J6,"# ##0")&amp;" у.е., а достижимая выручка нового бизнеса — от "&amp;TEXT(D9,"# ##0")&amp;" до "&amp;TEXT(D11,"# ##0")&amp;" у.е. в год."</f>
        <v>При заданных допущениях годовой объем цифрового рынка оценивается в диапазоне от 48 345 до 2 185 478 у.е., а достижимая выручка нового бизнеса — от 242 до 87 419 у.е. в год.</v>
      </c>
      <c r="C17" s="7" t="s">
        <v>350</v>
      </c>
      <c r="D17" s="7" t="s">
        <v>350</v>
      </c>
      <c r="E17" s="7" t="s">
        <v>350</v>
      </c>
      <c r="F17" s="8" t="s">
        <v>350</v>
      </c>
      <c r="G17" s="1"/>
      <c r="H17" s="1"/>
      <c r="I17" s="1"/>
      <c r="J17" s="1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</sheetData>
  <mergeCells count="4">
    <mergeCell ref="A1:J1"/>
    <mergeCell ref="A2:J2"/>
    <mergeCell ref="A7:J7"/>
    <mergeCell ref="A12:J12"/>
  </mergeCells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9"/>
  <sheetViews>
    <sheetView workbookViewId="0"/>
  </sheetViews>
  <sheetFormatPr defaultRowHeight="13.5"/>
  <cols>
    <col min="1" max="1" width="24.5625" customWidth="1"/>
    <col min="2" max="2" width="52.5625" customWidth="1"/>
    <col min="3" max="3" width="28.75" customWidth="1"/>
    <col min="4" max="4" width="31.9375" customWidth="1"/>
    <col min="5" max="5" width="28.75" customWidth="1"/>
    <col min="6" max="6" width="43.4375" customWidth="1"/>
    <col min="7" max="7" width="27.6875" customWidth="1"/>
    <col min="8" max="8" width="14.0625" customWidth="1"/>
    <col min="9" max="9" width="29.8125" customWidth="1"/>
    <col min="10" max="10" width="10.9375" customWidth="1"/>
    <col min="11" max="26" width="10.5625" customWidth="1"/>
  </cols>
  <sheetData>
    <row r="1" spans="1:26" ht="20" customHeight="1">
      <c r="A1" s="49" t="s">
        <v>232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" customHeight="1">
      <c r="A2" s="57" t="s">
        <v>233</v>
      </c>
      <c r="B2" s="57"/>
      <c r="C2" s="57"/>
      <c r="D2" s="57"/>
      <c r="E2" s="57"/>
      <c r="F2" s="57"/>
      <c r="G2" s="57"/>
      <c r="H2" s="57"/>
      <c r="I2" s="57"/>
      <c r="J2" s="57"/>
      <c r="K2" s="59"/>
      <c r="L2" s="60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8.5">
      <c r="A3" s="33" t="s">
        <v>234</v>
      </c>
      <c r="B3" s="31" t="str">
        <f>'01_Параметры'!B3</f>
        <v>Онлайн-проверка Excel-моделей и финансовых таблиц (TableMind)</v>
      </c>
      <c r="C3" s="33" t="s">
        <v>235</v>
      </c>
      <c r="D3" s="33" t="str">
        <f>'01_Параметры'!B4</f>
        <v>Англоязычные страны и ЕС-27</v>
      </c>
      <c r="E3" s="33" t="s">
        <v>236</v>
      </c>
      <c r="F3" s="33">
        <f>'01_Параметры'!B7</f>
        <v>12</v>
      </c>
      <c r="G3" s="33" t="s">
        <v>237</v>
      </c>
      <c r="H3" s="36">
        <f>'01_Параметры'!B8</f>
        <v>87230.380599999989</v>
      </c>
      <c r="I3" s="36" t="s">
        <v>238</v>
      </c>
      <c r="J3" s="46">
        <f>'01_Параметры'!B11</f>
        <v>158600.69199999998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33" t="s">
        <v>239</v>
      </c>
      <c r="B4" s="45">
        <f>'06_Воронка_сценарии'!J4</f>
        <v>48344.731813454797</v>
      </c>
      <c r="C4" s="45" t="s">
        <v>240</v>
      </c>
      <c r="D4" s="45">
        <f>'06_Воронка_сценарии'!J5</f>
        <v>382736.14153855189</v>
      </c>
      <c r="E4" s="45" t="s">
        <v>241</v>
      </c>
      <c r="F4" s="45">
        <f>'06_Воронка_сценарии'!J6</f>
        <v>2185477.9807474152</v>
      </c>
      <c r="G4" s="45" t="s">
        <v>242</v>
      </c>
      <c r="H4" s="45">
        <f>'06_Воронка_сценарии'!D10</f>
        <v>5741.0421230782786</v>
      </c>
      <c r="I4" s="34" t="s">
        <v>243</v>
      </c>
      <c r="J4" s="35" t="str">
        <f>INDEX('03_Каналы'!A3:A8,MATCH(MAX('03_Каналы'!B3:B8),'03_Каналы'!B3:B8,0))</f>
        <v>Direct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33" t="s">
        <v>244</v>
      </c>
      <c r="B5" s="33" t="str">
        <f>INDEX('02_Конкуренты_SW'!B3:B14,MATCH(MAX('02_Конкуренты_SW'!G3:G14),'02_Конкуренты_SW'!G3:G14,0))</f>
        <v>Datarails</v>
      </c>
      <c r="C5" s="34" t="s">
        <v>245</v>
      </c>
      <c r="D5" s="39">
        <f>MAX('02_Конкуренты_SW'!I3:I14)</f>
        <v>0.26281225350975945</v>
      </c>
      <c r="E5" s="34" t="s">
        <v>246</v>
      </c>
      <c r="F5" s="32" t="str">
        <f>INDEX('05_Запросы'!A3:A6,MATCH(MAX('05_Запросы'!G3:G6),'05_Запросы'!G3:G6,0))</f>
        <v>проблемные запросы (ошибки в формулах)</v>
      </c>
      <c r="G5" s="34" t="s">
        <v>247</v>
      </c>
      <c r="H5" s="38">
        <f>MAX('05_Запросы'!G3:G6)</f>
        <v>34828.711963199996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57">
      <c r="A6" s="33" t="s">
        <v>248</v>
      </c>
      <c r="B6" s="47" t="str">
        <f>'06_Воронка_сценарии'!B17</f>
        <v>При заданных допущениях годовой объем цифрового рынка оценивается в диапазоне от 48 345 до 2 185 478 у.е., а достижимая выручка нового бизнеса — от 242 до 87 419 у.е. в год.</v>
      </c>
      <c r="C6" s="1"/>
      <c r="D6" s="1"/>
      <c r="E6" s="1"/>
      <c r="F6" s="1"/>
      <c r="G6" s="1"/>
      <c r="H6" s="1"/>
      <c r="I6" s="1"/>
      <c r="J6" s="1"/>
      <c r="K6" s="1"/>
      <c r="L6" s="1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3" t="s">
        <v>202</v>
      </c>
      <c r="B7" s="3" t="s">
        <v>249</v>
      </c>
      <c r="C7" s="9" t="s">
        <v>250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12" t="s">
        <v>211</v>
      </c>
      <c r="B8" s="41">
        <f>'06_Воронка_сценарии'!J4</f>
        <v>48344.731813454797</v>
      </c>
      <c r="C8" s="44">
        <f>'06_Воронка_сценарии'!D9</f>
        <v>241.72365906727399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12" t="s">
        <v>212</v>
      </c>
      <c r="B9" s="41">
        <f>'06_Воронка_сценарии'!J5</f>
        <v>382736.14153855189</v>
      </c>
      <c r="C9" s="44">
        <f>'06_Воронка_сценарии'!D10</f>
        <v>5741.0421230782786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13" t="s">
        <v>213</v>
      </c>
      <c r="B10" s="42">
        <f>'06_Воронка_сценарии'!J6</f>
        <v>2185477.9807474152</v>
      </c>
      <c r="C10" s="43">
        <f>'06_Воронка_сценарии'!D11</f>
        <v>87419.119229896605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>
      <c r="A13" s="3" t="s">
        <v>155</v>
      </c>
      <c r="B13" s="3" t="s">
        <v>251</v>
      </c>
      <c r="C13" s="9" t="s">
        <v>252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>
      <c r="A14" s="12" t="s">
        <v>143</v>
      </c>
      <c r="B14" s="26">
        <f>'03_Каналы'!B3</f>
        <v>0.42811271005849544</v>
      </c>
      <c r="C14" s="48">
        <f>'03_Каналы'!C3</f>
        <v>67898.972069272728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>
      <c r="A15" s="12" t="s">
        <v>144</v>
      </c>
      <c r="B15" s="26">
        <f>'03_Каналы'!B4</f>
        <v>0.33621024727914578</v>
      </c>
      <c r="C15" s="48">
        <f>'03_Каналы'!C4</f>
        <v>53323.177875963629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>
      <c r="A16" s="12" t="s">
        <v>145</v>
      </c>
      <c r="B16" s="26">
        <f>'03_Каналы'!B5</f>
        <v>6.8977444410577307E-2</v>
      </c>
      <c r="C16" s="48">
        <f>'03_Каналы'!C5</f>
        <v>10939.870415909092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>
      <c r="A17" s="12" t="s">
        <v>146</v>
      </c>
      <c r="B17" s="26">
        <f>'03_Каналы'!B6</f>
        <v>4.5325886585435807E-2</v>
      </c>
      <c r="C17" s="48">
        <f>'03_Каналы'!C6</f>
        <v>7188.7169779636351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>
      <c r="A18" s="12" t="s">
        <v>147</v>
      </c>
      <c r="B18" s="26">
        <f>'03_Каналы'!B7</f>
        <v>4.40039542394247E-2</v>
      </c>
      <c r="C18" s="48">
        <f>'03_Каналы'!C7</f>
        <v>6979.0575931090907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>
      <c r="A19" s="13" t="s">
        <v>148</v>
      </c>
      <c r="B19" s="27">
        <f>'03_Каналы'!B8</f>
        <v>2.3418550096868437E-2</v>
      </c>
      <c r="C19" s="24">
        <f>'03_Каналы'!C8</f>
        <v>3714.1982510000007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</sheetData>
  <mergeCells count="2">
    <mergeCell ref="A1:L1"/>
    <mergeCell ref="A2:L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1"/>
  <sheetViews>
    <sheetView workbookViewId="0"/>
  </sheetViews>
  <sheetFormatPr defaultRowHeight="13.5"/>
  <cols>
    <col min="1" max="1" width="37.1875" customWidth="1"/>
    <col min="2" max="4" width="52.5625" customWidth="1"/>
    <col min="5" max="5" width="18.25" customWidth="1"/>
    <col min="6" max="6" width="52.5625" customWidth="1"/>
    <col min="7" max="26" width="10.5625" customWidth="1"/>
  </cols>
  <sheetData>
    <row r="1" spans="1:26" ht="20" customHeight="1">
      <c r="A1" s="49" t="s">
        <v>253</v>
      </c>
      <c r="B1" s="49"/>
      <c r="C1" s="49"/>
      <c r="D1" s="49"/>
      <c r="E1" s="49"/>
      <c r="F1" s="50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3" t="s">
        <v>191</v>
      </c>
      <c r="B2" s="3" t="s">
        <v>254</v>
      </c>
      <c r="C2" s="3" t="s">
        <v>255</v>
      </c>
      <c r="D2" s="3" t="s">
        <v>256</v>
      </c>
      <c r="E2" s="3" t="s">
        <v>257</v>
      </c>
      <c r="F2" s="9" t="s">
        <v>160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8.5">
      <c r="A3" s="12" t="s">
        <v>258</v>
      </c>
      <c r="B3" s="12" t="s">
        <v>259</v>
      </c>
      <c r="C3" s="12" t="s">
        <v>359</v>
      </c>
      <c r="D3" s="12" t="s">
        <v>260</v>
      </c>
      <c r="E3" s="19">
        <v>46298</v>
      </c>
      <c r="F3" s="21" t="s">
        <v>261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8.5">
      <c r="A4" s="12" t="s">
        <v>262</v>
      </c>
      <c r="B4" s="12" t="s">
        <v>263</v>
      </c>
      <c r="C4" s="12" t="s">
        <v>264</v>
      </c>
      <c r="D4" s="12" t="s">
        <v>265</v>
      </c>
      <c r="E4" s="19">
        <v>46298</v>
      </c>
      <c r="F4" s="21" t="s">
        <v>266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8.5">
      <c r="A5" s="12" t="s">
        <v>267</v>
      </c>
      <c r="B5" s="12" t="s">
        <v>268</v>
      </c>
      <c r="C5" s="12" t="s">
        <v>269</v>
      </c>
      <c r="D5" s="12" t="s">
        <v>270</v>
      </c>
      <c r="E5" s="19">
        <v>46298</v>
      </c>
      <c r="F5" s="21" t="s">
        <v>271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12" t="s">
        <v>272</v>
      </c>
      <c r="B6" s="12" t="s">
        <v>273</v>
      </c>
      <c r="C6" s="12" t="s">
        <v>274</v>
      </c>
      <c r="D6" s="15" t="s">
        <v>275</v>
      </c>
      <c r="E6" s="19">
        <v>46298</v>
      </c>
      <c r="F6" s="21" t="s">
        <v>276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12" t="s">
        <v>277</v>
      </c>
      <c r="B7" s="12" t="s">
        <v>278</v>
      </c>
      <c r="C7" s="15" t="s">
        <v>361</v>
      </c>
      <c r="D7" s="15" t="s">
        <v>279</v>
      </c>
      <c r="E7" s="19">
        <v>46298</v>
      </c>
      <c r="F7" s="18" t="s">
        <v>280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12" t="s">
        <v>281</v>
      </c>
      <c r="B8" s="12" t="s">
        <v>282</v>
      </c>
      <c r="C8" s="12" t="s">
        <v>283</v>
      </c>
      <c r="D8" s="15" t="s">
        <v>284</v>
      </c>
      <c r="E8" s="19">
        <v>46298</v>
      </c>
      <c r="F8" s="21" t="s">
        <v>285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0" customHeight="1">
      <c r="A9" s="51" t="s">
        <v>362</v>
      </c>
      <c r="B9" s="51"/>
      <c r="C9" s="51"/>
      <c r="D9" s="51"/>
      <c r="E9" s="51"/>
      <c r="F9" s="5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3" t="s">
        <v>286</v>
      </c>
      <c r="B10" s="3" t="s">
        <v>287</v>
      </c>
      <c r="C10" s="3" t="s">
        <v>288</v>
      </c>
      <c r="D10" s="3" t="s">
        <v>289</v>
      </c>
      <c r="E10" s="3" t="s">
        <v>95</v>
      </c>
      <c r="F10" s="9" t="s">
        <v>290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20">
        <v>46298</v>
      </c>
      <c r="B11" s="16" t="s">
        <v>149</v>
      </c>
      <c r="C11" s="16" t="s">
        <v>291</v>
      </c>
      <c r="D11" s="16" t="s">
        <v>136</v>
      </c>
      <c r="E11" s="16">
        <v>18500</v>
      </c>
      <c r="F11" s="17" t="s">
        <v>350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</sheetData>
  <mergeCells count="2">
    <mergeCell ref="A1:F1"/>
    <mergeCell ref="A9:F9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02_Конкуренты_SW</vt:lpstr>
      <vt:lpstr>03_Каналы</vt:lpstr>
      <vt:lpstr>04_География</vt:lpstr>
      <vt:lpstr>05_Запросы</vt:lpstr>
      <vt:lpstr>06_Воронка_сценарии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2026-10-06T21:30:20Z</dcterms:modified>
</cp:coreProperties>
</file>