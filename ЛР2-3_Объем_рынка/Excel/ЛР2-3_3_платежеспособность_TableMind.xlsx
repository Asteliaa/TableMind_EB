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2-3_Объем_рынка\Excel\"/>
    </mc:Choice>
  </mc:AlternateContent>
  <xr:revisionPtr revIDLastSave="0" documentId="13_ncr:1_{5F7E8B48-3C7C-4EED-B14F-4971D7168D9D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I11" i="8" s="1"/>
  <c r="K11" i="8" s="1"/>
  <c r="D10" i="8"/>
  <c r="I10" i="8" s="1"/>
  <c r="K10" i="8" s="1"/>
  <c r="D9" i="8"/>
  <c r="I9" i="8" s="1"/>
  <c r="K9" i="8" s="1"/>
  <c r="D8" i="8"/>
  <c r="I8" i="8" s="1"/>
  <c r="K8" i="8" s="1"/>
  <c r="A20" i="7"/>
  <c r="E20" i="7" s="1"/>
  <c r="A19" i="7"/>
  <c r="B19" i="7" s="1"/>
  <c r="A18" i="7"/>
  <c r="D18" i="7" s="1"/>
  <c r="A17" i="7"/>
  <c r="B17" i="7" s="1"/>
  <c r="A16" i="7"/>
  <c r="A15" i="7"/>
  <c r="A14" i="7"/>
  <c r="A13" i="7"/>
  <c r="J18" i="8"/>
  <c r="H18" i="8"/>
  <c r="G18" i="8"/>
  <c r="F18" i="8"/>
  <c r="E18" i="8"/>
  <c r="C18" i="8"/>
  <c r="B18" i="8"/>
  <c r="D16" i="8"/>
  <c r="I16" i="8" s="1"/>
  <c r="K16" i="8" s="1"/>
  <c r="D15" i="8"/>
  <c r="I15" i="8" s="1"/>
  <c r="K15" i="8" s="1"/>
  <c r="D14" i="8"/>
  <c r="I14" i="8" s="1"/>
  <c r="K14" i="8" s="1"/>
  <c r="D13" i="8"/>
  <c r="I13" i="8" s="1"/>
  <c r="K13" i="8" s="1"/>
  <c r="D12" i="8"/>
  <c r="I12" i="8" s="1"/>
  <c r="K12" i="8" s="1"/>
  <c r="D7" i="8"/>
  <c r="I7" i="8" s="1"/>
  <c r="K7" i="8" s="1"/>
  <c r="D6" i="8"/>
  <c r="I6" i="8" s="1"/>
  <c r="K6" i="8" s="1"/>
  <c r="D5" i="8"/>
  <c r="I5" i="8" s="1"/>
  <c r="H14" i="6"/>
  <c r="F14" i="6"/>
  <c r="C14" i="6"/>
  <c r="B14" i="6"/>
  <c r="I12" i="6"/>
  <c r="G12" i="6"/>
  <c r="E12" i="6"/>
  <c r="D12" i="6"/>
  <c r="I11" i="6"/>
  <c r="G11" i="6"/>
  <c r="E11" i="6"/>
  <c r="D11" i="6"/>
  <c r="I10" i="6"/>
  <c r="G10" i="6"/>
  <c r="E10" i="6"/>
  <c r="D10" i="6"/>
  <c r="G9" i="6"/>
  <c r="I9" i="6" s="1"/>
  <c r="D9" i="6"/>
  <c r="E9" i="6" s="1"/>
  <c r="G8" i="6"/>
  <c r="I8" i="6" s="1"/>
  <c r="D8" i="6"/>
  <c r="E8" i="6" s="1"/>
  <c r="G7" i="6"/>
  <c r="I7" i="6" s="1"/>
  <c r="D7" i="6"/>
  <c r="E7" i="6" s="1"/>
  <c r="G6" i="6"/>
  <c r="I6" i="6" s="1"/>
  <c r="D6" i="6"/>
  <c r="E6" i="6" s="1"/>
  <c r="G5" i="6"/>
  <c r="I5" i="6" s="1"/>
  <c r="D5" i="6"/>
  <c r="F14" i="5"/>
  <c r="D14" i="5"/>
  <c r="C14" i="5"/>
  <c r="B14" i="5"/>
  <c r="I12" i="5"/>
  <c r="H12" i="5"/>
  <c r="G12" i="5"/>
  <c r="E12" i="5"/>
  <c r="I11" i="5"/>
  <c r="H11" i="5"/>
  <c r="G11" i="5"/>
  <c r="E11" i="5"/>
  <c r="I10" i="5"/>
  <c r="H10" i="5"/>
  <c r="G10" i="5"/>
  <c r="E10" i="5"/>
  <c r="G9" i="5"/>
  <c r="E9" i="5"/>
  <c r="H9" i="5" s="1"/>
  <c r="I9" i="5" s="1"/>
  <c r="E8" i="5"/>
  <c r="G8" i="5" s="1"/>
  <c r="E7" i="5"/>
  <c r="H7" i="5" s="1"/>
  <c r="I7" i="5" s="1"/>
  <c r="E6" i="5"/>
  <c r="G6" i="5" s="1"/>
  <c r="E5" i="5"/>
  <c r="E14" i="4"/>
  <c r="D14" i="4"/>
  <c r="C14" i="4"/>
  <c r="B14" i="4"/>
  <c r="H12" i="4"/>
  <c r="G12" i="4"/>
  <c r="F12" i="4"/>
  <c r="H11" i="4"/>
  <c r="G11" i="4"/>
  <c r="F11" i="4"/>
  <c r="H10" i="4"/>
  <c r="G10" i="4"/>
  <c r="F10" i="4"/>
  <c r="H9" i="4"/>
  <c r="H8" i="4"/>
  <c r="H7" i="4"/>
  <c r="F6" i="4"/>
  <c r="H5" i="4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H9" i="3"/>
  <c r="I9" i="3" s="1"/>
  <c r="J9" i="3" s="1"/>
  <c r="H8" i="3"/>
  <c r="I8" i="3" s="1"/>
  <c r="J8" i="3" s="1"/>
  <c r="H7" i="3"/>
  <c r="I7" i="3" s="1"/>
  <c r="J7" i="3" s="1"/>
  <c r="H6" i="3"/>
  <c r="I6" i="3" s="1"/>
  <c r="J6" i="3" s="1"/>
  <c r="H5" i="3"/>
  <c r="I5" i="3" s="1"/>
  <c r="J5" i="3" s="1"/>
  <c r="B14" i="7" l="1"/>
  <c r="C14" i="7" s="1"/>
  <c r="F14" i="7" s="1"/>
  <c r="B15" i="7"/>
  <c r="B16" i="7"/>
  <c r="B13" i="7"/>
  <c r="B18" i="7"/>
  <c r="B22" i="7" s="1"/>
  <c r="B20" i="7"/>
  <c r="I18" i="8"/>
  <c r="D18" i="8"/>
  <c r="D14" i="6"/>
  <c r="B7" i="9" s="1"/>
  <c r="A16" i="9" s="1"/>
  <c r="H8" i="5"/>
  <c r="I8" i="5" s="1"/>
  <c r="E14" i="5"/>
  <c r="H6" i="5"/>
  <c r="I6" i="5" s="1"/>
  <c r="G5" i="5"/>
  <c r="F8" i="4"/>
  <c r="F7" i="4"/>
  <c r="H6" i="4"/>
  <c r="H14" i="4" s="1"/>
  <c r="I14" i="6"/>
  <c r="J16" i="3"/>
  <c r="B5" i="9" s="1"/>
  <c r="G18" i="7"/>
  <c r="C20" i="7"/>
  <c r="F20" i="7" s="1"/>
  <c r="G7" i="5"/>
  <c r="D16" i="7"/>
  <c r="G16" i="7" s="1"/>
  <c r="E16" i="7"/>
  <c r="H16" i="7" s="1"/>
  <c r="F9" i="4"/>
  <c r="H20" i="7"/>
  <c r="E18" i="7"/>
  <c r="H18" i="7" s="1"/>
  <c r="C16" i="7"/>
  <c r="F16" i="7" s="1"/>
  <c r="E14" i="7"/>
  <c r="H14" i="7" s="1"/>
  <c r="I16" i="3"/>
  <c r="C18" i="7"/>
  <c r="F18" i="7" s="1"/>
  <c r="D20" i="7"/>
  <c r="G20" i="7" s="1"/>
  <c r="C15" i="7"/>
  <c r="F15" i="7" s="1"/>
  <c r="C17" i="7"/>
  <c r="F17" i="7" s="1"/>
  <c r="C19" i="7"/>
  <c r="K5" i="8"/>
  <c r="K18" i="8" s="1"/>
  <c r="B12" i="9" s="1"/>
  <c r="E5" i="6"/>
  <c r="H16" i="3"/>
  <c r="B6" i="9" s="1"/>
  <c r="F5" i="4"/>
  <c r="D13" i="7"/>
  <c r="D15" i="7"/>
  <c r="G15" i="7" s="1"/>
  <c r="D17" i="7"/>
  <c r="G17" i="7" s="1"/>
  <c r="D19" i="7"/>
  <c r="G19" i="7" s="1"/>
  <c r="D14" i="7"/>
  <c r="G14" i="7" s="1"/>
  <c r="H5" i="5"/>
  <c r="E13" i="7"/>
  <c r="E15" i="7"/>
  <c r="H15" i="7" s="1"/>
  <c r="E17" i="7"/>
  <c r="H17" i="7" s="1"/>
  <c r="E19" i="7"/>
  <c r="H19" i="7" s="1"/>
  <c r="G14" i="6"/>
  <c r="G14" i="4"/>
  <c r="F19" i="7"/>
  <c r="G14" i="5" l="1"/>
  <c r="F14" i="4"/>
  <c r="C13" i="7"/>
  <c r="E22" i="7"/>
  <c r="F7" i="9" s="1"/>
  <c r="C22" i="7"/>
  <c r="F5" i="9" s="1"/>
  <c r="I5" i="5"/>
  <c r="H14" i="5"/>
  <c r="B8" i="9" s="1"/>
  <c r="F13" i="7"/>
  <c r="F22" i="7" s="1"/>
  <c r="D22" i="7"/>
  <c r="F6" i="9" s="1"/>
  <c r="H13" i="7"/>
  <c r="H22" i="7" s="1"/>
  <c r="G13" i="7"/>
  <c r="G22" i="7" s="1"/>
  <c r="B11" i="9" l="1"/>
  <c r="G7" i="9"/>
  <c r="B10" i="9"/>
  <c r="G6" i="9"/>
  <c r="B9" i="9"/>
  <c r="G5" i="9"/>
</calcChain>
</file>

<file path=xl/sharedStrings.xml><?xml version="1.0" encoding="utf-8"?>
<sst xmlns="http://schemas.openxmlformats.org/spreadsheetml/2006/main" count="293" uniqueCount="243">
  <si>
    <t>Методика проверки рынка через платежеспособность</t>
  </si>
  <si>
    <t>Excel-шаблон для оценки, способен ли выявленный интерес аудитории перейти в платежеспособный спрос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</si>
  <si>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</si>
  <si>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</si>
  <si>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</si>
  <si>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</si>
  <si>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</si>
  <si>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</si>
  <si>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</si>
  <si>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</si>
  <si>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</si>
  <si>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</si>
  <si>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</si>
  <si>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</si>
  <si>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</si>
  <si>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</si>
  <si>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</si>
  <si>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</si>
  <si>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</si>
  <si>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</si>
  <si>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</si>
  <si>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</si>
  <si>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</si>
  <si>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</si>
  <si>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</si>
  <si>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</si>
  <si>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</si>
  <si>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</si>
  <si>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</si>
  <si>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</si>
  <si>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</si>
  <si>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Заполните базовые сведения о бизнес-идее и единых допущениях расчета</t>
  </si>
  <si>
    <t>Параметр</t>
  </si>
  <si>
    <t>Значение</t>
  </si>
  <si>
    <t>Комментарий</t>
  </si>
  <si>
    <t>Бизнес-идея</t>
  </si>
  <si>
    <t>Можно заменить на собственную идею</t>
  </si>
  <si>
    <t>Географические границы</t>
  </si>
  <si>
    <t>Территория первичной проверки рынка</t>
  </si>
  <si>
    <t>Валюта расчета</t>
  </si>
  <si>
    <t>Можно заменить на RUB, USD, EUR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</si>
  <si>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</si>
  <si>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</si>
  <si>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</si>
  <si>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</si>
  <si>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Доля заинтересованных клиентов, переходящих к покупке</t>
  </si>
  <si>
    <t>Минимальный индекс платежеспособности</t>
  </si>
  <si>
    <t>Бюджет / цена услуги; ниже 1 — покупка затруднена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</si>
  <si>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</si>
  <si>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</si>
  <si>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</si>
  <si>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</si>
  <si>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Заполните клиентские сегменты, коэффициенты потребности и доступности покупки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</si>
  <si>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</si>
  <si>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</si>
  <si>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</si>
  <si>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</si>
  <si>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</si>
  <si>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</si>
  <si>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</si>
  <si>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</si>
  <si>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</si>
  <si>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</si>
  <si>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</si>
  <si>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</si>
  <si>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</si>
  <si>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</si>
  <si>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</si>
  <si>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</si>
  <si>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</si>
  <si>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</si>
  <si>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</si>
  <si>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</si>
  <si>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</si>
  <si>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</si>
  <si>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</si>
  <si>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</si>
  <si>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</si>
  <si>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</si>
  <si>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</si>
  <si>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</si>
  <si>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</si>
  <si>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</si>
  <si>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</si>
  <si>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</si>
  <si>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</si>
  <si>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</si>
  <si>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Опрос / конкуренты</t>
  </si>
  <si>
    <t>Сайты / Similarweb</t>
  </si>
  <si>
    <t>Опрос / каталоги</t>
  </si>
  <si>
    <t>Платформы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</si>
  <si>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</si>
  <si>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</si>
  <si>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</si>
  <si>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</si>
  <si>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</si>
  <si>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</si>
  <si>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</si>
  <si>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</si>
  <si>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</si>
  <si>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</si>
  <si>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</si>
  <si>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</si>
  <si>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</si>
  <si>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</si>
  <si>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</si>
  <si>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</si>
  <si>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</si>
  <si>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</si>
  <si>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</si>
  <si>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</si>
  <si>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</si>
  <si>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</si>
  <si>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</si>
  <si>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</si>
  <si>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</si>
  <si>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</si>
  <si>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</si>
  <si>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</si>
  <si>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</si>
  <si>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</si>
  <si>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</si>
  <si>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</si>
  <si>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</si>
  <si>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</si>
  <si>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Используется как косвенная проверка рынка: трафик конкурентов, география, каналы и поисковые запросы</t>
  </si>
  <si>
    <t>Сайт / конкурент</t>
  </si>
  <si>
    <t>Месячные посещения</t>
  </si>
  <si>
    <t>Релевантный трафик</t>
  </si>
  <si>
    <t>Доля поискового трафика</t>
  </si>
  <si>
    <t>Доля прямого трафика</t>
  </si>
  <si>
    <t>Доля соцсетей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</si>
  <si>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</si>
  <si>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</si>
  <si>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</si>
  <si>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</si>
  <si>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</si>
  <si>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</si>
  <si>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</si>
  <si>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</si>
  <si>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</si>
  <si>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</si>
  <si>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</si>
  <si>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</si>
  <si>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</si>
  <si>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</si>
  <si>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</si>
  <si>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</si>
  <si>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</si>
  <si>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</si>
  <si>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</si>
  <si>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</si>
  <si>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</si>
  <si>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</si>
  <si>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</si>
  <si>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</si>
  <si>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</si>
  <si>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Заполняется для воспроизводимости расчета и проверки ограничений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</si>
  <si>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</si>
  <si>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</si>
  <si>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</si>
  <si>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</si>
  <si>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</si>
  <si>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</si>
  <si>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</si>
  <si>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</si>
  <si>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</si>
  <si>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</si>
  <si>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</si>
  <si>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</si>
  <si>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</si>
  <si>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</si>
  <si>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</si>
  <si>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</si>
  <si>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</si>
  <si>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</si>
  <si>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Частотность запросов, регионы, динамика</t>
  </si>
  <si>
    <t>Проверка поискового спроса и коммерческих формулировок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</si>
  <si>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</si>
  <si>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</si>
  <si>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</si>
  <si>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</si>
  <si>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Бюджет, готовность платить, барьеры покупки</t>
  </si>
  <si>
    <t>Проверка платежеспособности и экономической оправданности</t>
  </si>
  <si>
    <t>EUR</t>
  </si>
  <si>
    <t>TableMind: онлайн-проверка Excel-моделей</t>
  </si>
  <si>
    <t>Англоязычные страны и ЕС-27</t>
  </si>
  <si>
    <t>Целевая валовая маржа SaaS (допущение Д-11): цена минус вычисления и LLM</t>
  </si>
  <si>
    <t>Финансовые аналитики и FP&amp;A</t>
  </si>
  <si>
    <t>Модели строят и проверяют сами; платит чаще работодатель (Pro или Team).</t>
  </si>
  <si>
    <t>BLS 2025 (США) и масштаб по занятости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</si>
  <si>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</si>
  <si>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</si>
  <si>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</si>
  <si>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</si>
  <si>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</si>
  <si>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Покупка Team на 2-3 места; основатели и операционные менеджеры.</t>
  </si>
  <si>
    <t>SBA 2025, UK BPE 2025, ЕК 2025/2026 и допущения</t>
  </si>
  <si>
    <t>Разовая проверка файла (аналог: месяц дешевого AI-помощника)</t>
  </si>
  <si>
    <t>Прямых разовых аналогов с публичной ценой нет; ориентир - Rows Plus 8 USD, Numerous 10 USD, медиана Pro-класса</t>
  </si>
  <si>
    <t>rows.com/pricing, numerous.ai/pricing</t>
  </si>
  <si>
    <t>Персональная подписка уровня Pro (в месяц)</t>
  </si>
  <si>
    <t>Rows Plus 8 USD; Numerous 10 USD; Copilot Business 18-25,2 USD; PerfectXL от 69 EUR; Shortcut Pro 100 USD</t>
  </si>
  <si>
    <t>страницы цен, 03.10.2026</t>
  </si>
  <si>
    <t>Командное место Team (в месяц за место)</t>
  </si>
  <si>
    <t>Rows Plus на пользователя 8 USD; Copilot Business 25,2 USD; Shortcut Teams 100 USD за место</t>
  </si>
  <si>
    <t>Специализированный аудит таблиц (класс PerfectXL)</t>
  </si>
  <si>
    <t>PerfectXL отдельный инструмент от 69 EUR в месяц; Arixcel и Operis цены не публикуют (ДОСНЯТЬ)</t>
  </si>
  <si>
    <t>perfectxl.com/pricing</t>
  </si>
  <si>
    <t>Индекс цены TableMind к медиане</t>
  </si>
  <si>
    <t>Стоимость месячной работы с таблицами, EUR</t>
  </si>
  <si>
    <t>Доля времени на проверку и поиск ошибок</t>
  </si>
  <si>
    <t>Доля экономии времени за счет сервиса</t>
  </si>
  <si>
    <t>Экономия, EUR/мес.</t>
  </si>
  <si>
    <t>Эффект - экономия времени проверки; не учитывает стоимость пропущенной ошибки (она выше)</t>
  </si>
  <si>
    <t>Платит работодатель; индекс бюджета к Pro.</t>
  </si>
  <si>
    <t>Часто собственный бюджет или бюджет фирмы; разовый аудит дешевле.</t>
  </si>
  <si>
    <t>Стоимость включается в проект клиента.</t>
  </si>
  <si>
    <t>Team на 2 места по 29 EUR.</t>
  </si>
  <si>
    <t>shortcut.ai</t>
  </si>
  <si>
    <t>Similarweb Pro, 03.10.2026; C = география x релевантность x качество; H = визит - платящий</t>
  </si>
  <si>
    <t>perfectxl.com</t>
  </si>
  <si>
    <t>rows.com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</si>
  <si>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</si>
  <si>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</si>
  <si>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</si>
  <si>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</si>
  <si>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</si>
  <si>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</si>
  <si>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</si>
  <si>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</si>
  <si>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</si>
  <si>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Эффективная доля (география x релевантность x качество)</t>
  </si>
  <si>
    <t>Конверсия визит - платящий</t>
  </si>
  <si>
    <t>Оценка новых платящих/мес.</t>
  </si>
  <si>
    <t>Выручка первого года на платящего, EUR</t>
  </si>
  <si>
    <t>Оценка выручки/мес. (первый год), EUR</t>
  </si>
  <si>
    <t>BLS, SBA, ЕК, UK BPE (вместо Белстата)</t>
  </si>
  <si>
    <t>bls.gov/ooh; advocacy.sba.gov; single-market-economy.ec.europa.eu; gov.uk</t>
  </si>
  <si>
    <t>Яндекс Вордстат и Google Trends (ЛР1)</t>
  </si>
  <si>
    <t>ЛР1, Материалы_собранные</t>
  </si>
  <si>
    <t>Опросы / интервью (модельные данные)</t>
  </si>
  <si>
    <t>Модельные данные по решению студентки (Р-8); реального опроса не проводилось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</si>
</sst>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4" fillId="5" borderId="0" xfId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3" fontId="4" fillId="5" borderId="0" xfId="1" applyNumberFormat="1" applyFont="1" applyFill="1" applyAlignment="1">
      <alignment vertical="top" wrapText="1"/>
    </xf>
    <xf numFmtId="9" fontId="4" fillId="5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4" fillId="5" borderId="0" xfId="1" applyNumberFormat="1" applyFont="1" applyFill="1" applyAlignment="1">
      <alignment vertical="top" wrapText="1"/>
    </xf>
    <xf numFmtId="165" fontId="4" fillId="5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wrapText="1"/>
    </xf>
    <xf numFmtId="0" fontId="0" fillId="6" borderId="0" xfId="1" applyFont="1" applyFill="1" applyAlignment="1">
      <alignment vertical="top" wrapText="1"/>
    </xf>
    <xf numFmtId="14" fontId="0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'08_Итоговая_панель'!$F$5:$F$7</c:f>
              <c:numCache>
                <c:formatCode>#,##0</c:formatCode>
                <c:ptCount val="3"/>
                <c:pt idx="0">
                  <c:v>12601123.6032</c:v>
                </c:pt>
                <c:pt idx="1">
                  <c:v>35003121.119999997</c:v>
                </c:pt>
                <c:pt idx="2">
                  <c:v>63761685.43219199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0-4188-BEB3-89BED729A062}"/>
            </c:ext>
          </c:extLst>
        </c:ser>
        <c:ser>
          <c:idx val="1"/>
          <c:order val="1"/>
          <c:tx>
            <c:v>Достижимая выручка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'08_Итоговая_панель'!$G$5:$G$7</c:f>
              <c:numCache>
                <c:formatCode>#,##0</c:formatCode>
                <c:ptCount val="3"/>
                <c:pt idx="0">
                  <c:v>6300.5618015999999</c:v>
                </c:pt>
                <c:pt idx="1">
                  <c:v>45504.057455999995</c:v>
                </c:pt>
                <c:pt idx="2">
                  <c:v>191285.05629657596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0-4188-BEB3-89BED729A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invertIfNegative val="1"/>
          <c:cat>
            <c:strRef>
              <c:f>'02_Сегменты'!$A$5:$A$9</c:f>
              <c:strCache>
                <c:ptCount val="4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</c:strCache>
            </c:strRef>
          </c:cat>
          <c:val>
            <c:numRef>
              <c:f>'02_Сегменты'!$J$5:$J$9</c:f>
              <c:numCache>
                <c:formatCode>#,##0</c:formatCode>
                <c:ptCount val="5"/>
                <c:pt idx="0">
                  <c:v>6448438.0800000001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6771198.2399999984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7-4D87-BEE9-C8FC8CE16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4:L14">
  <tableColumns count="12">
    <tableColumn id="1" xr3:uid="{00000000-0010-0000-0000-000001000000}" name="Сегмент"/>
    <tableColumn id="2" xr3:uid="{00000000-0010-0000-0000-000002000000}" name="Всего потенциальных клиентов"/>
    <tableColumn id="3" xr3:uid="{00000000-0010-0000-0000-000003000000}" name="Доля с потребностью"/>
    <tableColumn id="4" xr3:uid="{00000000-0010-0000-0000-000004000000}" name="Доля готовых покупать онлайн"/>
    <tableColumn id="5" xr3:uid="{00000000-0010-0000-0000-000005000000}" name="Доля платежеспособных"/>
    <tableColumn id="6" xr3:uid="{00000000-0010-0000-0000-000006000000}" name="Покупок/контрактов в год"/>
    <tableColumn id="7" xr3:uid="{00000000-0010-0000-0000-000007000000}" name="Средний чек"/>
    <tableColumn id="8" xr3:uid="{00000000-0010-0000-0000-000008000000}" name="Платежеспособные клиенты"/>
    <tableColumn id="9" xr3:uid="{00000000-0010-0000-0000-000009000000}" name="Годовое число покупок"/>
    <tableColumn id="10" xr3:uid="{00000000-0010-0000-0000-00000A000000}" name="Потенциальный объем рынка"/>
    <tableColumn id="11" xr3:uid="{00000000-0010-0000-0000-00000B000000}" name="Комментарий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4:J12">
  <tableColumns count="10">
    <tableColumn id="1" xr3:uid="{00000000-0010-0000-0100-000001000000}" name="Услуга / продукт"/>
    <tableColumn id="2" xr3:uid="{00000000-0010-0000-0100-000002000000}" name="Минимальная цена"/>
    <tableColumn id="3" xr3:uid="{00000000-0010-0000-0100-000003000000}" name="Медианная цена"/>
    <tableColumn id="4" xr3:uid="{00000000-0010-0000-0100-000004000000}" name="Максимальная цена"/>
    <tableColumn id="5" xr3:uid="{00000000-0010-0000-0100-000005000000}" name="Себестоимость"/>
    <tableColumn id="6" xr3:uid="{00000000-0010-0000-0100-000006000000}" name="Валовая маржа"/>
    <tableColumn id="7" xr3:uid="{00000000-0010-0000-0100-000007000000}" name="Цена в модели"/>
    <tableColumn id="8" xr3:uid="{00000000-0010-0000-0100-000008000000}" name="Индекс доступности цены"/>
    <tableColumn id="9" xr3:uid="{00000000-0010-0000-0100-000009000000}" name="Комментарий"/>
    <tableColumn id="10" xr3:uid="{00000000-0010-0000-0100-00000A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12">
  <tableColumns count="11">
    <tableColumn id="1" xr3:uid="{00000000-0010-0000-0200-000001000000}" name="Сегмент"/>
    <tableColumn id="2" xr3:uid="{00000000-0010-0000-0200-000002000000}" name="Средняя месячная выручка клиента"/>
    <tableColumn id="3" xr3:uid="{00000000-0010-0000-0200-000003000000}" name="Маржинальность клиента"/>
    <tableColumn id="4" xr3:uid="{00000000-0010-0000-0200-000004000000}" name="Ожидаемый рост выручки"/>
    <tableColumn id="5" xr3:uid="{00000000-0010-0000-0200-000005000000}" name="Дополнительная валовая прибыль/мес."/>
    <tableColumn id="6" xr3:uid="{00000000-0010-0000-0200-000006000000}" name="Цена услуги/мес."/>
    <tableColumn id="7" xr3:uid="{00000000-0010-0000-0200-000007000000}" name="Окупаемость, мес."/>
    <tableColumn id="8" xr3:uid="{00000000-0010-0000-0200-000008000000}" name="ROI за год"/>
    <tableColumn id="9" xr3:uid="{00000000-0010-0000-0200-000009000000}" name="Экономический статус"/>
    <tableColumn id="10" xr3:uid="{00000000-0010-0000-0200-00000A000000}" name="Комментарий"/>
    <tableColumn id="11" xr3:uid="{00000000-0010-0000-0200-00000B000000}" name="Источни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4:J12">
  <tableColumns count="10">
    <tableColumn id="1" xr3:uid="{00000000-0010-0000-0300-000001000000}" name="Сегмент"/>
    <tableColumn id="2" xr3:uid="{00000000-0010-0000-0300-000002000000}" name="Средний доступный бюджет/мес."/>
    <tableColumn id="3" xr3:uid="{00000000-0010-0000-0300-000003000000}" name="Цена предложения/мес."/>
    <tableColumn id="4" xr3:uid="{00000000-0010-0000-0300-000004000000}" name="Индекс платежеспособности"/>
    <tableColumn id="5" xr3:uid="{00000000-0010-0000-0300-000005000000}" name="Статус"/>
    <tableColumn id="6" xr3:uid="{00000000-0010-0000-0300-000006000000}" name="Доля клиентов с бюджетом"/>
    <tableColumn id="7" xr3:uid="{00000000-0010-0000-0300-000007000000}" name="Платежеспособные клиенты"/>
    <tableColumn id="8" xr3:uid="{00000000-0010-0000-0300-000008000000}" name="Годовой чек"/>
    <tableColumn id="9" xr3:uid="{00000000-0010-0000-0300-000009000000}" name="Платежеспособный объем"/>
    <tableColumn id="10" xr3:uid="{00000000-0010-0000-0300-00000A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4:L16">
  <tableColumns count="12">
    <tableColumn id="1" xr3:uid="{00000000-0010-0000-0400-000001000000}" name="Сайт / конкурент"/>
    <tableColumn id="2" xr3:uid="{00000000-0010-0000-0400-000002000000}" name="Месячные посещения"/>
    <tableColumn id="3" xr3:uid="{00000000-0010-0000-0400-000003000000}" name="Эффективная доля (география x релевантность x качество)"/>
    <tableColumn id="4" xr3:uid="{00000000-0010-0000-0400-000004000000}" name="Релевантный трафик"/>
    <tableColumn id="5" xr3:uid="{00000000-0010-0000-0400-000005000000}" name="Доля поискового трафика"/>
    <tableColumn id="6" xr3:uid="{00000000-0010-0000-0400-000006000000}" name="Доля прямого трафика"/>
    <tableColumn id="7" xr3:uid="{00000000-0010-0000-0400-000007000000}" name="Доля соцсетей"/>
    <tableColumn id="8" xr3:uid="{00000000-0010-0000-0400-000008000000}" name="Конверсия визит - платящий"/>
    <tableColumn id="9" xr3:uid="{00000000-0010-0000-0400-000009000000}" name="Оценка новых платящих/мес."/>
    <tableColumn id="10" xr3:uid="{00000000-0010-0000-0400-00000A000000}" name="Выручка первого года на платящего, EUR"/>
    <tableColumn id="11" xr3:uid="{00000000-0010-0000-0400-00000B000000}" name="Оценка выручки/мес. (первый год), EUR"/>
    <tableColumn id="12" xr3:uid="{00000000-0010-0000-0400-00000C000000}" name="Источник / дат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20" customWidth="1"/>
    <col min="2" max="2" width="45" customWidth="1"/>
    <col min="3" max="3" width="42" customWidth="1"/>
    <col min="4" max="4" width="38" customWidth="1"/>
  </cols>
  <sheetData>
    <row r="1" spans="1:26" ht="14" customHeight="1">
      <c r="A1" s="15" t="s">
        <v>0</v>
      </c>
      <c r="B1" s="16"/>
      <c r="C1" s="16"/>
      <c r="D1" s="16"/>
      <c r="E1" s="16"/>
      <c r="F1" s="16"/>
      <c r="G1" s="16"/>
      <c r="H1" s="16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</v>
      </c>
      <c r="B2" s="16"/>
      <c r="C2" s="16"/>
      <c r="D2" s="16"/>
      <c r="E2" s="16"/>
      <c r="F2" s="16"/>
      <c r="G2" s="16"/>
      <c r="H2" s="16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2</v>
      </c>
      <c r="B4" s="1" t="s">
        <v>3</v>
      </c>
      <c r="C4" s="1" t="s">
        <v>4</v>
      </c>
      <c r="D4" s="1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6</v>
      </c>
      <c r="B5" s="3" t="s">
        <v>7</v>
      </c>
      <c r="C5" s="3" t="s">
        <v>8</v>
      </c>
      <c r="D5" s="3" t="s">
        <v>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</v>
      </c>
      <c r="B6" s="3" t="s">
        <v>11</v>
      </c>
      <c r="C6" s="3" t="s">
        <v>12</v>
      </c>
      <c r="D6" s="3" t="s">
        <v>13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14</v>
      </c>
      <c r="B7" s="3" t="s">
        <v>15</v>
      </c>
      <c r="C7" s="3" t="s">
        <v>16</v>
      </c>
      <c r="D7" s="3" t="s">
        <v>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18</v>
      </c>
      <c r="B8" s="3" t="s">
        <v>19</v>
      </c>
      <c r="C8" s="3" t="s">
        <v>20</v>
      </c>
      <c r="D8" s="3" t="s">
        <v>21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</v>
      </c>
      <c r="B9" s="3" t="s">
        <v>23</v>
      </c>
      <c r="C9" s="3" t="s">
        <v>24</v>
      </c>
      <c r="D9" s="3" t="s">
        <v>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26</v>
      </c>
      <c r="B10" s="3" t="s">
        <v>27</v>
      </c>
      <c r="C10" s="3" t="s">
        <v>28</v>
      </c>
      <c r="D10" s="3" t="s"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32" customWidth="1"/>
    <col min="2" max="2" width="28" customWidth="1"/>
    <col min="3" max="3" width="52" customWidth="1"/>
  </cols>
  <sheetData>
    <row r="1" spans="1:26" ht="14" customHeight="1">
      <c r="A1" s="15" t="s">
        <v>30</v>
      </c>
      <c r="B1" s="16"/>
      <c r="C1" s="16"/>
      <c r="D1" s="16"/>
      <c r="E1" s="16"/>
      <c r="F1" s="16"/>
      <c r="G1" s="16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31</v>
      </c>
      <c r="B2" s="16"/>
      <c r="C2" s="16"/>
      <c r="D2" s="16"/>
      <c r="E2" s="16"/>
      <c r="F2" s="16"/>
      <c r="G2" s="16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33</v>
      </c>
      <c r="C4" s="1" t="s">
        <v>34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35</v>
      </c>
      <c r="B5" s="3" t="s">
        <v>185</v>
      </c>
      <c r="C5" s="3" t="s">
        <v>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3" t="s">
        <v>37</v>
      </c>
      <c r="B6" s="3" t="s">
        <v>186</v>
      </c>
      <c r="C6" s="3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3" t="s">
        <v>39</v>
      </c>
      <c r="B7" s="4" t="s">
        <v>184</v>
      </c>
      <c r="C7" s="3" t="s">
        <v>40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 t="s">
        <v>41</v>
      </c>
      <c r="B8" s="3" t="s">
        <v>42</v>
      </c>
      <c r="C8" s="3" t="s">
        <v>43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44</v>
      </c>
      <c r="B9" s="4">
        <v>0.05</v>
      </c>
      <c r="C9" s="3" t="s">
        <v>45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46</v>
      </c>
      <c r="B10" s="3">
        <v>1</v>
      </c>
      <c r="C10" s="3" t="s">
        <v>47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48</v>
      </c>
      <c r="B11" s="3">
        <v>0.8</v>
      </c>
      <c r="C11" s="3" t="s">
        <v>187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 t="s">
        <v>49</v>
      </c>
      <c r="B12" s="5">
        <v>46298</v>
      </c>
      <c r="C12" s="3" t="s">
        <v>50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8" customWidth="1"/>
    <col min="3" max="3" width="16" customWidth="1"/>
    <col min="4" max="5" width="18" customWidth="1"/>
    <col min="6" max="6" width="17" customWidth="1"/>
    <col min="7" max="7" width="15" customWidth="1"/>
    <col min="8" max="9" width="18" customWidth="1"/>
    <col min="10" max="10" width="20" customWidth="1"/>
    <col min="11" max="11" width="34" customWidth="1"/>
    <col min="12" max="12" width="28" customWidth="1"/>
  </cols>
  <sheetData>
    <row r="1" spans="1:26" ht="14" customHeight="1">
      <c r="A1" s="15" t="s">
        <v>51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52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54</v>
      </c>
      <c r="C4" s="1" t="s">
        <v>55</v>
      </c>
      <c r="D4" s="1" t="s">
        <v>56</v>
      </c>
      <c r="E4" s="1" t="s">
        <v>57</v>
      </c>
      <c r="F4" s="1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34</v>
      </c>
      <c r="L4" s="1" t="s">
        <v>63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852968</v>
      </c>
      <c r="C5" s="4">
        <v>0.3</v>
      </c>
      <c r="D5" s="4">
        <v>0.6</v>
      </c>
      <c r="E5" s="4">
        <v>0.35</v>
      </c>
      <c r="F5" s="8">
        <v>1</v>
      </c>
      <c r="G5" s="7">
        <v>120</v>
      </c>
      <c r="H5" s="7">
        <f t="shared" ref="H5:H14" si="0">IF(A5="","",B5*C5*D5*E5)</f>
        <v>53736.983999999997</v>
      </c>
      <c r="I5" s="7">
        <f t="shared" ref="I5:I14" si="1">IF(A5="","",H5*F5)</f>
        <v>53736.983999999997</v>
      </c>
      <c r="J5" s="7">
        <f t="shared" ref="J5:J14" si="2">IF(A5="","",I5*G5)</f>
        <v>6448438.0800000001</v>
      </c>
      <c r="K5" s="3" t="s">
        <v>189</v>
      </c>
      <c r="L5" s="3" t="s">
        <v>190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1535380</v>
      </c>
      <c r="C6" s="4">
        <v>0.2</v>
      </c>
      <c r="D6" s="4">
        <v>0.6</v>
      </c>
      <c r="E6" s="4">
        <v>0.3</v>
      </c>
      <c r="F6" s="8">
        <v>1</v>
      </c>
      <c r="G6" s="7">
        <v>70</v>
      </c>
      <c r="H6" s="7">
        <f t="shared" si="0"/>
        <v>55273.68</v>
      </c>
      <c r="I6" s="7">
        <f t="shared" si="1"/>
        <v>55273.68</v>
      </c>
      <c r="J6" s="7">
        <f t="shared" si="2"/>
        <v>3869157.6</v>
      </c>
      <c r="K6" s="3" t="s">
        <v>192</v>
      </c>
      <c r="L6" s="3" t="s">
        <v>190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1184810</v>
      </c>
      <c r="C7" s="4">
        <v>0.3</v>
      </c>
      <c r="D7" s="4">
        <v>0.7</v>
      </c>
      <c r="E7" s="4">
        <v>0.4</v>
      </c>
      <c r="F7" s="8">
        <v>1</v>
      </c>
      <c r="G7" s="7">
        <v>180</v>
      </c>
      <c r="H7" s="7">
        <f t="shared" si="0"/>
        <v>99524.04</v>
      </c>
      <c r="I7" s="7">
        <f t="shared" si="1"/>
        <v>99524.04</v>
      </c>
      <c r="J7" s="7">
        <f t="shared" si="2"/>
        <v>17914327.199999999</v>
      </c>
      <c r="K7" s="3" t="s">
        <v>194</v>
      </c>
      <c r="L7" s="3" t="s">
        <v>190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522469</v>
      </c>
      <c r="C8" s="4">
        <v>0.3</v>
      </c>
      <c r="D8" s="4">
        <v>0.6</v>
      </c>
      <c r="E8" s="4">
        <v>0.3</v>
      </c>
      <c r="F8" s="8">
        <v>1</v>
      </c>
      <c r="G8" s="7">
        <v>240</v>
      </c>
      <c r="H8" s="7">
        <f t="shared" si="0"/>
        <v>28213.325999999994</v>
      </c>
      <c r="I8" s="7">
        <f t="shared" si="1"/>
        <v>28213.325999999994</v>
      </c>
      <c r="J8" s="7">
        <f t="shared" si="2"/>
        <v>6771198.2399999984</v>
      </c>
      <c r="K8" s="3" t="s">
        <v>196</v>
      </c>
      <c r="L8" s="3" t="s">
        <v>197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4"/>
      <c r="F9" s="8"/>
      <c r="G9" s="7"/>
      <c r="H9" s="7" t="str">
        <f t="shared" si="0"/>
        <v/>
      </c>
      <c r="I9" s="7" t="str">
        <f t="shared" si="1"/>
        <v/>
      </c>
      <c r="J9" s="7" t="str">
        <f t="shared" si="2"/>
        <v/>
      </c>
      <c r="K9" s="3"/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4"/>
      <c r="F10" s="8"/>
      <c r="G10" s="7"/>
      <c r="H10" s="7" t="str">
        <f t="shared" si="0"/>
        <v/>
      </c>
      <c r="I10" s="7" t="str">
        <f t="shared" si="1"/>
        <v/>
      </c>
      <c r="J10" s="7" t="str">
        <f t="shared" si="2"/>
        <v/>
      </c>
      <c r="K10" s="3"/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4"/>
      <c r="F11" s="8"/>
      <c r="G11" s="7"/>
      <c r="H11" s="7" t="str">
        <f t="shared" si="0"/>
        <v/>
      </c>
      <c r="I11" s="7" t="str">
        <f t="shared" si="1"/>
        <v/>
      </c>
      <c r="J11" s="7" t="str">
        <f t="shared" si="2"/>
        <v/>
      </c>
      <c r="K11" s="3"/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4"/>
      <c r="F12" s="8"/>
      <c r="G12" s="7"/>
      <c r="H12" s="7" t="str">
        <f t="shared" si="0"/>
        <v/>
      </c>
      <c r="I12" s="7" t="str">
        <f t="shared" si="1"/>
        <v/>
      </c>
      <c r="J12" s="7" t="str">
        <f t="shared" si="2"/>
        <v/>
      </c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4"/>
      <c r="F13" s="8"/>
      <c r="G13" s="7"/>
      <c r="H13" s="7" t="str">
        <f t="shared" si="0"/>
        <v/>
      </c>
      <c r="I13" s="7" t="str">
        <f t="shared" si="1"/>
        <v/>
      </c>
      <c r="J13" s="7" t="str">
        <f t="shared" si="2"/>
        <v/>
      </c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/>
      <c r="B14" s="7"/>
      <c r="C14" s="4"/>
      <c r="D14" s="4"/>
      <c r="E14" s="4"/>
      <c r="F14" s="8"/>
      <c r="G14" s="7"/>
      <c r="H14" s="7" t="str">
        <f t="shared" si="0"/>
        <v/>
      </c>
      <c r="I14" s="7" t="str">
        <f t="shared" si="1"/>
        <v/>
      </c>
      <c r="J14" s="7" t="str">
        <f t="shared" si="2"/>
        <v/>
      </c>
      <c r="K14" s="3"/>
      <c r="L14" s="3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/>
      <c r="B15" s="3"/>
      <c r="C15" s="3"/>
      <c r="D15" s="3"/>
      <c r="E15" s="3"/>
      <c r="F15" s="3"/>
      <c r="G15" s="3"/>
      <c r="H15" s="7"/>
      <c r="I15" s="7"/>
      <c r="J15" s="7"/>
      <c r="K15" s="3"/>
      <c r="L15" s="3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9">
      <c r="A16" s="6" t="s">
        <v>64</v>
      </c>
      <c r="B16" s="6"/>
      <c r="C16" s="6"/>
      <c r="D16" s="6"/>
      <c r="E16" s="6"/>
      <c r="F16" s="6"/>
      <c r="G16" s="6"/>
      <c r="H16" s="9">
        <f>SUM(H5:H14)</f>
        <v>236748.02999999997</v>
      </c>
      <c r="I16" s="9">
        <f>SUM(I5:I14)</f>
        <v>236748.02999999997</v>
      </c>
      <c r="J16" s="9">
        <f>SUM(J5:J14)</f>
        <v>35003121.119999997</v>
      </c>
      <c r="K16" s="6"/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26" customWidth="1"/>
    <col min="2" max="5" width="16" customWidth="1"/>
    <col min="6" max="6" width="14" customWidth="1"/>
    <col min="7" max="7" width="15" customWidth="1"/>
    <col min="8" max="8" width="18" customWidth="1"/>
    <col min="9" max="9" width="36" customWidth="1"/>
    <col min="10" max="10" width="28" customWidth="1"/>
  </cols>
  <sheetData>
    <row r="1" spans="1:26" ht="14" customHeight="1">
      <c r="A1" s="15" t="s">
        <v>65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66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/>
      <c r="C3" s="2"/>
      <c r="D3" s="2"/>
      <c r="E3" s="2"/>
      <c r="F3" s="2"/>
      <c r="G3" s="2"/>
      <c r="H3" s="2" t="s">
        <v>209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34</v>
      </c>
      <c r="J4" s="1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198</v>
      </c>
      <c r="B5" s="7">
        <v>7.1</v>
      </c>
      <c r="C5" s="7">
        <v>8.8800000000000008</v>
      </c>
      <c r="D5" s="7">
        <v>19.170000000000002</v>
      </c>
      <c r="E5" s="7">
        <v>1.5</v>
      </c>
      <c r="F5" s="4">
        <f t="shared" ref="F5:F12" si="0">IF(A5="","",(G5-E5)/G5)</f>
        <v>0.83333333333333337</v>
      </c>
      <c r="G5" s="7">
        <v>9</v>
      </c>
      <c r="H5" s="11">
        <f t="shared" ref="H5:H12" si="1">IF(A5="","",G5/C5)</f>
        <v>1.0135135135135134</v>
      </c>
      <c r="I5" s="3" t="s">
        <v>199</v>
      </c>
      <c r="J5" s="3" t="s">
        <v>200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201</v>
      </c>
      <c r="B6" s="7">
        <v>7.1</v>
      </c>
      <c r="C6" s="7">
        <v>19.170000000000002</v>
      </c>
      <c r="D6" s="7">
        <v>88.76</v>
      </c>
      <c r="E6" s="7">
        <v>4</v>
      </c>
      <c r="F6" s="4">
        <f t="shared" si="0"/>
        <v>0.78947368421052633</v>
      </c>
      <c r="G6" s="7">
        <v>19</v>
      </c>
      <c r="H6" s="11">
        <f t="shared" si="1"/>
        <v>0.99113197704746991</v>
      </c>
      <c r="I6" s="3" t="s">
        <v>202</v>
      </c>
      <c r="J6" s="3" t="s">
        <v>203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204</v>
      </c>
      <c r="B7" s="7">
        <v>7.1</v>
      </c>
      <c r="C7" s="7">
        <v>22.37</v>
      </c>
      <c r="D7" s="7">
        <v>88.76</v>
      </c>
      <c r="E7" s="7">
        <v>4.5</v>
      </c>
      <c r="F7" s="4">
        <f t="shared" si="0"/>
        <v>0.84482758620689657</v>
      </c>
      <c r="G7" s="7">
        <v>29</v>
      </c>
      <c r="H7" s="11">
        <f t="shared" si="1"/>
        <v>1.2963790791238265</v>
      </c>
      <c r="I7" s="3" t="s">
        <v>205</v>
      </c>
      <c r="J7" s="3" t="s">
        <v>203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206</v>
      </c>
      <c r="B8" s="7">
        <v>69</v>
      </c>
      <c r="C8" s="7">
        <v>69</v>
      </c>
      <c r="D8" s="7">
        <v>69</v>
      </c>
      <c r="E8" s="7">
        <v>4</v>
      </c>
      <c r="F8" s="4">
        <f t="shared" si="0"/>
        <v>0.78947368421052633</v>
      </c>
      <c r="G8" s="7">
        <v>19</v>
      </c>
      <c r="H8" s="11">
        <f t="shared" si="1"/>
        <v>0.27536231884057971</v>
      </c>
      <c r="I8" s="3" t="s">
        <v>207</v>
      </c>
      <c r="J8" s="3" t="s">
        <v>208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7"/>
      <c r="E9" s="7"/>
      <c r="F9" s="4" t="str">
        <f t="shared" si="0"/>
        <v/>
      </c>
      <c r="G9" s="7"/>
      <c r="H9" s="11" t="str">
        <f t="shared" si="1"/>
        <v/>
      </c>
      <c r="I9" s="3"/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7"/>
      <c r="E10" s="7"/>
      <c r="F10" s="4" t="str">
        <f t="shared" si="0"/>
        <v/>
      </c>
      <c r="G10" s="7" t="str">
        <f t="shared" ref="G5:G12" si="2">IF(A10="","",C10)</f>
        <v/>
      </c>
      <c r="H10" s="11" t="str">
        <f t="shared" si="1"/>
        <v/>
      </c>
      <c r="I10" s="3"/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7"/>
      <c r="E11" s="7"/>
      <c r="F11" s="4" t="str">
        <f t="shared" si="0"/>
        <v/>
      </c>
      <c r="G11" s="7" t="str">
        <f t="shared" si="2"/>
        <v/>
      </c>
      <c r="H11" s="11" t="str">
        <f t="shared" si="1"/>
        <v/>
      </c>
      <c r="I11" s="3"/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7"/>
      <c r="E12" s="7"/>
      <c r="F12" s="4" t="str">
        <f t="shared" si="0"/>
        <v/>
      </c>
      <c r="G12" s="7" t="str">
        <f t="shared" si="2"/>
        <v/>
      </c>
      <c r="H12" s="11" t="str">
        <f t="shared" si="1"/>
        <v/>
      </c>
      <c r="I12" s="3"/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7"/>
      <c r="E13" s="7"/>
      <c r="F13" s="4"/>
      <c r="G13" s="7"/>
      <c r="H13" s="11"/>
      <c r="I13" s="3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76</v>
      </c>
      <c r="B14" s="9">
        <f t="shared" ref="B14:H14" si="3">AVERAGE(B5:B12)</f>
        <v>22.574999999999999</v>
      </c>
      <c r="C14" s="9">
        <f t="shared" si="3"/>
        <v>29.855</v>
      </c>
      <c r="D14" s="9">
        <f t="shared" si="3"/>
        <v>66.422499999999999</v>
      </c>
      <c r="E14" s="9">
        <f t="shared" si="3"/>
        <v>3.5</v>
      </c>
      <c r="F14" s="10">
        <f t="shared" si="3"/>
        <v>0.81427707199032073</v>
      </c>
      <c r="G14" s="9">
        <f t="shared" si="3"/>
        <v>19</v>
      </c>
      <c r="H14" s="12">
        <f t="shared" si="3"/>
        <v>0.89409672213134739</v>
      </c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24" customWidth="1"/>
    <col min="2" max="2" width="20" customWidth="1"/>
    <col min="3" max="3" width="16" customWidth="1"/>
    <col min="4" max="4" width="18" customWidth="1"/>
    <col min="5" max="5" width="22" customWidth="1"/>
    <col min="6" max="7" width="16" customWidth="1"/>
    <col min="8" max="8" width="14" customWidth="1"/>
    <col min="9" max="9" width="24" customWidth="1"/>
    <col min="10" max="10" width="34" customWidth="1"/>
    <col min="11" max="11" width="24" customWidth="1"/>
  </cols>
  <sheetData>
    <row r="1" spans="1:26" ht="14" customHeight="1">
      <c r="A1" s="15" t="s">
        <v>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78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 t="s">
        <v>210</v>
      </c>
      <c r="C3" s="2" t="s">
        <v>211</v>
      </c>
      <c r="D3" s="2" t="s">
        <v>212</v>
      </c>
      <c r="E3" s="2" t="s">
        <v>213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79</v>
      </c>
      <c r="C4" s="1" t="s">
        <v>80</v>
      </c>
      <c r="D4" s="1" t="s">
        <v>81</v>
      </c>
      <c r="E4" s="1" t="s">
        <v>82</v>
      </c>
      <c r="F4" s="1" t="s">
        <v>83</v>
      </c>
      <c r="G4" s="1" t="s">
        <v>84</v>
      </c>
      <c r="H4" s="1" t="s">
        <v>85</v>
      </c>
      <c r="I4" s="1" t="s">
        <v>86</v>
      </c>
      <c r="J4" s="1" t="s">
        <v>34</v>
      </c>
      <c r="K4" s="1" t="s">
        <v>63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3300</v>
      </c>
      <c r="C5" s="4">
        <v>0.2</v>
      </c>
      <c r="D5" s="4">
        <v>0.45</v>
      </c>
      <c r="E5" s="7">
        <f t="shared" ref="E5:E12" si="0">IF(A5="","",B5*C5*D5)</f>
        <v>297</v>
      </c>
      <c r="F5" s="7">
        <v>19</v>
      </c>
      <c r="G5" s="8">
        <f t="shared" ref="G5:G12" si="1">IF(A5="","",IF(E5=0,"",F5/E5))</f>
        <v>6.3973063973063973E-2</v>
      </c>
      <c r="H5" s="4">
        <f t="shared" ref="H5:H12" si="2">IF(A5="","",((E5-F5)*12)/(F5*12))</f>
        <v>14.631578947368421</v>
      </c>
      <c r="I5" s="3" t="str">
        <f t="shared" ref="I5:I12" si="3">IF(A5="","",IF(H5&gt;=0.5,"экономически оправдано",IF(H5&gt;=0,"требует проверки","экономически слабо")))</f>
        <v>экономически оправдано</v>
      </c>
      <c r="J5" s="3" t="s">
        <v>214</v>
      </c>
      <c r="K5" s="3" t="s">
        <v>87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2000</v>
      </c>
      <c r="C6" s="4">
        <v>0.2</v>
      </c>
      <c r="D6" s="4">
        <v>0.45</v>
      </c>
      <c r="E6" s="7">
        <f t="shared" si="0"/>
        <v>180</v>
      </c>
      <c r="F6" s="7">
        <v>19</v>
      </c>
      <c r="G6" s="8">
        <f t="shared" si="1"/>
        <v>0.10555555555555556</v>
      </c>
      <c r="H6" s="4">
        <f t="shared" si="2"/>
        <v>8.473684210526315</v>
      </c>
      <c r="I6" s="3" t="str">
        <f t="shared" si="3"/>
        <v>экономически оправдано</v>
      </c>
      <c r="J6" s="3" t="s">
        <v>214</v>
      </c>
      <c r="K6" s="3" t="s">
        <v>88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193</v>
      </c>
      <c r="B7" s="7">
        <v>4250</v>
      </c>
      <c r="C7" s="4">
        <v>0.2</v>
      </c>
      <c r="D7" s="4">
        <v>0.45</v>
      </c>
      <c r="E7" s="7">
        <f t="shared" si="0"/>
        <v>382.5</v>
      </c>
      <c r="F7" s="7">
        <v>19</v>
      </c>
      <c r="G7" s="8">
        <f t="shared" si="1"/>
        <v>4.9673202614379082E-2</v>
      </c>
      <c r="H7" s="4">
        <f t="shared" si="2"/>
        <v>19.131578947368421</v>
      </c>
      <c r="I7" s="3" t="str">
        <f t="shared" si="3"/>
        <v>экономически оправдано</v>
      </c>
      <c r="J7" s="3" t="s">
        <v>214</v>
      </c>
      <c r="K7" s="3" t="s">
        <v>89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1800</v>
      </c>
      <c r="C8" s="4">
        <v>0.2</v>
      </c>
      <c r="D8" s="4">
        <v>0.45</v>
      </c>
      <c r="E8" s="7">
        <f t="shared" si="0"/>
        <v>162</v>
      </c>
      <c r="F8" s="7">
        <v>58</v>
      </c>
      <c r="G8" s="8">
        <f t="shared" si="1"/>
        <v>0.35802469135802467</v>
      </c>
      <c r="H8" s="4">
        <f t="shared" si="2"/>
        <v>1.7931034482758621</v>
      </c>
      <c r="I8" s="3" t="str">
        <f t="shared" si="3"/>
        <v>экономически оправдано</v>
      </c>
      <c r="J8" s="3" t="s">
        <v>214</v>
      </c>
      <c r="K8" s="3" t="s">
        <v>90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7" t="str">
        <f t="shared" si="0"/>
        <v/>
      </c>
      <c r="F9" s="7"/>
      <c r="G9" s="8" t="str">
        <f t="shared" si="1"/>
        <v/>
      </c>
      <c r="H9" s="4" t="str">
        <f t="shared" si="2"/>
        <v/>
      </c>
      <c r="I9" s="3" t="str">
        <f t="shared" si="3"/>
        <v/>
      </c>
      <c r="J9" s="3"/>
      <c r="K9" s="3" t="s">
        <v>75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7" t="str">
        <f t="shared" si="0"/>
        <v/>
      </c>
      <c r="F10" s="7"/>
      <c r="G10" s="8" t="str">
        <f t="shared" si="1"/>
        <v/>
      </c>
      <c r="H10" s="4" t="str">
        <f t="shared" si="2"/>
        <v/>
      </c>
      <c r="I10" s="3" t="str">
        <f t="shared" si="3"/>
        <v/>
      </c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7" t="str">
        <f t="shared" si="0"/>
        <v/>
      </c>
      <c r="F11" s="7"/>
      <c r="G11" s="8" t="str">
        <f t="shared" si="1"/>
        <v/>
      </c>
      <c r="H11" s="4" t="str">
        <f t="shared" si="2"/>
        <v/>
      </c>
      <c r="I11" s="3" t="str">
        <f t="shared" si="3"/>
        <v/>
      </c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7" t="str">
        <f t="shared" si="0"/>
        <v/>
      </c>
      <c r="F12" s="7"/>
      <c r="G12" s="8" t="str">
        <f t="shared" si="1"/>
        <v/>
      </c>
      <c r="H12" s="4" t="str">
        <f t="shared" si="2"/>
        <v/>
      </c>
      <c r="I12" s="3" t="str">
        <f t="shared" si="3"/>
        <v/>
      </c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7"/>
      <c r="F13" s="7"/>
      <c r="G13" s="8"/>
      <c r="H13" s="4"/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.75">
      <c r="A14" s="6" t="s">
        <v>91</v>
      </c>
      <c r="B14" s="9">
        <f t="shared" ref="B14:H14" si="4">AVERAGE(B5:B12)</f>
        <v>2837.5</v>
      </c>
      <c r="C14" s="10">
        <f t="shared" si="4"/>
        <v>0.2</v>
      </c>
      <c r="D14" s="10">
        <f t="shared" si="4"/>
        <v>0.45</v>
      </c>
      <c r="E14" s="9">
        <f t="shared" si="4"/>
        <v>255.375</v>
      </c>
      <c r="F14" s="9">
        <f t="shared" si="4"/>
        <v>28.75</v>
      </c>
      <c r="G14" s="13">
        <f t="shared" si="4"/>
        <v>0.14430662837525582</v>
      </c>
      <c r="H14" s="10">
        <f t="shared" si="4"/>
        <v>11.007486388384756</v>
      </c>
      <c r="I14" s="6"/>
      <c r="J14" s="6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2" customWidth="1"/>
    <col min="3" max="6" width="18" customWidth="1"/>
    <col min="7" max="7" width="20" customWidth="1"/>
    <col min="8" max="8" width="14" customWidth="1"/>
    <col min="9" max="9" width="20" customWidth="1"/>
    <col min="10" max="10" width="38" customWidth="1"/>
  </cols>
  <sheetData>
    <row r="1" spans="1:26" ht="14" customHeight="1">
      <c r="A1" s="15" t="s">
        <v>92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93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98</v>
      </c>
      <c r="G4" s="1" t="s">
        <v>60</v>
      </c>
      <c r="H4" s="1" t="s">
        <v>99</v>
      </c>
      <c r="I4" s="1" t="s">
        <v>100</v>
      </c>
      <c r="J4" s="1" t="s">
        <v>34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188</v>
      </c>
      <c r="B5" s="7">
        <v>45</v>
      </c>
      <c r="C5" s="7">
        <v>19</v>
      </c>
      <c r="D5" s="11">
        <f t="shared" ref="D5:D12" si="0">IF(A5="","",B5/C5)</f>
        <v>2.3684210526315788</v>
      </c>
      <c r="E5" s="3" t="str">
        <f t="shared" ref="E5:E12" si="1">IF(A5="","",IF(D5&gt;=1.5,"высокая",IF(D5&gt;=1,"достаточная",IF(D5&gt;=0.7,"пограничная","низкая"))))</f>
        <v>высокая</v>
      </c>
      <c r="F5" s="4">
        <v>0.35</v>
      </c>
      <c r="G5" s="7">
        <f>IF(A5="","",'02_Сегменты'!B5*F5)</f>
        <v>298538.8</v>
      </c>
      <c r="H5" s="7">
        <v>120</v>
      </c>
      <c r="I5" s="7">
        <f t="shared" ref="I5:I12" si="2">IF(A5="","",G5*H5)</f>
        <v>35824656</v>
      </c>
      <c r="J5" s="3" t="s">
        <v>215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191</v>
      </c>
      <c r="B6" s="7">
        <v>25</v>
      </c>
      <c r="C6" s="7">
        <v>19</v>
      </c>
      <c r="D6" s="11">
        <f t="shared" si="0"/>
        <v>1.3157894736842106</v>
      </c>
      <c r="E6" s="3" t="str">
        <f t="shared" si="1"/>
        <v>достаточная</v>
      </c>
      <c r="F6" s="4">
        <v>0.3</v>
      </c>
      <c r="G6" s="7">
        <f>IF(A6="","",'02_Сегменты'!B6*F6)</f>
        <v>460614</v>
      </c>
      <c r="H6" s="7">
        <v>70</v>
      </c>
      <c r="I6" s="7">
        <f t="shared" si="2"/>
        <v>32242980</v>
      </c>
      <c r="J6" s="3" t="s">
        <v>216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80</v>
      </c>
      <c r="C7" s="7">
        <v>19</v>
      </c>
      <c r="D7" s="11">
        <f t="shared" si="0"/>
        <v>4.2105263157894735</v>
      </c>
      <c r="E7" s="3" t="str">
        <f t="shared" si="1"/>
        <v>высокая</v>
      </c>
      <c r="F7" s="4">
        <v>0.4</v>
      </c>
      <c r="G7" s="7">
        <f>IF(A7="","",'02_Сегменты'!B7*F7)</f>
        <v>473924</v>
      </c>
      <c r="H7" s="7">
        <v>180</v>
      </c>
      <c r="I7" s="7">
        <f t="shared" si="2"/>
        <v>85306320</v>
      </c>
      <c r="J7" s="3" t="s">
        <v>217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195</v>
      </c>
      <c r="B8" s="7">
        <v>90</v>
      </c>
      <c r="C8" s="7">
        <v>58</v>
      </c>
      <c r="D8" s="11">
        <f t="shared" si="0"/>
        <v>1.5517241379310345</v>
      </c>
      <c r="E8" s="3" t="str">
        <f t="shared" si="1"/>
        <v>высокая</v>
      </c>
      <c r="F8" s="4">
        <v>0.3</v>
      </c>
      <c r="G8" s="7">
        <f>IF(A8="","",'02_Сегменты'!B8*F8)</f>
        <v>156740.69999999998</v>
      </c>
      <c r="H8" s="7">
        <v>240</v>
      </c>
      <c r="I8" s="7">
        <f t="shared" si="2"/>
        <v>37617767.999999993</v>
      </c>
      <c r="J8" s="3" t="s">
        <v>218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11" t="str">
        <f t="shared" si="0"/>
        <v/>
      </c>
      <c r="E9" s="3" t="str">
        <f t="shared" si="1"/>
        <v/>
      </c>
      <c r="F9" s="4"/>
      <c r="G9" s="7" t="str">
        <f>IF(A9="","",'02_Сегменты'!B9*F9)</f>
        <v/>
      </c>
      <c r="H9" s="7"/>
      <c r="I9" s="7" t="str">
        <f t="shared" si="2"/>
        <v/>
      </c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11" t="str">
        <f t="shared" si="0"/>
        <v/>
      </c>
      <c r="E10" s="3" t="str">
        <f t="shared" si="1"/>
        <v/>
      </c>
      <c r="F10" s="4"/>
      <c r="G10" s="7" t="str">
        <f>IF(A10="","",'02_Сегменты'!B10*F10)</f>
        <v/>
      </c>
      <c r="H10" s="7"/>
      <c r="I10" s="7" t="str">
        <f t="shared" si="2"/>
        <v/>
      </c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11" t="str">
        <f t="shared" si="0"/>
        <v/>
      </c>
      <c r="E11" s="3" t="str">
        <f t="shared" si="1"/>
        <v/>
      </c>
      <c r="F11" s="4"/>
      <c r="G11" s="7" t="str">
        <f>IF(A11="","",'02_Сегменты'!B11*F11)</f>
        <v/>
      </c>
      <c r="H11" s="7"/>
      <c r="I11" s="7" t="str">
        <f t="shared" si="2"/>
        <v/>
      </c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11" t="str">
        <f t="shared" si="0"/>
        <v/>
      </c>
      <c r="E12" s="3" t="str">
        <f t="shared" si="1"/>
        <v/>
      </c>
      <c r="F12" s="4"/>
      <c r="G12" s="7" t="str">
        <f>IF(A12="","",'02_Сегменты'!B12*F12)</f>
        <v/>
      </c>
      <c r="H12" s="7"/>
      <c r="I12" s="7" t="str">
        <f t="shared" si="2"/>
        <v/>
      </c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11"/>
      <c r="E13" s="3"/>
      <c r="F13" s="4"/>
      <c r="G13" s="7"/>
      <c r="H13" s="7"/>
      <c r="I13" s="7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101</v>
      </c>
      <c r="B14" s="9">
        <f>AVERAGE(B5:B12)</f>
        <v>60</v>
      </c>
      <c r="C14" s="9">
        <f>AVERAGE(C5:C12)</f>
        <v>28.75</v>
      </c>
      <c r="D14" s="12">
        <f>AVERAGE(D5:D12)</f>
        <v>2.3616152450090744</v>
      </c>
      <c r="E14" s="6"/>
      <c r="F14" s="10">
        <f>AVERAGE(F5:F12)</f>
        <v>0.33749999999999997</v>
      </c>
      <c r="G14" s="9">
        <f>SUM(G5:G12)</f>
        <v>1389817.5</v>
      </c>
      <c r="H14" s="9">
        <f>AVERAGE(H5:H12)</f>
        <v>152.5</v>
      </c>
      <c r="I14" s="9">
        <f>SUM(I5:I12)</f>
        <v>190991724</v>
      </c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conditionalFormatting sqref="D5:D1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4" customWidth="1"/>
    <col min="2" max="2" width="18" customWidth="1"/>
    <col min="3" max="3" width="20" customWidth="1"/>
    <col min="4" max="4" width="18" customWidth="1"/>
    <col min="5" max="5" width="20" customWidth="1"/>
    <col min="6" max="7" width="24" customWidth="1"/>
    <col min="8" max="8" width="26" customWidth="1"/>
  </cols>
  <sheetData>
    <row r="1" spans="1:26" ht="14" customHeight="1">
      <c r="A1" s="15" t="s">
        <v>102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103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104</v>
      </c>
      <c r="C4" s="1" t="s">
        <v>105</v>
      </c>
      <c r="D4" s="1" t="s">
        <v>106</v>
      </c>
      <c r="E4" s="1" t="s">
        <v>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107</v>
      </c>
      <c r="B5" s="14">
        <v>0.75</v>
      </c>
      <c r="C5" s="14">
        <v>1</v>
      </c>
      <c r="D5" s="14">
        <v>1.2</v>
      </c>
      <c r="E5" s="3" t="s">
        <v>108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109</v>
      </c>
      <c r="B6" s="14">
        <v>0.75</v>
      </c>
      <c r="C6" s="14">
        <v>1</v>
      </c>
      <c r="D6" s="14">
        <v>1.2</v>
      </c>
      <c r="E6" s="3" t="s">
        <v>110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111</v>
      </c>
      <c r="B7" s="11">
        <v>0.8</v>
      </c>
      <c r="C7" s="11">
        <v>1</v>
      </c>
      <c r="D7" s="11">
        <v>1.1000000000000001</v>
      </c>
      <c r="E7" s="3" t="s">
        <v>112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113</v>
      </c>
      <c r="B8" s="11">
        <v>0.8</v>
      </c>
      <c r="C8" s="11">
        <v>1</v>
      </c>
      <c r="D8" s="11">
        <v>1.1499999999999999</v>
      </c>
      <c r="E8" s="3" t="s">
        <v>114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115</v>
      </c>
      <c r="B9" s="14">
        <v>5.0000000000000001E-4</v>
      </c>
      <c r="C9" s="14">
        <v>1.2999999999999999E-3</v>
      </c>
      <c r="D9" s="14">
        <v>3.0000000000000001E-3</v>
      </c>
      <c r="E9" s="3" t="s">
        <v>116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" customHeight="1">
      <c r="A12" s="1" t="s">
        <v>53</v>
      </c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121</v>
      </c>
      <c r="G12" s="1" t="s">
        <v>122</v>
      </c>
      <c r="H12" s="1" t="s">
        <v>123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 t="str">
        <f>IF('02_Сегменты'!A5="","",'02_Сегменты'!A5)</f>
        <v>Финансовые аналитики и FP&amp;A</v>
      </c>
      <c r="B13" s="7">
        <f>IF(A13="","",'02_Сегменты'!J5)</f>
        <v>6448438.0800000001</v>
      </c>
      <c r="C13" s="7">
        <f t="shared" ref="C13:C20" si="0">IF(A13="","",B13*$B$5*$B$6*$B$7*$B$8)</f>
        <v>2321437.7088000006</v>
      </c>
      <c r="D13" s="7">
        <f t="shared" ref="D13:D20" si="1">IF(A13="","",B13*$C$5*$C$6*$C$7*$C$8)</f>
        <v>6448438.0800000001</v>
      </c>
      <c r="E13" s="7">
        <f t="shared" ref="E13:E20" si="2">IF(A13="","",B13*$D$5*$D$6*$D$7*$D$8)</f>
        <v>11746474.806527998</v>
      </c>
      <c r="F13" s="7">
        <f t="shared" ref="F13:F20" si="3">IF(A13="","",C13*$B$9)</f>
        <v>1160.7188544000003</v>
      </c>
      <c r="G13" s="7">
        <f t="shared" ref="G13:G20" si="4">IF(A13="","",D13*$C$9)</f>
        <v>8382.9695040000006</v>
      </c>
      <c r="H13" s="7">
        <f t="shared" ref="H13:H20" si="5">IF(A13="","",E13*$D$9)</f>
        <v>35239.424419583993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 t="str">
        <f>IF('02_Сегменты'!A6="","",'02_Сегменты'!A6)</f>
        <v>Бухгалтеры и аудиторы</v>
      </c>
      <c r="B14" s="7">
        <f>IF(A14="","",'02_Сегменты'!J6)</f>
        <v>3869157.6</v>
      </c>
      <c r="C14" s="7">
        <f t="shared" si="0"/>
        <v>1392896.7360000005</v>
      </c>
      <c r="D14" s="7">
        <f t="shared" si="1"/>
        <v>3869157.6</v>
      </c>
      <c r="E14" s="7">
        <f t="shared" si="2"/>
        <v>7048057.4841600005</v>
      </c>
      <c r="F14" s="7">
        <f t="shared" si="3"/>
        <v>696.4483680000003</v>
      </c>
      <c r="G14" s="7">
        <f t="shared" si="4"/>
        <v>5029.90488</v>
      </c>
      <c r="H14" s="7">
        <f t="shared" si="5"/>
        <v>21144.172452480001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 t="str">
        <f>IF('02_Сегменты'!A7="","",'02_Сегменты'!A7)</f>
        <v>Консультанты по управлению</v>
      </c>
      <c r="B15" s="7">
        <f>IF(A15="","",'02_Сегменты'!J7)</f>
        <v>17914327.199999999</v>
      </c>
      <c r="C15" s="7">
        <f t="shared" si="0"/>
        <v>6449157.7919999994</v>
      </c>
      <c r="D15" s="7">
        <f t="shared" si="1"/>
        <v>17914327.199999999</v>
      </c>
      <c r="E15" s="7">
        <f t="shared" si="2"/>
        <v>32632738.427519992</v>
      </c>
      <c r="F15" s="7">
        <f t="shared" si="3"/>
        <v>3224.578896</v>
      </c>
      <c r="G15" s="7">
        <f t="shared" si="4"/>
        <v>23288.625359999998</v>
      </c>
      <c r="H15" s="7">
        <f t="shared" si="5"/>
        <v>97898.215282559977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3" t="str">
        <f>IF('02_Сегменты'!A8="","",'02_Сегменты'!A8)</f>
        <v>МСП с финансовой функцией</v>
      </c>
      <c r="B16" s="7">
        <f>IF(A16="","",'02_Сегменты'!J8)</f>
        <v>6771198.2399999984</v>
      </c>
      <c r="C16" s="7">
        <f t="shared" si="0"/>
        <v>2437631.3663999992</v>
      </c>
      <c r="D16" s="7">
        <f t="shared" si="1"/>
        <v>6771198.2399999984</v>
      </c>
      <c r="E16" s="7">
        <f t="shared" si="2"/>
        <v>12334414.713983996</v>
      </c>
      <c r="F16" s="7">
        <f t="shared" si="3"/>
        <v>1218.8156831999997</v>
      </c>
      <c r="G16" s="7">
        <f t="shared" si="4"/>
        <v>8802.557711999998</v>
      </c>
      <c r="H16" s="7">
        <f t="shared" si="5"/>
        <v>37003.244141951989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tr">
        <f>IF('02_Сегменты'!A9="","",'02_Сегменты'!A9)</f>
        <v/>
      </c>
      <c r="B17" s="7" t="str">
        <f>IF(A17="","",'02_Сегменты'!J9)</f>
        <v/>
      </c>
      <c r="C17" s="7" t="str">
        <f t="shared" si="0"/>
        <v/>
      </c>
      <c r="D17" s="7" t="str">
        <f t="shared" si="1"/>
        <v/>
      </c>
      <c r="E17" s="7" t="str">
        <f t="shared" si="2"/>
        <v/>
      </c>
      <c r="F17" s="7" t="str">
        <f t="shared" si="3"/>
        <v/>
      </c>
      <c r="G17" s="7" t="str">
        <f t="shared" si="4"/>
        <v/>
      </c>
      <c r="H17" s="7" t="str">
        <f t="shared" si="5"/>
        <v/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tr">
        <f>IF('02_Сегменты'!A10="","",'02_Сегменты'!A10)</f>
        <v/>
      </c>
      <c r="B18" s="7" t="str">
        <f>IF(A18="","",'02_Сегменты'!J10)</f>
        <v/>
      </c>
      <c r="C18" s="7" t="str">
        <f t="shared" si="0"/>
        <v/>
      </c>
      <c r="D18" s="7" t="str">
        <f t="shared" si="1"/>
        <v/>
      </c>
      <c r="E18" s="7" t="str">
        <f t="shared" si="2"/>
        <v/>
      </c>
      <c r="F18" s="7" t="str">
        <f t="shared" si="3"/>
        <v/>
      </c>
      <c r="G18" s="7" t="str">
        <f t="shared" si="4"/>
        <v/>
      </c>
      <c r="H18" s="7" t="str">
        <f t="shared" si="5"/>
        <v/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tr">
        <f>IF('02_Сегменты'!A11="","",'02_Сегменты'!A11)</f>
        <v/>
      </c>
      <c r="B19" s="7" t="str">
        <f>IF(A19="","",'02_Сегменты'!J11)</f>
        <v/>
      </c>
      <c r="C19" s="7" t="str">
        <f t="shared" si="0"/>
        <v/>
      </c>
      <c r="D19" s="7" t="str">
        <f t="shared" si="1"/>
        <v/>
      </c>
      <c r="E19" s="7" t="str">
        <f t="shared" si="2"/>
        <v/>
      </c>
      <c r="F19" s="7" t="str">
        <f t="shared" si="3"/>
        <v/>
      </c>
      <c r="G19" s="7" t="str">
        <f t="shared" si="4"/>
        <v/>
      </c>
      <c r="H19" s="7" t="str">
        <f t="shared" si="5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tr">
        <f>IF('02_Сегменты'!A12="","",'02_Сегменты'!A12)</f>
        <v/>
      </c>
      <c r="B20" s="7" t="str">
        <f>IF(A20="","",'02_Сегменты'!J12)</f>
        <v/>
      </c>
      <c r="C20" s="7" t="str">
        <f t="shared" si="0"/>
        <v/>
      </c>
      <c r="D20" s="7" t="str">
        <f t="shared" si="1"/>
        <v/>
      </c>
      <c r="E20" s="7" t="str">
        <f t="shared" si="2"/>
        <v/>
      </c>
      <c r="F20" s="7" t="str">
        <f t="shared" si="3"/>
        <v/>
      </c>
      <c r="G20" s="7" t="str">
        <f t="shared" si="4"/>
        <v/>
      </c>
      <c r="H20" s="7" t="str">
        <f t="shared" si="5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/>
      <c r="B21" s="7"/>
      <c r="C21" s="7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9">
      <c r="A22" s="6" t="s">
        <v>64</v>
      </c>
      <c r="B22" s="9">
        <f t="shared" ref="B22:H22" si="6">SUM(B13:B20)</f>
        <v>35003121.119999997</v>
      </c>
      <c r="C22" s="9">
        <f t="shared" si="6"/>
        <v>12601123.6032</v>
      </c>
      <c r="D22" s="9">
        <f t="shared" si="6"/>
        <v>35003121.119999997</v>
      </c>
      <c r="E22" s="9">
        <f t="shared" si="6"/>
        <v>63761685.43219199</v>
      </c>
      <c r="F22" s="9">
        <f t="shared" si="6"/>
        <v>6300.5618015999999</v>
      </c>
      <c r="G22" s="9">
        <f t="shared" si="6"/>
        <v>45504.057455999995</v>
      </c>
      <c r="H22" s="9">
        <f t="shared" si="6"/>
        <v>191285.05629657596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4"/>
  <sheetViews>
    <sheetView workbookViewId="0"/>
  </sheetViews>
  <sheetFormatPr defaultRowHeight="13.5"/>
  <cols>
    <col min="1" max="1" width="24" customWidth="1"/>
    <col min="2" max="6" width="18" customWidth="1"/>
    <col min="7" max="7" width="16" customWidth="1"/>
    <col min="8" max="9" width="18" customWidth="1"/>
    <col min="10" max="10" width="14" customWidth="1"/>
    <col min="11" max="11" width="18" customWidth="1"/>
    <col min="12" max="12" width="28" customWidth="1"/>
  </cols>
  <sheetData>
    <row r="1" spans="1:26" ht="14" customHeight="1">
      <c r="A1" s="15" t="s">
        <v>124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125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126</v>
      </c>
      <c r="B4" s="1" t="s">
        <v>127</v>
      </c>
      <c r="C4" s="1" t="s">
        <v>232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233</v>
      </c>
      <c r="I4" s="1" t="s">
        <v>234</v>
      </c>
      <c r="J4" s="1" t="s">
        <v>235</v>
      </c>
      <c r="K4" s="1" t="s">
        <v>236</v>
      </c>
      <c r="L4" s="1" t="s">
        <v>132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219</v>
      </c>
      <c r="B5" s="7">
        <v>154111</v>
      </c>
      <c r="C5" s="4">
        <v>7.9000000000000001E-2</v>
      </c>
      <c r="D5" s="7">
        <f t="shared" ref="D5:D16" si="0">IF(A5="","",B5*C5)</f>
        <v>12174.769</v>
      </c>
      <c r="E5" s="4">
        <v>0.31739999999999996</v>
      </c>
      <c r="F5" s="4">
        <v>0.55579999999999996</v>
      </c>
      <c r="G5" s="4">
        <v>3.4500000000000003E-2</v>
      </c>
      <c r="H5" s="4">
        <v>2E-3</v>
      </c>
      <c r="I5" s="7">
        <f t="shared" ref="I5:I16" si="1">IF(A5="","",D5*H5)</f>
        <v>24.349538000000003</v>
      </c>
      <c r="J5" s="7">
        <v>100.58</v>
      </c>
      <c r="K5" s="7">
        <f t="shared" ref="K5:K16" si="2">IF(A5="","",I5*J5)</f>
        <v>2449.0765320400001</v>
      </c>
      <c r="L5" s="3" t="s">
        <v>220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221</v>
      </c>
      <c r="B6" s="7">
        <v>35325</v>
      </c>
      <c r="C6" s="4">
        <v>0.2989</v>
      </c>
      <c r="D6" s="7">
        <f t="shared" si="0"/>
        <v>10558.6425</v>
      </c>
      <c r="E6" s="4">
        <v>0.32549999999999996</v>
      </c>
      <c r="F6" s="4">
        <v>0.40429999999999999</v>
      </c>
      <c r="G6" s="4">
        <v>6.2199999999999998E-2</v>
      </c>
      <c r="H6" s="4">
        <v>2E-3</v>
      </c>
      <c r="I6" s="7">
        <f t="shared" si="1"/>
        <v>21.117284999999999</v>
      </c>
      <c r="J6" s="7">
        <v>100.58</v>
      </c>
      <c r="K6" s="7">
        <f t="shared" si="2"/>
        <v>2123.9765253</v>
      </c>
      <c r="L6" s="3" t="s">
        <v>220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222</v>
      </c>
      <c r="B7" s="7">
        <v>241737</v>
      </c>
      <c r="C7" s="4">
        <v>1.3899999999999999E-2</v>
      </c>
      <c r="D7" s="7">
        <f t="shared" si="0"/>
        <v>3360.1442999999999</v>
      </c>
      <c r="E7" s="4">
        <v>0.53139999999999998</v>
      </c>
      <c r="F7" s="4">
        <v>0.34159999999999996</v>
      </c>
      <c r="G7" s="4">
        <v>3.4200000000000001E-2</v>
      </c>
      <c r="H7" s="4">
        <v>2E-3</v>
      </c>
      <c r="I7" s="7">
        <f t="shared" si="1"/>
        <v>6.7202885999999999</v>
      </c>
      <c r="J7" s="7">
        <v>100.58</v>
      </c>
      <c r="K7" s="7">
        <f t="shared" si="2"/>
        <v>675.92662738799993</v>
      </c>
      <c r="L7" s="3" t="s">
        <v>220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223</v>
      </c>
      <c r="B8" s="7">
        <v>202178</v>
      </c>
      <c r="C8" s="4">
        <v>4.1399999999999999E-2</v>
      </c>
      <c r="D8" s="7">
        <f t="shared" ref="D8:D11" si="3">IF(A8="","",B8*C8)</f>
        <v>8370.1692000000003</v>
      </c>
      <c r="E8" s="4">
        <v>0.56380000000000008</v>
      </c>
      <c r="F8" s="4">
        <v>0.255</v>
      </c>
      <c r="G8" s="4">
        <v>1.66E-2</v>
      </c>
      <c r="H8" s="4">
        <v>2E-3</v>
      </c>
      <c r="I8" s="7">
        <f t="shared" ref="I8:I11" si="4">IF(A8="","",D8*H8)</f>
        <v>16.740338400000002</v>
      </c>
      <c r="J8" s="7">
        <v>100.58</v>
      </c>
      <c r="K8" s="7">
        <f t="shared" ref="K8:K11" si="5">IF(A8="","",I8*J8)</f>
        <v>1683.7432362720001</v>
      </c>
      <c r="L8" s="3" t="s">
        <v>220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224</v>
      </c>
      <c r="B9" s="7">
        <v>14688</v>
      </c>
      <c r="C9" s="4">
        <v>0.38390000000000002</v>
      </c>
      <c r="D9" s="7">
        <f t="shared" si="3"/>
        <v>5638.7232000000004</v>
      </c>
      <c r="E9" s="4">
        <v>0.29380000000000001</v>
      </c>
      <c r="F9" s="4">
        <v>0.2676</v>
      </c>
      <c r="G9" s="4">
        <v>0.10919999999999999</v>
      </c>
      <c r="H9" s="4">
        <v>2E-3</v>
      </c>
      <c r="I9" s="7">
        <f t="shared" si="4"/>
        <v>11.277446400000001</v>
      </c>
      <c r="J9" s="7">
        <v>100.58</v>
      </c>
      <c r="K9" s="7">
        <f t="shared" si="5"/>
        <v>1134.2855589119999</v>
      </c>
      <c r="L9" s="3" t="s">
        <v>220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225</v>
      </c>
      <c r="B10" s="7">
        <v>17824</v>
      </c>
      <c r="C10" s="4">
        <v>0.37569999999999998</v>
      </c>
      <c r="D10" s="7">
        <f t="shared" si="3"/>
        <v>6696.4767999999995</v>
      </c>
      <c r="E10" s="4">
        <v>0.32950000000000002</v>
      </c>
      <c r="F10" s="4">
        <v>0.38640000000000002</v>
      </c>
      <c r="G10" s="4">
        <v>6.0200000000000004E-2</v>
      </c>
      <c r="H10" s="4">
        <v>2E-3</v>
      </c>
      <c r="I10" s="7">
        <f t="shared" si="4"/>
        <v>13.392953599999998</v>
      </c>
      <c r="J10" s="7">
        <v>100.58</v>
      </c>
      <c r="K10" s="7">
        <f t="shared" si="5"/>
        <v>1347.0632730879997</v>
      </c>
      <c r="L10" s="3" t="s">
        <v>220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0.5">
      <c r="A11" s="3" t="s">
        <v>226</v>
      </c>
      <c r="B11" s="7">
        <v>292214</v>
      </c>
      <c r="C11" s="4">
        <v>2.3199999999999998E-2</v>
      </c>
      <c r="D11" s="7">
        <f t="shared" si="3"/>
        <v>6779.3647999999994</v>
      </c>
      <c r="E11" s="4">
        <v>0.57700000000000007</v>
      </c>
      <c r="F11" s="4">
        <v>0.28260000000000002</v>
      </c>
      <c r="G11" s="4">
        <v>2.46E-2</v>
      </c>
      <c r="H11" s="4">
        <v>2E-3</v>
      </c>
      <c r="I11" s="7">
        <f t="shared" si="4"/>
        <v>13.558729599999999</v>
      </c>
      <c r="J11" s="7">
        <v>100.58</v>
      </c>
      <c r="K11" s="7">
        <f t="shared" si="5"/>
        <v>1363.737023168</v>
      </c>
      <c r="L11" s="3" t="s">
        <v>220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0.5">
      <c r="A12" s="3" t="s">
        <v>227</v>
      </c>
      <c r="B12" s="7">
        <v>116617</v>
      </c>
      <c r="C12" s="4">
        <v>3.8699999999999998E-2</v>
      </c>
      <c r="D12" s="7">
        <f t="shared" si="0"/>
        <v>4513.0779000000002</v>
      </c>
      <c r="E12" s="4">
        <v>0.56409999999999993</v>
      </c>
      <c r="F12" s="4">
        <v>0.26350000000000001</v>
      </c>
      <c r="G12" s="4">
        <v>1.7399999999999999E-2</v>
      </c>
      <c r="H12" s="4">
        <v>2E-3</v>
      </c>
      <c r="I12" s="7">
        <f t="shared" si="1"/>
        <v>9.0261558000000015</v>
      </c>
      <c r="J12" s="7">
        <v>100.58</v>
      </c>
      <c r="K12" s="7">
        <f t="shared" si="2"/>
        <v>907.85075036400019</v>
      </c>
      <c r="L12" s="3" t="s">
        <v>220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0.5">
      <c r="A13" s="3" t="s">
        <v>228</v>
      </c>
      <c r="B13" s="7">
        <v>222359</v>
      </c>
      <c r="C13" s="4">
        <v>0.1031</v>
      </c>
      <c r="D13" s="7">
        <f t="shared" si="0"/>
        <v>22925.212899999999</v>
      </c>
      <c r="E13" s="4">
        <v>0.121</v>
      </c>
      <c r="F13" s="4">
        <v>0.59200000000000008</v>
      </c>
      <c r="G13" s="4">
        <v>5.1400000000000001E-2</v>
      </c>
      <c r="H13" s="4">
        <v>2E-3</v>
      </c>
      <c r="I13" s="7">
        <f t="shared" si="1"/>
        <v>45.850425799999996</v>
      </c>
      <c r="J13" s="7">
        <v>100.58</v>
      </c>
      <c r="K13" s="7">
        <f t="shared" si="2"/>
        <v>4611.6358269639995</v>
      </c>
      <c r="L13" s="3" t="s">
        <v>220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0.5">
      <c r="A14" s="3" t="s">
        <v>229</v>
      </c>
      <c r="B14" s="7">
        <v>701540</v>
      </c>
      <c r="C14" s="4">
        <v>7.0000000000000001E-3</v>
      </c>
      <c r="D14" s="7">
        <f t="shared" si="0"/>
        <v>4910.78</v>
      </c>
      <c r="E14" s="4">
        <v>0.40939999999999999</v>
      </c>
      <c r="F14" s="4">
        <v>0.35590000000000005</v>
      </c>
      <c r="G14" s="4">
        <v>2.01E-2</v>
      </c>
      <c r="H14" s="4">
        <v>2E-3</v>
      </c>
      <c r="I14" s="7">
        <f t="shared" si="1"/>
        <v>9.8215599999999998</v>
      </c>
      <c r="J14" s="7">
        <v>100.58</v>
      </c>
      <c r="K14" s="7">
        <f t="shared" si="2"/>
        <v>987.85250480000002</v>
      </c>
      <c r="L14" s="3" t="s">
        <v>220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0.5">
      <c r="A15" s="3" t="s">
        <v>230</v>
      </c>
      <c r="B15" s="7">
        <v>1935</v>
      </c>
      <c r="C15" s="4">
        <v>0.4294</v>
      </c>
      <c r="D15" s="7">
        <f t="shared" si="0"/>
        <v>830.88900000000001</v>
      </c>
      <c r="E15" s="4">
        <v>0.30840000000000001</v>
      </c>
      <c r="F15" s="4">
        <v>0.38969999999999999</v>
      </c>
      <c r="G15" s="4">
        <v>6.3699999999999993E-2</v>
      </c>
      <c r="H15" s="4">
        <v>2E-3</v>
      </c>
      <c r="I15" s="7">
        <f t="shared" si="1"/>
        <v>1.661778</v>
      </c>
      <c r="J15" s="7">
        <v>100.58</v>
      </c>
      <c r="K15" s="7">
        <f t="shared" si="2"/>
        <v>167.14163123999998</v>
      </c>
      <c r="L15" s="3" t="s">
        <v>220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40.5">
      <c r="A16" s="3" t="s">
        <v>231</v>
      </c>
      <c r="B16" s="7">
        <v>5522</v>
      </c>
      <c r="C16" s="4">
        <v>8.5500000000000007E-2</v>
      </c>
      <c r="D16" s="7">
        <f t="shared" si="0"/>
        <v>472.13100000000003</v>
      </c>
      <c r="E16" s="4">
        <v>0.34020000000000006</v>
      </c>
      <c r="F16" s="4">
        <v>0.38520000000000004</v>
      </c>
      <c r="G16" s="4">
        <v>6.1400000000000003E-2</v>
      </c>
      <c r="H16" s="4">
        <v>2E-3</v>
      </c>
      <c r="I16" s="7">
        <f t="shared" si="1"/>
        <v>0.94426200000000005</v>
      </c>
      <c r="J16" s="7">
        <v>100.58</v>
      </c>
      <c r="K16" s="7">
        <f t="shared" si="2"/>
        <v>94.973871959999997</v>
      </c>
      <c r="L16" s="3" t="s">
        <v>220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/>
      <c r="B17" s="7"/>
      <c r="C17" s="4"/>
      <c r="D17" s="7"/>
      <c r="E17" s="4"/>
      <c r="F17" s="4"/>
      <c r="G17" s="4"/>
      <c r="H17" s="4"/>
      <c r="I17" s="7"/>
      <c r="J17" s="7"/>
      <c r="K17" s="7"/>
      <c r="L17" s="3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9">
      <c r="A18" s="6" t="s">
        <v>101</v>
      </c>
      <c r="B18" s="9">
        <f>SUM(B5:B16)</f>
        <v>2006050</v>
      </c>
      <c r="C18" s="10">
        <f>AVERAGE(C5:C16)</f>
        <v>0.15664166666666665</v>
      </c>
      <c r="D18" s="9">
        <f>SUM(D5:D16)</f>
        <v>87230.380599999989</v>
      </c>
      <c r="E18" s="10">
        <f>AVERAGE(E5:E16)</f>
        <v>0.390125</v>
      </c>
      <c r="F18" s="10">
        <f>AVERAGE(F5:F16)</f>
        <v>0.37330000000000002</v>
      </c>
      <c r="G18" s="10">
        <f>AVERAGE(G5:G16)</f>
        <v>4.6291666666666675E-2</v>
      </c>
      <c r="H18" s="10">
        <f>AVERAGE(H5:H16)</f>
        <v>2.0000000000000005E-3</v>
      </c>
      <c r="I18" s="9">
        <f>SUM(I5:I16)</f>
        <v>174.46076120000001</v>
      </c>
      <c r="J18" s="9">
        <f>AVERAGE(J5:J16)</f>
        <v>100.58</v>
      </c>
      <c r="K18" s="9">
        <f>SUM(K5:K16)</f>
        <v>17547.263361496</v>
      </c>
      <c r="L18" s="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32" customWidth="1"/>
    <col min="2" max="2" width="18" customWidth="1"/>
    <col min="3" max="3" width="48" customWidth="1"/>
    <col min="5" max="8" width="22" customWidth="1"/>
  </cols>
  <sheetData>
    <row r="1" spans="1:26" ht="14" customHeight="1">
      <c r="A1" s="15" t="s">
        <v>133</v>
      </c>
      <c r="B1" s="16"/>
      <c r="C1" s="16"/>
      <c r="D1" s="16"/>
      <c r="E1" s="16"/>
      <c r="F1" s="16"/>
      <c r="G1" s="16"/>
      <c r="H1" s="16"/>
      <c r="I1" s="16"/>
      <c r="J1" s="16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134</v>
      </c>
      <c r="B2" s="16"/>
      <c r="C2" s="16"/>
      <c r="D2" s="16"/>
      <c r="E2" s="16"/>
      <c r="F2" s="16"/>
      <c r="G2" s="16"/>
      <c r="H2" s="16"/>
      <c r="I2" s="16"/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135</v>
      </c>
      <c r="B4" s="1" t="s">
        <v>33</v>
      </c>
      <c r="C4" s="1" t="s">
        <v>136</v>
      </c>
      <c r="D4" s="2"/>
      <c r="E4" s="1" t="s">
        <v>137</v>
      </c>
      <c r="F4" s="1" t="s">
        <v>138</v>
      </c>
      <c r="G4" s="1" t="s">
        <v>139</v>
      </c>
      <c r="H4" s="1" t="s">
        <v>34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140</v>
      </c>
      <c r="B5" s="7">
        <f>'02_Сегменты'!J16</f>
        <v>35003121.119999997</v>
      </c>
      <c r="C5" s="3" t="s">
        <v>141</v>
      </c>
      <c r="D5" s="2"/>
      <c r="E5" s="3" t="s">
        <v>104</v>
      </c>
      <c r="F5" s="7">
        <f>'06_Сценарии'!C22</f>
        <v>12601123.6032</v>
      </c>
      <c r="G5" s="7">
        <f>'06_Сценарии'!F22</f>
        <v>6300.5618015999999</v>
      </c>
      <c r="H5" s="3" t="s">
        <v>142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60</v>
      </c>
      <c r="B6" s="7">
        <f>'02_Сегменты'!H16</f>
        <v>236748.02999999997</v>
      </c>
      <c r="C6" s="3" t="s">
        <v>143</v>
      </c>
      <c r="D6" s="2"/>
      <c r="E6" s="3" t="s">
        <v>105</v>
      </c>
      <c r="F6" s="7">
        <f>'06_Сценарии'!D22</f>
        <v>35003121.119999997</v>
      </c>
      <c r="G6" s="7">
        <f>'06_Сценарии'!G22</f>
        <v>45504.057455999995</v>
      </c>
      <c r="H6" s="3" t="s">
        <v>144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145</v>
      </c>
      <c r="B7" s="11">
        <f>'05_Платежеспособность'!D14</f>
        <v>2.3616152450090744</v>
      </c>
      <c r="C7" s="3" t="s">
        <v>146</v>
      </c>
      <c r="D7" s="2"/>
      <c r="E7" s="3" t="s">
        <v>106</v>
      </c>
      <c r="F7" s="7">
        <f>'06_Сценарии'!E22</f>
        <v>63761685.43219199</v>
      </c>
      <c r="G7" s="7">
        <f>'06_Сценарии'!H22</f>
        <v>191285.05629657596</v>
      </c>
      <c r="H7" s="3" t="s">
        <v>147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148</v>
      </c>
      <c r="B8" s="4">
        <f>'04_Экономика_покупки'!H14</f>
        <v>11.007486388384756</v>
      </c>
      <c r="C8" s="3" t="s">
        <v>149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 t="s">
        <v>121</v>
      </c>
      <c r="B9" s="7">
        <f>'06_Сценарии'!F22</f>
        <v>6300.5618015999999</v>
      </c>
      <c r="C9" s="3" t="s">
        <v>150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 t="s">
        <v>122</v>
      </c>
      <c r="B10" s="7">
        <f>'06_Сценарии'!G22</f>
        <v>45504.057455999995</v>
      </c>
      <c r="C10" s="3" t="s">
        <v>151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123</v>
      </c>
      <c r="B11" s="7">
        <f>'06_Сценарии'!H22</f>
        <v>191285.05629657596</v>
      </c>
      <c r="C11" s="3" t="s">
        <v>152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153</v>
      </c>
      <c r="B12" s="7">
        <f>'07_Similarweb'!K18</f>
        <v>17547.263361496</v>
      </c>
      <c r="C12" s="3" t="s">
        <v>154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9">
      <c r="A15" s="18" t="s">
        <v>155</v>
      </c>
      <c r="B15" s="16"/>
      <c r="C15" s="1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19" t="str">
        <f>IF(B7&gt;=1,"Платежеспособность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6" s="16"/>
      <c r="C16" s="1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6"/>
      <c r="B17" s="16"/>
      <c r="C17" s="1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6"/>
      <c r="B18" s="16"/>
      <c r="C18" s="16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4">
    <mergeCell ref="A1:J1"/>
    <mergeCell ref="A2:J2"/>
    <mergeCell ref="A15:C15"/>
    <mergeCell ref="A16:C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0"/>
  <sheetViews>
    <sheetView workbookViewId="0"/>
  </sheetViews>
  <sheetFormatPr defaultRowHeight="13.5"/>
  <cols>
    <col min="1" max="1" width="28" customWidth="1"/>
    <col min="2" max="2" width="40" customWidth="1"/>
    <col min="3" max="3" width="38" customWidth="1"/>
    <col min="4" max="4" width="36" customWidth="1"/>
    <col min="5" max="5" width="16" customWidth="1"/>
    <col min="6" max="6" width="36" customWidth="1"/>
  </cols>
  <sheetData>
    <row r="1" spans="1:26" ht="14" customHeight="1">
      <c r="A1" s="15" t="s">
        <v>156</v>
      </c>
      <c r="B1" s="16"/>
      <c r="C1" s="16"/>
      <c r="D1" s="16"/>
      <c r="E1" s="16"/>
      <c r="F1" s="16"/>
      <c r="G1" s="16"/>
      <c r="H1" s="16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7" t="s">
        <v>157</v>
      </c>
      <c r="B2" s="16"/>
      <c r="C2" s="16"/>
      <c r="D2" s="16"/>
      <c r="E2" s="16"/>
      <c r="F2" s="16"/>
      <c r="G2" s="16"/>
      <c r="H2" s="16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63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237</v>
      </c>
      <c r="B5" s="3" t="s">
        <v>163</v>
      </c>
      <c r="C5" s="3" t="s">
        <v>164</v>
      </c>
      <c r="D5" s="3" t="s">
        <v>238</v>
      </c>
      <c r="E5" s="20">
        <v>46298</v>
      </c>
      <c r="F5" s="3" t="s">
        <v>165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166</v>
      </c>
      <c r="B6" s="3" t="s">
        <v>167</v>
      </c>
      <c r="C6" s="3" t="s">
        <v>168</v>
      </c>
      <c r="D6" s="3" t="s">
        <v>169</v>
      </c>
      <c r="E6" s="20">
        <v>46298</v>
      </c>
      <c r="F6" s="3" t="s">
        <v>170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171</v>
      </c>
      <c r="B7" s="3" t="s">
        <v>172</v>
      </c>
      <c r="C7" s="3" t="s">
        <v>173</v>
      </c>
      <c r="D7" s="3" t="s">
        <v>174</v>
      </c>
      <c r="E7" s="20">
        <v>46298</v>
      </c>
      <c r="F7" s="3" t="s">
        <v>175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239</v>
      </c>
      <c r="B8" s="3" t="s">
        <v>176</v>
      </c>
      <c r="C8" s="3" t="s">
        <v>177</v>
      </c>
      <c r="D8" s="3" t="s">
        <v>240</v>
      </c>
      <c r="E8" s="20">
        <v>46298</v>
      </c>
      <c r="F8" s="3" t="s">
        <v>178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75</v>
      </c>
      <c r="B9" s="3" t="s">
        <v>179</v>
      </c>
      <c r="C9" s="3" t="s">
        <v>180</v>
      </c>
      <c r="D9" s="3"/>
      <c r="E9" s="20">
        <v>46298</v>
      </c>
      <c r="F9" s="3" t="s">
        <v>181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241</v>
      </c>
      <c r="B10" s="3" t="s">
        <v>182</v>
      </c>
      <c r="C10" s="3" t="s">
        <v>183</v>
      </c>
      <c r="D10" s="3"/>
      <c r="E10" s="20">
        <v>46298</v>
      </c>
      <c r="F10" s="3" t="s">
        <v>242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2026-10-03T06:01:42Z</dcterms:modified>
</cp:coreProperties>
</file>