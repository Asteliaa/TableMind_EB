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project-continuation-447426\ЛР2-3_Объем_рынка\Excel\"/>
    </mc:Choice>
  </mc:AlternateContent>
  <xr:revisionPtr revIDLastSave="0" documentId="13_ncr:1_{ED895228-25EA-4FBB-A8C0-637278FB34B0}" xr6:coauthVersionLast="47" xr6:coauthVersionMax="47" xr10:uidLastSave="{00000000-0000-0000-0000-000000000000}"/>
  <bookViews>
    <workbookView xWindow="2205" yWindow="458" windowWidth="12022" windowHeight="10972" xr2:uid="{00000000-000D-0000-FFFF-FFFF00000000}"/>
  </bookViews>
  <sheets>
    <sheet name="00_Методика" sheetId="1" r:id="rId1"/>
    <sheet name="01_Параметры" sheetId="2" r:id="rId2"/>
    <sheet name="02_Сегменты" sheetId="3" r:id="rId3"/>
    <sheet name="03_Ценовой_коридор" sheetId="4" r:id="rId4"/>
    <sheet name="04_Экономика_покупки" sheetId="5" r:id="rId5"/>
    <sheet name="05_Платежеспособность" sheetId="6" r:id="rId6"/>
    <sheet name="06_Сценарии" sheetId="7" r:id="rId7"/>
    <sheet name="07_Similarweb" sheetId="8" r:id="rId8"/>
    <sheet name="08_Итоговая_панель" sheetId="9" r:id="rId9"/>
    <sheet name="09_Источники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8" l="1"/>
  <c r="I11" i="8" s="1"/>
  <c r="K11" i="8" s="1"/>
  <c r="D10" i="8"/>
  <c r="I10" i="8" s="1"/>
  <c r="K10" i="8" s="1"/>
  <c r="D9" i="8"/>
  <c r="I9" i="8" s="1"/>
  <c r="K9" i="8" s="1"/>
  <c r="D8" i="8"/>
  <c r="I8" i="8" s="1"/>
  <c r="K8" i="8" s="1"/>
  <c r="A20" i="7"/>
  <c r="B20" i="7" s="1"/>
  <c r="A19" i="7"/>
  <c r="B19" i="7" s="1"/>
  <c r="A18" i="7"/>
  <c r="B18" i="7" s="1"/>
  <c r="A17" i="7"/>
  <c r="B17" i="7" s="1"/>
  <c r="A16" i="7"/>
  <c r="A15" i="7"/>
  <c r="A14" i="7"/>
  <c r="B14" i="7" s="1"/>
  <c r="A13" i="7"/>
  <c r="B13" i="7" s="1"/>
  <c r="J18" i="8"/>
  <c r="H18" i="8"/>
  <c r="G18" i="8"/>
  <c r="F18" i="8"/>
  <c r="E18" i="8"/>
  <c r="C18" i="8"/>
  <c r="B18" i="8"/>
  <c r="D16" i="8"/>
  <c r="I16" i="8" s="1"/>
  <c r="K16" i="8" s="1"/>
  <c r="D15" i="8"/>
  <c r="I15" i="8" s="1"/>
  <c r="K15" i="8" s="1"/>
  <c r="D14" i="8"/>
  <c r="I14" i="8" s="1"/>
  <c r="K14" i="8" s="1"/>
  <c r="D13" i="8"/>
  <c r="I13" i="8" s="1"/>
  <c r="K13" i="8" s="1"/>
  <c r="D12" i="8"/>
  <c r="I12" i="8" s="1"/>
  <c r="K12" i="8" s="1"/>
  <c r="D7" i="8"/>
  <c r="I7" i="8" s="1"/>
  <c r="K7" i="8" s="1"/>
  <c r="D6" i="8"/>
  <c r="I6" i="8" s="1"/>
  <c r="K6" i="8" s="1"/>
  <c r="D5" i="8"/>
  <c r="I5" i="8" s="1"/>
  <c r="H14" i="6"/>
  <c r="F14" i="6"/>
  <c r="C14" i="6"/>
  <c r="B14" i="6"/>
  <c r="I12" i="6"/>
  <c r="G12" i="6"/>
  <c r="E12" i="6"/>
  <c r="D12" i="6"/>
  <c r="I11" i="6"/>
  <c r="G11" i="6"/>
  <c r="E11" i="6"/>
  <c r="D11" i="6"/>
  <c r="I10" i="6"/>
  <c r="G10" i="6"/>
  <c r="E10" i="6"/>
  <c r="D10" i="6"/>
  <c r="G9" i="6"/>
  <c r="I9" i="6" s="1"/>
  <c r="D9" i="6"/>
  <c r="E9" i="6" s="1"/>
  <c r="G8" i="6"/>
  <c r="I8" i="6" s="1"/>
  <c r="D8" i="6"/>
  <c r="E8" i="6" s="1"/>
  <c r="G7" i="6"/>
  <c r="I7" i="6" s="1"/>
  <c r="D7" i="6"/>
  <c r="E7" i="6" s="1"/>
  <c r="G6" i="6"/>
  <c r="I6" i="6" s="1"/>
  <c r="D6" i="6"/>
  <c r="E6" i="6" s="1"/>
  <c r="G5" i="6"/>
  <c r="I5" i="6" s="1"/>
  <c r="D5" i="6"/>
  <c r="F14" i="5"/>
  <c r="D14" i="5"/>
  <c r="C14" i="5"/>
  <c r="B14" i="5"/>
  <c r="I12" i="5"/>
  <c r="H12" i="5"/>
  <c r="G12" i="5"/>
  <c r="E12" i="5"/>
  <c r="I11" i="5"/>
  <c r="H11" i="5"/>
  <c r="G11" i="5"/>
  <c r="E11" i="5"/>
  <c r="I10" i="5"/>
  <c r="H10" i="5"/>
  <c r="G10" i="5"/>
  <c r="E10" i="5"/>
  <c r="H9" i="5"/>
  <c r="I9" i="5" s="1"/>
  <c r="G9" i="5"/>
  <c r="E9" i="5"/>
  <c r="E8" i="5"/>
  <c r="G8" i="5" s="1"/>
  <c r="E7" i="5"/>
  <c r="G7" i="5" s="1"/>
  <c r="E6" i="5"/>
  <c r="G6" i="5" s="1"/>
  <c r="E5" i="5"/>
  <c r="E14" i="4"/>
  <c r="D14" i="4"/>
  <c r="C14" i="4"/>
  <c r="B14" i="4"/>
  <c r="H12" i="4"/>
  <c r="G12" i="4"/>
  <c r="F12" i="4"/>
  <c r="H11" i="4"/>
  <c r="G11" i="4"/>
  <c r="F11" i="4"/>
  <c r="H10" i="4"/>
  <c r="G10" i="4"/>
  <c r="F10" i="4"/>
  <c r="H9" i="4"/>
  <c r="F8" i="4"/>
  <c r="F7" i="4"/>
  <c r="F6" i="4"/>
  <c r="H5" i="4"/>
  <c r="J14" i="3"/>
  <c r="I14" i="3"/>
  <c r="H14" i="3"/>
  <c r="J13" i="3"/>
  <c r="I13" i="3"/>
  <c r="H13" i="3"/>
  <c r="J12" i="3"/>
  <c r="I12" i="3"/>
  <c r="H12" i="3"/>
  <c r="J11" i="3"/>
  <c r="I11" i="3"/>
  <c r="H11" i="3"/>
  <c r="J10" i="3"/>
  <c r="I10" i="3"/>
  <c r="H10" i="3"/>
  <c r="J9" i="3"/>
  <c r="I9" i="3"/>
  <c r="H9" i="3"/>
  <c r="H8" i="3"/>
  <c r="I8" i="3" s="1"/>
  <c r="J8" i="3" s="1"/>
  <c r="H7" i="3"/>
  <c r="H6" i="3"/>
  <c r="I6" i="3" s="1"/>
  <c r="J6" i="3" s="1"/>
  <c r="H5" i="3"/>
  <c r="I5" i="3" s="1"/>
  <c r="J5" i="3" s="1"/>
  <c r="B16" i="7" l="1"/>
  <c r="I18" i="8"/>
  <c r="D18" i="8"/>
  <c r="D14" i="6"/>
  <c r="B7" i="9" s="1"/>
  <c r="A16" i="9" s="1"/>
  <c r="H8" i="5"/>
  <c r="I8" i="5" s="1"/>
  <c r="H7" i="5"/>
  <c r="I7" i="5" s="1"/>
  <c r="E14" i="5"/>
  <c r="H6" i="5"/>
  <c r="I6" i="5" s="1"/>
  <c r="G5" i="5"/>
  <c r="G14" i="5" s="1"/>
  <c r="H5" i="5"/>
  <c r="I5" i="5" s="1"/>
  <c r="H6" i="4"/>
  <c r="I14" i="6"/>
  <c r="G14" i="6"/>
  <c r="H16" i="3"/>
  <c r="B6" i="9" s="1"/>
  <c r="K5" i="8"/>
  <c r="K18" i="8" s="1"/>
  <c r="B12" i="9" s="1"/>
  <c r="E5" i="6"/>
  <c r="C14" i="7"/>
  <c r="F14" i="7" s="1"/>
  <c r="C16" i="7"/>
  <c r="F16" i="7" s="1"/>
  <c r="C18" i="7"/>
  <c r="F18" i="7" s="1"/>
  <c r="C20" i="7"/>
  <c r="F20" i="7" s="1"/>
  <c r="H7" i="4"/>
  <c r="D14" i="7"/>
  <c r="G14" i="7" s="1"/>
  <c r="D16" i="7"/>
  <c r="G16" i="7" s="1"/>
  <c r="D18" i="7"/>
  <c r="G18" i="7" s="1"/>
  <c r="D20" i="7"/>
  <c r="G20" i="7" s="1"/>
  <c r="E14" i="7"/>
  <c r="H14" i="7" s="1"/>
  <c r="E16" i="7"/>
  <c r="H16" i="7" s="1"/>
  <c r="E18" i="7"/>
  <c r="H18" i="7" s="1"/>
  <c r="E20" i="7"/>
  <c r="H20" i="7" s="1"/>
  <c r="H8" i="4"/>
  <c r="I7" i="3"/>
  <c r="J7" i="3" s="1"/>
  <c r="F9" i="4"/>
  <c r="G14" i="4"/>
  <c r="C17" i="7"/>
  <c r="F17" i="7" s="1"/>
  <c r="C19" i="7"/>
  <c r="F19" i="7" s="1"/>
  <c r="F5" i="4"/>
  <c r="D13" i="7"/>
  <c r="D17" i="7"/>
  <c r="G17" i="7" s="1"/>
  <c r="D19" i="7"/>
  <c r="G19" i="7" s="1"/>
  <c r="E17" i="7"/>
  <c r="H17" i="7" s="1"/>
  <c r="E19" i="7"/>
  <c r="H19" i="7" s="1"/>
  <c r="B15" i="7" l="1"/>
  <c r="E15" i="7" s="1"/>
  <c r="H15" i="7" s="1"/>
  <c r="H14" i="5"/>
  <c r="B8" i="9" s="1"/>
  <c r="F14" i="4"/>
  <c r="H14" i="4"/>
  <c r="C15" i="7"/>
  <c r="F15" i="7" s="1"/>
  <c r="I16" i="3"/>
  <c r="J16" i="3"/>
  <c r="B5" i="9" s="1"/>
  <c r="B22" i="7"/>
  <c r="C13" i="7"/>
  <c r="C22" i="7" s="1"/>
  <c r="F5" i="9" s="1"/>
  <c r="G13" i="7"/>
  <c r="E13" i="7"/>
  <c r="D15" i="7" l="1"/>
  <c r="F13" i="7"/>
  <c r="F22" i="7" s="1"/>
  <c r="B9" i="9" s="1"/>
  <c r="G5" i="9"/>
  <c r="E22" i="7"/>
  <c r="F7" i="9" s="1"/>
  <c r="H13" i="7"/>
  <c r="H22" i="7" s="1"/>
  <c r="G15" i="7" l="1"/>
  <c r="G22" i="7" s="1"/>
  <c r="D22" i="7"/>
  <c r="F6" i="9" s="1"/>
  <c r="B11" i="9"/>
  <c r="G7" i="9"/>
  <c r="G6" i="9" l="1"/>
  <c r="B10" i="9"/>
</calcChain>
</file>

<file path=xl/sharedStrings.xml><?xml version="1.0" encoding="utf-8"?>
<sst xmlns="http://schemas.openxmlformats.org/spreadsheetml/2006/main" count="293" uniqueCount="243">
  <si>
    <t>Методика проверки рынка через платежеспособность</t>
  </si>
  <si>
    <t>Excel-шаблон для оценки, способен ли выявленный интерес аудитории перейти в платежеспособный спрос</t>
  </si>
  <si>
    <t>Этап</t>
  </si>
  <si>
    <t>Что выполняется</t>
  </si>
  <si>
    <t>Какие данные нужны</t>
  </si>
  <si>
    <t>Результат</t>
  </si>
  <si>
    <t>1. Сегментация</t>
  </si>
  <si>
    <t>Разделить потенциальных клиентов на группы по типу, размеру, потребности и цифровой доступности.</t>
  </si>
  <si>
    <t>Сегменты клиентов, численность, доля потребности, доля готовности покупать онлайн.</t>
  </si>
  <si>
    <t>Расчет платежеспособной клиентской базы.</t>
  </si>
  <si>
    <t>2. Ценовой коридор</t>
  </si>
  <si>
    <t>Собрать минимальные, медианные и максимальные цены конкурентов или аналогичных предложений.</t>
  </si>
  <si>
    <t>Сайты конкурентов, прайс-листы, коммерческие предложения, маркетплейсы услуг.</t>
  </si>
  <si>
    <t>Диапазон допустимой цены и ориентир среднего чека.</t>
  </si>
  <si>
    <t>3. Экономическая оправданность</t>
  </si>
  <si>
    <t>Проверить, окупается ли покупка для клиента через дополнительную выручку, экономию или снижение потерь.</t>
  </si>
  <si>
    <t>Выручка клиента, маржинальность, ожидаемый эффект, стоимость услуги.</t>
  </si>
  <si>
    <t>Показатель окупаемости и экономический аргумент покупки.</t>
  </si>
  <si>
    <t>4. Платежеспособность</t>
  </si>
  <si>
    <t>Сопоставить бюджет клиента с ежемесячной стоимостью предложения.</t>
  </si>
  <si>
    <t>Доступный бюджет, цена услуги, регулярность оплаты.</t>
  </si>
  <si>
    <t>Индекс платежеспособности и статус покупки.</t>
  </si>
  <si>
    <t>5. Сценарии</t>
  </si>
  <si>
    <t>Рассчитать осторожный, базовый и оптимистичный варианты рынка.</t>
  </si>
  <si>
    <t>Коэффициенты потребности, платежеспособности, частоты покупки и среднего чека.</t>
  </si>
  <si>
    <t>Диапазон платежеспособного объема рынка.</t>
  </si>
  <si>
    <t>6. Проверка цифровыми данными</t>
  </si>
  <si>
    <t>Использовать Similarweb и другие цифровые источники как косвенную проверку активности рынка.</t>
  </si>
  <si>
    <t>Посещаемость конкурентов, каналы, география, поисковый трафик.</t>
  </si>
  <si>
    <t>Проверка того, есть ли цифровая активность вокруг сегмента.</t>
  </si>
  <si>
    <t>Исходные параметры модели</t>
  </si>
  <si>
    <t>Заполните базовые сведения о бизнес-идее и единых допущениях расчета</t>
  </si>
  <si>
    <t>Параметр</t>
  </si>
  <si>
    <t>Значение</t>
  </si>
  <si>
    <t>Комментарий</t>
  </si>
  <si>
    <t>Бизнес-идея</t>
  </si>
  <si>
    <t>Можно заменить на собственную идею</t>
  </si>
  <si>
    <t>Географические границы</t>
  </si>
  <si>
    <t>Территория первичной проверки рынка</t>
  </si>
  <si>
    <t>Валюта расчета</t>
  </si>
  <si>
    <t>Можно заменить на RUB, USD, EUR</t>
  </si>
  <si>
    <t>Период расчета</t>
  </si>
  <si>
    <t>год</t>
  </si>
  <si>
    <t>Расчет годового платежеспособного объема рынка</t>
  </si>
  <si>
    <t>Базовая конверсия интереса в покупку</t>
  </si>
  <si>
    <t>Доля заинтересованных клиентов, переходящих к покупке</t>
  </si>
  <si>
    <t>Минимальный индекс платежеспособности</t>
  </si>
  <si>
    <t>Бюджет / цена услуги; ниже 1 — покупка затруднена</t>
  </si>
  <si>
    <t>Целевая маржинальность поставщика</t>
  </si>
  <si>
    <t>Дата заполнения</t>
  </si>
  <si>
    <t>Дата версии расчета</t>
  </si>
  <si>
    <t>Расчет рынка через количество платежеспособных клиентов</t>
  </si>
  <si>
    <t>Заполните клиентские сегменты, коэффициенты потребности и доступности покупки</t>
  </si>
  <si>
    <t>Сегмент</t>
  </si>
  <si>
    <t>Всего потенциальных клиентов</t>
  </si>
  <si>
    <t>Доля с потребностью</t>
  </si>
  <si>
    <t>Доля готовых покупать онлайн</t>
  </si>
  <si>
    <t>Доля платежеспособных</t>
  </si>
  <si>
    <t>Покупок/контрактов в год</t>
  </si>
  <si>
    <t>Средний чек</t>
  </si>
  <si>
    <t>Платежеспособные клиенты</t>
  </si>
  <si>
    <t>Годовое число покупок</t>
  </si>
  <si>
    <t>Потенциальный объем рынка</t>
  </si>
  <si>
    <t>Источник</t>
  </si>
  <si>
    <t>Итого</t>
  </si>
  <si>
    <t>Ценовой коридор и конкурентная цена</t>
  </si>
  <si>
    <t>Сравните цены аналогичных предложений и оцените допустимый средний чек</t>
  </si>
  <si>
    <t>Услуга / продукт</t>
  </si>
  <si>
    <t>Минимальная цена</t>
  </si>
  <si>
    <t>Медианная цена</t>
  </si>
  <si>
    <t>Максимальная цена</t>
  </si>
  <si>
    <t>Себестоимость</t>
  </si>
  <si>
    <t>Валовая маржа</t>
  </si>
  <si>
    <t>Цена в модели</t>
  </si>
  <si>
    <t>Индекс доступности цены</t>
  </si>
  <si>
    <t>Сайты конкурентов</t>
  </si>
  <si>
    <t>Среднее / ориентир</t>
  </si>
  <si>
    <t>Экономическая оправданность покупки для клиента</t>
  </si>
  <si>
    <t>Проверяется, возвращает ли клиент вложения в продукт или услугу</t>
  </si>
  <si>
    <t>Средняя месячная выручка клиента</t>
  </si>
  <si>
    <t>Маржинальность клиента</t>
  </si>
  <si>
    <t>Ожидаемый рост выручки</t>
  </si>
  <si>
    <t>Дополнительная валовая прибыль/мес.</t>
  </si>
  <si>
    <t>Цена услуги/мес.</t>
  </si>
  <si>
    <t>Окупаемость, мес.</t>
  </si>
  <si>
    <t>ROI за год</t>
  </si>
  <si>
    <t>Экономический статус</t>
  </si>
  <si>
    <t>Опрос / конкуренты</t>
  </si>
  <si>
    <t>Сайты / Similarweb</t>
  </si>
  <si>
    <t>Опрос / каталоги</t>
  </si>
  <si>
    <t>Платформы</t>
  </si>
  <si>
    <t>Среднее / сводный показатель</t>
  </si>
  <si>
    <t>Проверка платежеспособности клиентских сегментов</t>
  </si>
  <si>
    <t>Индекс платежеспособности = доступный месячный бюджет клиента / месячная цена предложения</t>
  </si>
  <si>
    <t>Средний доступный бюджет/мес.</t>
  </si>
  <si>
    <t>Цена предложения/мес.</t>
  </si>
  <si>
    <t>Индекс платежеспособности</t>
  </si>
  <si>
    <t>Статус</t>
  </si>
  <si>
    <t>Доля клиентов с бюджетом</t>
  </si>
  <si>
    <t>Годовой чек</t>
  </si>
  <si>
    <t>Платежеспособный объем</t>
  </si>
  <si>
    <t>Итого / среднее</t>
  </si>
  <si>
    <t>Сценарная проверка платежеспособного объема рынка</t>
  </si>
  <si>
    <t>Сценарии позволяют не завышать вывод и показывать диапазон оценки</t>
  </si>
  <si>
    <t>Осторожный</t>
  </si>
  <si>
    <t>Базовый</t>
  </si>
  <si>
    <t>Оптимистичный</t>
  </si>
  <si>
    <t>Коэффициент потребности</t>
  </si>
  <si>
    <t>Корректировка доли клиентов с потребностью</t>
  </si>
  <si>
    <t>Коэффициент платежеспособности</t>
  </si>
  <si>
    <t>Корректировка доли платежеспособных клиентов</t>
  </si>
  <si>
    <t>Коэффициент частоты покупки</t>
  </si>
  <si>
    <t>Корректировка числа покупок/контрактов</t>
  </si>
  <si>
    <t>Коэффициент среднего чека</t>
  </si>
  <si>
    <t>Корректировка цены</t>
  </si>
  <si>
    <t>Достижимая доля нового бизнеса</t>
  </si>
  <si>
    <t>Реалистичная доля рынка для нового игрока</t>
  </si>
  <si>
    <t>Базовый объем</t>
  </si>
  <si>
    <t>Осторожный рынок</t>
  </si>
  <si>
    <t>Базовый рынок</t>
  </si>
  <si>
    <t>Оптимистичный рынок</t>
  </si>
  <si>
    <t>Осторожная достижимая выручка</t>
  </si>
  <si>
    <t>Базовая достижимая выручка</t>
  </si>
  <si>
    <t>Оптимистичная достижимая выручка</t>
  </si>
  <si>
    <t>Проверка цифровой активности через Similarweb</t>
  </si>
  <si>
    <t>Используется как косвенная проверка рынка: трафик конкурентов, география, каналы и поисковые запросы</t>
  </si>
  <si>
    <t>Сайт / конкурент</t>
  </si>
  <si>
    <t>Месячные посещения</t>
  </si>
  <si>
    <t>Релевантный трафик</t>
  </si>
  <si>
    <t>Доля поискового трафика</t>
  </si>
  <si>
    <t>Доля прямого трафика</t>
  </si>
  <si>
    <t>Доля соцсетей</t>
  </si>
  <si>
    <t>Источник / дата</t>
  </si>
  <si>
    <t>Итоговая панель проверки платежеспособности</t>
  </si>
  <si>
    <t>Ключевые показатели, сценарии и вывод для принятия решения</t>
  </si>
  <si>
    <t>Показатель</t>
  </si>
  <si>
    <t>Интерпретация</t>
  </si>
  <si>
    <t>Сценарий</t>
  </si>
  <si>
    <t>Рынок</t>
  </si>
  <si>
    <t>Достижимая выручка</t>
  </si>
  <si>
    <t>Потенциальный объем по сегментам</t>
  </si>
  <si>
    <t>Сумма по всем сегментам с учетом потребности, цифровой доступности и платежеспособности</t>
  </si>
  <si>
    <t>Нижняя граница</t>
  </si>
  <si>
    <t>Расчетная база клиентов, способных купить предложение</t>
  </si>
  <si>
    <t>Плановый ориентир</t>
  </si>
  <si>
    <t>Средний индекс платежеспособности</t>
  </si>
  <si>
    <t>Бюджет клиента / цена предложения</t>
  </si>
  <si>
    <t>Верхняя граница</t>
  </si>
  <si>
    <t>Средний ROI клиента за год</t>
  </si>
  <si>
    <t>Экономическая оправданность покупки с позиции клиента</t>
  </si>
  <si>
    <t>Реалистичный нижний сценарий для нового игрока</t>
  </si>
  <si>
    <t>Основной сценарий для планирования</t>
  </si>
  <si>
    <t>Верхний сценарий при высокой реализации</t>
  </si>
  <si>
    <t>Оценка выручки конкурентов по Similarweb/мес.</t>
  </si>
  <si>
    <t>Косвенный ориентир цифровой активности рынка</t>
  </si>
  <si>
    <t>Автоматизированный предварительный вывод</t>
  </si>
  <si>
    <t>Журнал источников данных и допущений</t>
  </si>
  <si>
    <t>Заполняется для воспроизводимости расчета и проверки ограничений</t>
  </si>
  <si>
    <t>Какие данные брать</t>
  </si>
  <si>
    <t>Как использовать</t>
  </si>
  <si>
    <t>Ссылка / путь</t>
  </si>
  <si>
    <t>Дата обращения</t>
  </si>
  <si>
    <t>Ограничение</t>
  </si>
  <si>
    <t>Количество компаний, отрасли, доходы, социально-экономические показатели</t>
  </si>
  <si>
    <t>Оценка потенциальной клиентской базы и платежеспособности</t>
  </si>
  <si>
    <t>Официальные данные могут быть укрупненными</t>
  </si>
  <si>
    <t>Similarweb</t>
  </si>
  <si>
    <t>Посещаемость конкурентов, каналы, география, поисковый трафик</t>
  </si>
  <si>
    <t>Проверка цифровой активности и конкурентной среды</t>
  </si>
  <si>
    <t>https://www.similarweb.com/website/</t>
  </si>
  <si>
    <t>Оценочные данные, точность ниже для малых сайтов</t>
  </si>
  <si>
    <t>Google Trends</t>
  </si>
  <si>
    <t>Динамика относительного интереса</t>
  </si>
  <si>
    <t>Проверка устойчивости интереса к теме</t>
  </si>
  <si>
    <t>https://trends.google.com/</t>
  </si>
  <si>
    <t>Индекс 0–100 не равен абсолютному спросу</t>
  </si>
  <si>
    <t>Частотность запросов, регионы, динамика</t>
  </si>
  <si>
    <t>Проверка поискового спроса и коммерческих формулировок</t>
  </si>
  <si>
    <t>Отражает аудиторию Яндекса</t>
  </si>
  <si>
    <t>Цены, пакеты услуг, позиционирование, офферы</t>
  </si>
  <si>
    <t>Определение ценового коридора и коммерческих условий</t>
  </si>
  <si>
    <t>Неполная видимость фактических продаж</t>
  </si>
  <si>
    <t>Бюджет, готовность платить, барьеры покупки</t>
  </si>
  <si>
    <t>Проверка платежеспособности и экономической оправданности</t>
  </si>
  <si>
    <t>EUR</t>
  </si>
  <si>
    <t>TableMind: онлайн-проверка Excel-моделей</t>
  </si>
  <si>
    <t>Англоязычные страны и ЕС-27</t>
  </si>
  <si>
    <t>Целевая валовая маржа SaaS (допущение Д-11): цена минус вычисления и LLM</t>
  </si>
  <si>
    <t>Финансовые аналитики и FP&amp;A</t>
  </si>
  <si>
    <t>Модели строят и проверяют сами; платит чаще работодатель (Pro или Team).</t>
  </si>
  <si>
    <t>BLS 2025 (США) и масштаб по занятости</t>
  </si>
  <si>
    <t>Бухгалтеры и аудиторы</t>
  </si>
  <si>
    <t>В границы входят только работающие со сложными таблицами; часто разовый аудит.</t>
  </si>
  <si>
    <t>Консультанты по управлению</t>
  </si>
  <si>
    <t>Проверка чужих моделей клиентов; высокая готовность платить.</t>
  </si>
  <si>
    <t>МСП с финансовой функцией</t>
  </si>
  <si>
    <t>Покупка Team на 2-3 места; основатели и операционные менеджеры.</t>
  </si>
  <si>
    <t>SBA 2025, UK BPE 2025, ЕК 2025/2026 и допущения</t>
  </si>
  <si>
    <t>Разовая проверка файла (аналог: месяц дешевого AI-помощника)</t>
  </si>
  <si>
    <t>Прямых разовых аналогов с публичной ценой нет; ориентир - Rows Plus 8 USD, Numerous 10 USD, медиана Pro-класса</t>
  </si>
  <si>
    <t>rows.com/pricing, numerous.ai/pricing</t>
  </si>
  <si>
    <t>Персональная подписка уровня Pro (в месяц)</t>
  </si>
  <si>
    <t>Rows Plus 8 USD; Numerous 10 USD; Copilot Business 18-25,2 USD; PerfectXL от 69 EUR; Shortcut Pro 100 USD</t>
  </si>
  <si>
    <t>страницы цен, 03.10.2026</t>
  </si>
  <si>
    <t>Командное место Team (в месяц за место)</t>
  </si>
  <si>
    <t>Rows Plus на пользователя 8 USD; Copilot Business 25,2 USD; Shortcut Teams 100 USD за место</t>
  </si>
  <si>
    <t>Специализированный аудит таблиц (класс PerfectXL)</t>
  </si>
  <si>
    <t>PerfectXL отдельный инструмент от 69 EUR в месяц; Arixcel 2,75 GBP за пользователя в месяц, Operis OAK 311,66 GBP в год (в коридор не включены)</t>
  </si>
  <si>
    <t>perfectxl.com/pricing</t>
  </si>
  <si>
    <t>Индекс цены TableMind к медиане</t>
  </si>
  <si>
    <t>Стоимость месячной работы с таблицами, EUR</t>
  </si>
  <si>
    <t>Доля времени на проверку и поиск ошибок</t>
  </si>
  <si>
    <t>Доля экономии времени за счет сервиса</t>
  </si>
  <si>
    <t>Экономия, EUR/мес.</t>
  </si>
  <si>
    <t>Эффект - экономия времени проверки; не учитывает стоимость пропущенной ошибки (она выше)</t>
  </si>
  <si>
    <t>Платит работодатель; индекс бюджета к Pro.</t>
  </si>
  <si>
    <t>Часто собственный бюджет или бюджет фирмы; разовый аудит дешевле.</t>
  </si>
  <si>
    <t>Стоимость включается в проект клиента.</t>
  </si>
  <si>
    <t>Team на 2 места по 29 EUR.</t>
  </si>
  <si>
    <t>shortcut.ai</t>
  </si>
  <si>
    <t>Similarweb Pro, 03.10.2026; C = география x релевантность x качество; H = визит - платящий</t>
  </si>
  <si>
    <t>perfectxl.com</t>
  </si>
  <si>
    <t>rows.com</t>
  </si>
  <si>
    <t>numerous.ai</t>
  </si>
  <si>
    <t>operis.com</t>
  </si>
  <si>
    <t>arixcel.com</t>
  </si>
  <si>
    <t>formulabot.com</t>
  </si>
  <si>
    <t>ajelix.com</t>
  </si>
  <si>
    <t>datarails.com</t>
  </si>
  <si>
    <t>julius.ai</t>
  </si>
  <si>
    <t>spreadsheetdetective.com</t>
  </si>
  <si>
    <t>cimcon.com</t>
  </si>
  <si>
    <t>Эффективная доля (география x релевантность x качество)</t>
  </si>
  <si>
    <t>Конверсия визит - платящий</t>
  </si>
  <si>
    <t>Оценка новых платящих/мес.</t>
  </si>
  <si>
    <t>Выручка первого года на платящего, EUR</t>
  </si>
  <si>
    <t>Оценка выручки/мес. (первый год), EUR</t>
  </si>
  <si>
    <t>BLS, SBA, ЕК, UK BPE (вместо Белстата)</t>
  </si>
  <si>
    <t>bls.gov/ooh; advocacy.sba.gov; single-market-economy.ec.europa.eu; gov.uk</t>
  </si>
  <si>
    <t>Яндекс Вордстат и Google Trends (ЛР1)</t>
  </si>
  <si>
    <t>ЛР1, Материалы_собранные</t>
  </si>
  <si>
    <t>Расчет ценовой чувствительности по профилям клиентов</t>
  </si>
  <si>
    <t>Расчет по параметрам сегментов (допущение Д-30), приложение Г отчета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</si>
</sst>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6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9" fontId="0" fillId="0" borderId="0" xfId="1" applyNumberFormat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4" fillId="5" borderId="0" xfId="1" applyFont="1" applyFill="1" applyAlignment="1">
      <alignment vertical="top" wrapText="1"/>
    </xf>
    <xf numFmtId="3" fontId="0" fillId="0" borderId="0" xfId="1" applyNumberFormat="1" applyFont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3" fontId="4" fillId="5" borderId="0" xfId="1" applyNumberFormat="1" applyFont="1" applyFill="1" applyAlignment="1">
      <alignment vertical="top" wrapText="1"/>
    </xf>
    <xf numFmtId="9" fontId="4" fillId="5" borderId="0" xfId="1" applyNumberFormat="1" applyFont="1" applyFill="1" applyAlignment="1">
      <alignment vertical="top" wrapText="1"/>
    </xf>
    <xf numFmtId="2" fontId="0" fillId="0" borderId="0" xfId="1" applyNumberFormat="1" applyFont="1" applyAlignment="1">
      <alignment vertical="top" wrapText="1"/>
    </xf>
    <xf numFmtId="2" fontId="4" fillId="5" borderId="0" xfId="1" applyNumberFormat="1" applyFont="1" applyFill="1" applyAlignment="1">
      <alignment vertical="top" wrapText="1"/>
    </xf>
    <xf numFmtId="165" fontId="4" fillId="5" borderId="0" xfId="1" applyNumberFormat="1" applyFont="1" applyFill="1" applyAlignment="1">
      <alignment vertical="top" wrapText="1"/>
    </xf>
    <xf numFmtId="166" fontId="0" fillId="0" borderId="0" xfId="1" applyNumberFormat="1" applyFont="1" applyAlignment="1">
      <alignment vertical="top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wrapText="1"/>
    </xf>
    <xf numFmtId="0" fontId="0" fillId="6" borderId="0" xfId="1" applyFont="1" applyFill="1" applyAlignment="1">
      <alignment vertical="top" wrapText="1"/>
    </xf>
    <xf numFmtId="14" fontId="0" fillId="0" borderId="0" xfId="1" applyNumberFormat="1" applyFont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Рынок</c:v>
          </c:tx>
          <c:invertIfNegative val="1"/>
          <c:cat>
            <c:strRef>
              <c:f>'08_Итоговая_панель'!$E$5:$E$7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'08_Итоговая_панель'!$F$5:$F$7</c:f>
              <c:numCache>
                <c:formatCode>#,##0</c:formatCode>
                <c:ptCount val="3"/>
                <c:pt idx="0">
                  <c:v>12601123.6032</c:v>
                </c:pt>
                <c:pt idx="1">
                  <c:v>35003121.119999997</c:v>
                </c:pt>
                <c:pt idx="2">
                  <c:v>63761685.43219199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B-4F79-A406-F2A1026147A6}"/>
            </c:ext>
          </c:extLst>
        </c:ser>
        <c:ser>
          <c:idx val="1"/>
          <c:order val="1"/>
          <c:tx>
            <c:v>Достижимая выручка</c:v>
          </c:tx>
          <c:invertIfNegative val="1"/>
          <c:cat>
            <c:strRef>
              <c:f>'08_Итоговая_панель'!$E$5:$E$7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'08_Итоговая_панель'!$G$5:$G$7</c:f>
              <c:numCache>
                <c:formatCode>#,##0</c:formatCode>
                <c:ptCount val="3"/>
                <c:pt idx="0">
                  <c:v>6300.5618015999999</c:v>
                </c:pt>
                <c:pt idx="1">
                  <c:v>45504.057455999995</c:v>
                </c:pt>
                <c:pt idx="2">
                  <c:v>191285.05629657596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5B-4F79-A406-F2A102614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Объем</c:v>
          </c:tx>
          <c:invertIfNegative val="1"/>
          <c:cat>
            <c:strRef>
              <c:f>'02_Сегменты'!$A$5:$A$9</c:f>
              <c:strCache>
                <c:ptCount val="4"/>
                <c:pt idx="0">
                  <c:v>Финансовые аналитики и FP&amp;A</c:v>
                </c:pt>
                <c:pt idx="1">
                  <c:v>Бухгалтеры и аудиторы</c:v>
                </c:pt>
                <c:pt idx="2">
                  <c:v>Консультанты по управлению</c:v>
                </c:pt>
                <c:pt idx="3">
                  <c:v>МСП с финансовой функцией</c:v>
                </c:pt>
              </c:strCache>
            </c:strRef>
          </c:cat>
          <c:val>
            <c:numRef>
              <c:f>'02_Сегменты'!$J$5:$J$9</c:f>
              <c:numCache>
                <c:formatCode>#,##0</c:formatCode>
                <c:ptCount val="5"/>
                <c:pt idx="0">
                  <c:v>6448438.0800000001</c:v>
                </c:pt>
                <c:pt idx="1">
                  <c:v>3869157.6</c:v>
                </c:pt>
                <c:pt idx="2">
                  <c:v>17914327.199999999</c:v>
                </c:pt>
                <c:pt idx="3">
                  <c:v>6771198.2399999984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F-4B1B-B922-75A800B71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4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gmentsTable" displayName="SegmentsTable" ref="A4:L14">
  <tableColumns count="12">
    <tableColumn id="1" xr3:uid="{00000000-0010-0000-0000-000001000000}" name="Сегмент"/>
    <tableColumn id="2" xr3:uid="{00000000-0010-0000-0000-000002000000}" name="Всего потенциальных клиентов"/>
    <tableColumn id="3" xr3:uid="{00000000-0010-0000-0000-000003000000}" name="Доля с потребностью"/>
    <tableColumn id="4" xr3:uid="{00000000-0010-0000-0000-000004000000}" name="Доля готовых покупать онлайн"/>
    <tableColumn id="5" xr3:uid="{00000000-0010-0000-0000-000005000000}" name="Доля платежеспособных"/>
    <tableColumn id="6" xr3:uid="{00000000-0010-0000-0000-000006000000}" name="Покупок/контрактов в год"/>
    <tableColumn id="7" xr3:uid="{00000000-0010-0000-0000-000007000000}" name="Средний чек"/>
    <tableColumn id="8" xr3:uid="{00000000-0010-0000-0000-000008000000}" name="Платежеспособные клиенты"/>
    <tableColumn id="9" xr3:uid="{00000000-0010-0000-0000-000009000000}" name="Годовое число покупок"/>
    <tableColumn id="10" xr3:uid="{00000000-0010-0000-0000-00000A000000}" name="Потенциальный объем рынка"/>
    <tableColumn id="11" xr3:uid="{00000000-0010-0000-0000-00000B000000}" name="Комментарий"/>
    <tableColumn id="12" xr3:uid="{00000000-0010-0000-0000-00000C000000}" name="Источни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iceTable" displayName="PriceTable" ref="A4:J12">
  <tableColumns count="10">
    <tableColumn id="1" xr3:uid="{00000000-0010-0000-0100-000001000000}" name="Услуга / продукт"/>
    <tableColumn id="2" xr3:uid="{00000000-0010-0000-0100-000002000000}" name="Минимальная цена"/>
    <tableColumn id="3" xr3:uid="{00000000-0010-0000-0100-000003000000}" name="Медианная цена"/>
    <tableColumn id="4" xr3:uid="{00000000-0010-0000-0100-000004000000}" name="Максимальная цена"/>
    <tableColumn id="5" xr3:uid="{00000000-0010-0000-0100-000005000000}" name="Себестоимость"/>
    <tableColumn id="6" xr3:uid="{00000000-0010-0000-0100-000006000000}" name="Валовая маржа"/>
    <tableColumn id="7" xr3:uid="{00000000-0010-0000-0100-000007000000}" name="Цена в модели"/>
    <tableColumn id="8" xr3:uid="{00000000-0010-0000-0100-000008000000}" name="Индекс доступности цены"/>
    <tableColumn id="9" xr3:uid="{00000000-0010-0000-0100-000009000000}" name="Комментарий"/>
    <tableColumn id="10" xr3:uid="{00000000-0010-0000-0100-00000A000000}" name="Источни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conomicsTable" displayName="EconomicsTable" ref="A4:K12">
  <tableColumns count="11">
    <tableColumn id="1" xr3:uid="{00000000-0010-0000-0200-000001000000}" name="Сегмент"/>
    <tableColumn id="2" xr3:uid="{00000000-0010-0000-0200-000002000000}" name="Средняя месячная выручка клиента"/>
    <tableColumn id="3" xr3:uid="{00000000-0010-0000-0200-000003000000}" name="Маржинальность клиента"/>
    <tableColumn id="4" xr3:uid="{00000000-0010-0000-0200-000004000000}" name="Ожидаемый рост выручки"/>
    <tableColumn id="5" xr3:uid="{00000000-0010-0000-0200-000005000000}" name="Дополнительная валовая прибыль/мес."/>
    <tableColumn id="6" xr3:uid="{00000000-0010-0000-0200-000006000000}" name="Цена услуги/мес."/>
    <tableColumn id="7" xr3:uid="{00000000-0010-0000-0200-000007000000}" name="Окупаемость, мес."/>
    <tableColumn id="8" xr3:uid="{00000000-0010-0000-0200-000008000000}" name="ROI за год"/>
    <tableColumn id="9" xr3:uid="{00000000-0010-0000-0200-000009000000}" name="Экономический статус"/>
    <tableColumn id="10" xr3:uid="{00000000-0010-0000-0200-00000A000000}" name="Комментарий"/>
    <tableColumn id="11" xr3:uid="{00000000-0010-0000-0200-00000B000000}" name="Источни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pacityTable" displayName="CapacityTable" ref="A4:J12">
  <tableColumns count="10">
    <tableColumn id="1" xr3:uid="{00000000-0010-0000-0300-000001000000}" name="Сегмент"/>
    <tableColumn id="2" xr3:uid="{00000000-0010-0000-0300-000002000000}" name="Средний доступный бюджет/мес."/>
    <tableColumn id="3" xr3:uid="{00000000-0010-0000-0300-000003000000}" name="Цена предложения/мес."/>
    <tableColumn id="4" xr3:uid="{00000000-0010-0000-0300-000004000000}" name="Индекс платежеспособности"/>
    <tableColumn id="5" xr3:uid="{00000000-0010-0000-0300-000005000000}" name="Статус"/>
    <tableColumn id="6" xr3:uid="{00000000-0010-0000-0300-000006000000}" name="Доля клиентов с бюджетом"/>
    <tableColumn id="7" xr3:uid="{00000000-0010-0000-0300-000007000000}" name="Платежеспособные клиенты"/>
    <tableColumn id="8" xr3:uid="{00000000-0010-0000-0300-000008000000}" name="Годовой чек"/>
    <tableColumn id="9" xr3:uid="{00000000-0010-0000-0300-000009000000}" name="Платежеспособный объем"/>
    <tableColumn id="10" xr3:uid="{00000000-0010-0000-0300-00000A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imilarwebTable" displayName="SimilarwebTable" ref="A4:L16">
  <tableColumns count="12">
    <tableColumn id="1" xr3:uid="{00000000-0010-0000-0400-000001000000}" name="Сайт / конкурент"/>
    <tableColumn id="2" xr3:uid="{00000000-0010-0000-0400-000002000000}" name="Месячные посещения"/>
    <tableColumn id="3" xr3:uid="{00000000-0010-0000-0400-000003000000}" name="Эффективная доля (география x релевантность x качество)"/>
    <tableColumn id="4" xr3:uid="{00000000-0010-0000-0400-000004000000}" name="Релевантный трафик"/>
    <tableColumn id="5" xr3:uid="{00000000-0010-0000-0400-000005000000}" name="Доля поискового трафика"/>
    <tableColumn id="6" xr3:uid="{00000000-0010-0000-0400-000006000000}" name="Доля прямого трафика"/>
    <tableColumn id="7" xr3:uid="{00000000-0010-0000-0400-000007000000}" name="Доля соцсетей"/>
    <tableColumn id="8" xr3:uid="{00000000-0010-0000-0400-000008000000}" name="Конверсия визит - платящий"/>
    <tableColumn id="9" xr3:uid="{00000000-0010-0000-0400-000009000000}" name="Оценка новых платящих/мес."/>
    <tableColumn id="10" xr3:uid="{00000000-0010-0000-0400-00000A000000}" name="Выручка первого года на платящего, EUR"/>
    <tableColumn id="11" xr3:uid="{00000000-0010-0000-0400-00000B000000}" name="Оценка выручки/мес. (первый год), EUR"/>
    <tableColumn id="12" xr3:uid="{00000000-0010-0000-0400-00000C000000}" name="Источник / дат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selection sqref="A1:H1"/>
    </sheetView>
  </sheetViews>
  <sheetFormatPr defaultRowHeight="13.5"/>
  <cols>
    <col min="1" max="1" width="20" customWidth="1"/>
    <col min="2" max="2" width="45" customWidth="1"/>
    <col min="3" max="3" width="42" customWidth="1"/>
    <col min="4" max="4" width="38" customWidth="1"/>
  </cols>
  <sheetData>
    <row r="1" spans="1:26" ht="14" customHeight="1">
      <c r="A1" s="15" t="s">
        <v>0</v>
      </c>
      <c r="B1" s="16"/>
      <c r="C1" s="16"/>
      <c r="D1" s="16"/>
      <c r="E1" s="16"/>
      <c r="F1" s="16"/>
      <c r="G1" s="16"/>
      <c r="H1" s="1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" customHeight="1">
      <c r="A2" s="17" t="s">
        <v>1</v>
      </c>
      <c r="B2" s="16"/>
      <c r="C2" s="16"/>
      <c r="D2" s="16"/>
      <c r="E2" s="16"/>
      <c r="F2" s="16"/>
      <c r="G2" s="16"/>
      <c r="H2" s="1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 customHeight="1">
      <c r="A4" s="1" t="s">
        <v>2</v>
      </c>
      <c r="B4" s="1" t="s">
        <v>3</v>
      </c>
      <c r="C4" s="1" t="s">
        <v>4</v>
      </c>
      <c r="D4" s="1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0.5">
      <c r="A5" s="3" t="s">
        <v>6</v>
      </c>
      <c r="B5" s="3" t="s">
        <v>7</v>
      </c>
      <c r="C5" s="3" t="s">
        <v>8</v>
      </c>
      <c r="D5" s="3" t="s">
        <v>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0.5">
      <c r="A6" s="3" t="s">
        <v>10</v>
      </c>
      <c r="B6" s="3" t="s">
        <v>11</v>
      </c>
      <c r="C6" s="3" t="s">
        <v>12</v>
      </c>
      <c r="D6" s="3" t="s">
        <v>13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0.5">
      <c r="A7" s="3" t="s">
        <v>14</v>
      </c>
      <c r="B7" s="3" t="s">
        <v>15</v>
      </c>
      <c r="C7" s="3" t="s">
        <v>16</v>
      </c>
      <c r="D7" s="3" t="s">
        <v>17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">
      <c r="A8" s="3" t="s">
        <v>18</v>
      </c>
      <c r="B8" s="3" t="s">
        <v>19</v>
      </c>
      <c r="C8" s="3" t="s">
        <v>20</v>
      </c>
      <c r="D8" s="3" t="s">
        <v>21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0.5">
      <c r="A9" s="3" t="s">
        <v>22</v>
      </c>
      <c r="B9" s="3" t="s">
        <v>23</v>
      </c>
      <c r="C9" s="3" t="s">
        <v>24</v>
      </c>
      <c r="D9" s="3" t="s">
        <v>25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0.5">
      <c r="A10" s="3" t="s">
        <v>26</v>
      </c>
      <c r="B10" s="3" t="s">
        <v>27</v>
      </c>
      <c r="C10" s="3" t="s">
        <v>28</v>
      </c>
      <c r="D10" s="3" t="s">
        <v>29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defaultRowHeight="13.5"/>
  <cols>
    <col min="1" max="1" width="32" customWidth="1"/>
    <col min="2" max="2" width="28" customWidth="1"/>
    <col min="3" max="3" width="52" customWidth="1"/>
  </cols>
  <sheetData>
    <row r="1" spans="1:26" ht="14" customHeight="1">
      <c r="A1" s="15" t="s">
        <v>30</v>
      </c>
      <c r="B1" s="16"/>
      <c r="C1" s="16"/>
      <c r="D1" s="16"/>
      <c r="E1" s="16"/>
      <c r="F1" s="16"/>
      <c r="G1" s="1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" customHeight="1">
      <c r="A2" s="17" t="s">
        <v>31</v>
      </c>
      <c r="B2" s="16"/>
      <c r="C2" s="16"/>
      <c r="D2" s="16"/>
      <c r="E2" s="16"/>
      <c r="F2" s="16"/>
      <c r="G2" s="1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 customHeight="1">
      <c r="A4" s="1" t="s">
        <v>32</v>
      </c>
      <c r="B4" s="1" t="s">
        <v>33</v>
      </c>
      <c r="C4" s="1" t="s">
        <v>34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">
      <c r="A5" s="3" t="s">
        <v>35</v>
      </c>
      <c r="B5" s="3" t="s">
        <v>185</v>
      </c>
      <c r="C5" s="3" t="s">
        <v>36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37</v>
      </c>
      <c r="B6" s="3" t="s">
        <v>186</v>
      </c>
      <c r="C6" s="3" t="s">
        <v>38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39</v>
      </c>
      <c r="B7" s="4" t="s">
        <v>184</v>
      </c>
      <c r="C7" s="3" t="s">
        <v>40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41</v>
      </c>
      <c r="B8" s="3" t="s">
        <v>42</v>
      </c>
      <c r="C8" s="3" t="s">
        <v>43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">
      <c r="A9" s="3" t="s">
        <v>44</v>
      </c>
      <c r="B9" s="4">
        <v>0.05</v>
      </c>
      <c r="C9" s="3" t="s">
        <v>45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7">
      <c r="A10" s="3" t="s">
        <v>46</v>
      </c>
      <c r="B10" s="3">
        <v>1</v>
      </c>
      <c r="C10" s="3" t="s">
        <v>47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7">
      <c r="A11" s="3" t="s">
        <v>48</v>
      </c>
      <c r="B11" s="3">
        <v>0.8</v>
      </c>
      <c r="C11" s="3" t="s">
        <v>187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 t="s">
        <v>49</v>
      </c>
      <c r="B12" s="5">
        <v>46298</v>
      </c>
      <c r="C12" s="3" t="s">
        <v>50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3.5"/>
  <cols>
    <col min="1" max="1" width="26" customWidth="1"/>
    <col min="2" max="2" width="18" customWidth="1"/>
    <col min="3" max="3" width="16" customWidth="1"/>
    <col min="4" max="5" width="18" customWidth="1"/>
    <col min="6" max="6" width="17" customWidth="1"/>
    <col min="7" max="7" width="15" customWidth="1"/>
    <col min="8" max="9" width="18" customWidth="1"/>
    <col min="10" max="10" width="20" customWidth="1"/>
    <col min="11" max="11" width="34" customWidth="1"/>
    <col min="12" max="12" width="28" customWidth="1"/>
  </cols>
  <sheetData>
    <row r="1" spans="1:26" ht="14" customHeight="1">
      <c r="A1" s="15" t="s">
        <v>51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" customHeight="1">
      <c r="A2" s="17" t="s">
        <v>52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 customHeight="1">
      <c r="A4" s="1" t="s">
        <v>53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60</v>
      </c>
      <c r="I4" s="1" t="s">
        <v>61</v>
      </c>
      <c r="J4" s="1" t="s">
        <v>62</v>
      </c>
      <c r="K4" s="1" t="s">
        <v>34</v>
      </c>
      <c r="L4" s="1" t="s">
        <v>63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0.5">
      <c r="A5" s="3" t="s">
        <v>188</v>
      </c>
      <c r="B5" s="7">
        <v>852968</v>
      </c>
      <c r="C5" s="4">
        <v>0.3</v>
      </c>
      <c r="D5" s="4">
        <v>0.6</v>
      </c>
      <c r="E5" s="4">
        <v>0.35</v>
      </c>
      <c r="F5" s="8">
        <v>1</v>
      </c>
      <c r="G5" s="7">
        <v>120</v>
      </c>
      <c r="H5" s="7">
        <f t="shared" ref="H5:H14" si="0">IF(A5="","",B5*C5*D5*E5)</f>
        <v>53736.983999999997</v>
      </c>
      <c r="I5" s="7">
        <f t="shared" ref="I5:I14" si="1">IF(A5="","",H5*F5)</f>
        <v>53736.983999999997</v>
      </c>
      <c r="J5" s="7">
        <f t="shared" ref="J5:J14" si="2">IF(A5="","",I5*G5)</f>
        <v>6448438.0800000001</v>
      </c>
      <c r="K5" s="3" t="s">
        <v>189</v>
      </c>
      <c r="L5" s="3" t="s">
        <v>190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0.5">
      <c r="A6" s="3" t="s">
        <v>191</v>
      </c>
      <c r="B6" s="7">
        <v>1535380</v>
      </c>
      <c r="C6" s="4">
        <v>0.2</v>
      </c>
      <c r="D6" s="4">
        <v>0.6</v>
      </c>
      <c r="E6" s="4">
        <v>0.3</v>
      </c>
      <c r="F6" s="8">
        <v>1</v>
      </c>
      <c r="G6" s="7">
        <v>70</v>
      </c>
      <c r="H6" s="7">
        <f t="shared" si="0"/>
        <v>55273.68</v>
      </c>
      <c r="I6" s="7">
        <f t="shared" si="1"/>
        <v>55273.68</v>
      </c>
      <c r="J6" s="7">
        <f t="shared" si="2"/>
        <v>3869157.6</v>
      </c>
      <c r="K6" s="3" t="s">
        <v>192</v>
      </c>
      <c r="L6" s="3" t="s">
        <v>190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">
      <c r="A7" s="3" t="s">
        <v>193</v>
      </c>
      <c r="B7" s="7">
        <v>1184810</v>
      </c>
      <c r="C7" s="4">
        <v>0.3</v>
      </c>
      <c r="D7" s="4">
        <v>0.7</v>
      </c>
      <c r="E7" s="4">
        <v>0.4</v>
      </c>
      <c r="F7" s="8">
        <v>1</v>
      </c>
      <c r="G7" s="7">
        <v>180</v>
      </c>
      <c r="H7" s="7">
        <f t="shared" si="0"/>
        <v>99524.04</v>
      </c>
      <c r="I7" s="7">
        <f t="shared" si="1"/>
        <v>99524.04</v>
      </c>
      <c r="J7" s="7">
        <f t="shared" si="2"/>
        <v>17914327.199999999</v>
      </c>
      <c r="K7" s="3" t="s">
        <v>194</v>
      </c>
      <c r="L7" s="3" t="s">
        <v>190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0.5">
      <c r="A8" s="3" t="s">
        <v>195</v>
      </c>
      <c r="B8" s="7">
        <v>522469</v>
      </c>
      <c r="C8" s="4">
        <v>0.3</v>
      </c>
      <c r="D8" s="4">
        <v>0.6</v>
      </c>
      <c r="E8" s="4">
        <v>0.3</v>
      </c>
      <c r="F8" s="8">
        <v>1</v>
      </c>
      <c r="G8" s="7">
        <v>240</v>
      </c>
      <c r="H8" s="7">
        <f t="shared" si="0"/>
        <v>28213.325999999994</v>
      </c>
      <c r="I8" s="7">
        <f t="shared" si="1"/>
        <v>28213.325999999994</v>
      </c>
      <c r="J8" s="7">
        <f t="shared" si="2"/>
        <v>6771198.2399999984</v>
      </c>
      <c r="K8" s="3" t="s">
        <v>196</v>
      </c>
      <c r="L8" s="3" t="s">
        <v>197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/>
      <c r="B9" s="7"/>
      <c r="C9" s="4"/>
      <c r="D9" s="4"/>
      <c r="E9" s="4"/>
      <c r="F9" s="8"/>
      <c r="G9" s="7"/>
      <c r="H9" s="7" t="str">
        <f t="shared" si="0"/>
        <v/>
      </c>
      <c r="I9" s="7" t="str">
        <f t="shared" si="1"/>
        <v/>
      </c>
      <c r="J9" s="7" t="str">
        <f t="shared" si="2"/>
        <v/>
      </c>
      <c r="K9" s="3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/>
      <c r="B10" s="7"/>
      <c r="C10" s="4"/>
      <c r="D10" s="4"/>
      <c r="E10" s="4"/>
      <c r="F10" s="8"/>
      <c r="G10" s="7"/>
      <c r="H10" s="7" t="str">
        <f t="shared" si="0"/>
        <v/>
      </c>
      <c r="I10" s="7" t="str">
        <f t="shared" si="1"/>
        <v/>
      </c>
      <c r="J10" s="7" t="str">
        <f t="shared" si="2"/>
        <v/>
      </c>
      <c r="K10" s="3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/>
      <c r="B11" s="7"/>
      <c r="C11" s="4"/>
      <c r="D11" s="4"/>
      <c r="E11" s="4"/>
      <c r="F11" s="8"/>
      <c r="G11" s="7"/>
      <c r="H11" s="7" t="str">
        <f t="shared" si="0"/>
        <v/>
      </c>
      <c r="I11" s="7" t="str">
        <f t="shared" si="1"/>
        <v/>
      </c>
      <c r="J11" s="7" t="str">
        <f t="shared" si="2"/>
        <v/>
      </c>
      <c r="K11" s="3"/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/>
      <c r="B12" s="7"/>
      <c r="C12" s="4"/>
      <c r="D12" s="4"/>
      <c r="E12" s="4"/>
      <c r="F12" s="8"/>
      <c r="G12" s="7"/>
      <c r="H12" s="7" t="str">
        <f t="shared" si="0"/>
        <v/>
      </c>
      <c r="I12" s="7" t="str">
        <f t="shared" si="1"/>
        <v/>
      </c>
      <c r="J12" s="7" t="str">
        <f t="shared" si="2"/>
        <v/>
      </c>
      <c r="K12" s="3"/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7"/>
      <c r="C13" s="4"/>
      <c r="D13" s="4"/>
      <c r="E13" s="4"/>
      <c r="F13" s="8"/>
      <c r="G13" s="7"/>
      <c r="H13" s="7" t="str">
        <f t="shared" si="0"/>
        <v/>
      </c>
      <c r="I13" s="7" t="str">
        <f t="shared" si="1"/>
        <v/>
      </c>
      <c r="J13" s="7" t="str">
        <f t="shared" si="2"/>
        <v/>
      </c>
      <c r="K13" s="3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/>
      <c r="B14" s="7"/>
      <c r="C14" s="4"/>
      <c r="D14" s="4"/>
      <c r="E14" s="4"/>
      <c r="F14" s="8"/>
      <c r="G14" s="7"/>
      <c r="H14" s="7" t="str">
        <f t="shared" si="0"/>
        <v/>
      </c>
      <c r="I14" s="7" t="str">
        <f t="shared" si="1"/>
        <v/>
      </c>
      <c r="J14" s="7" t="str">
        <f t="shared" si="2"/>
        <v/>
      </c>
      <c r="K14" s="3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/>
      <c r="B15" s="3"/>
      <c r="C15" s="3"/>
      <c r="D15" s="3"/>
      <c r="E15" s="3"/>
      <c r="F15" s="3"/>
      <c r="G15" s="3"/>
      <c r="H15" s="7"/>
      <c r="I15" s="7"/>
      <c r="J15" s="7"/>
      <c r="K15" s="3"/>
      <c r="L15" s="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9">
      <c r="A16" s="6" t="s">
        <v>64</v>
      </c>
      <c r="B16" s="6"/>
      <c r="C16" s="6"/>
      <c r="D16" s="6"/>
      <c r="E16" s="6"/>
      <c r="F16" s="6"/>
      <c r="G16" s="6"/>
      <c r="H16" s="9">
        <f>SUM(H5:H14)</f>
        <v>236748.02999999997</v>
      </c>
      <c r="I16" s="9">
        <f>SUM(I5:I14)</f>
        <v>236748.02999999997</v>
      </c>
      <c r="J16" s="9">
        <f>SUM(J5:J14)</f>
        <v>35003121.119999997</v>
      </c>
      <c r="K16" s="6"/>
      <c r="L16" s="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3.5"/>
  <cols>
    <col min="1" max="1" width="26" customWidth="1"/>
    <col min="2" max="5" width="16" customWidth="1"/>
    <col min="6" max="6" width="14" customWidth="1"/>
    <col min="7" max="7" width="15" customWidth="1"/>
    <col min="8" max="8" width="18" customWidth="1"/>
    <col min="9" max="9" width="36" customWidth="1"/>
    <col min="10" max="10" width="28" customWidth="1"/>
  </cols>
  <sheetData>
    <row r="1" spans="1:26" ht="14" customHeight="1">
      <c r="A1" s="15" t="s">
        <v>65</v>
      </c>
      <c r="B1" s="16"/>
      <c r="C1" s="16"/>
      <c r="D1" s="16"/>
      <c r="E1" s="16"/>
      <c r="F1" s="16"/>
      <c r="G1" s="16"/>
      <c r="H1" s="16"/>
      <c r="I1" s="16"/>
      <c r="J1" s="1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" customHeight="1">
      <c r="A2" s="17" t="s">
        <v>66</v>
      </c>
      <c r="B2" s="16"/>
      <c r="C2" s="16"/>
      <c r="D2" s="16"/>
      <c r="E2" s="16"/>
      <c r="F2" s="16"/>
      <c r="G2" s="16"/>
      <c r="H2" s="16"/>
      <c r="I2" s="16"/>
      <c r="J2" s="1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0.5">
      <c r="A3" s="2"/>
      <c r="B3" s="2"/>
      <c r="C3" s="2"/>
      <c r="D3" s="2"/>
      <c r="E3" s="2"/>
      <c r="F3" s="2"/>
      <c r="G3" s="2"/>
      <c r="H3" s="2" t="s">
        <v>209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 customHeight="1">
      <c r="A4" s="1" t="s">
        <v>67</v>
      </c>
      <c r="B4" s="1" t="s">
        <v>68</v>
      </c>
      <c r="C4" s="1" t="s">
        <v>69</v>
      </c>
      <c r="D4" s="1" t="s">
        <v>70</v>
      </c>
      <c r="E4" s="1" t="s">
        <v>71</v>
      </c>
      <c r="F4" s="1" t="s">
        <v>72</v>
      </c>
      <c r="G4" s="1" t="s">
        <v>73</v>
      </c>
      <c r="H4" s="1" t="s">
        <v>74</v>
      </c>
      <c r="I4" s="1" t="s">
        <v>34</v>
      </c>
      <c r="J4" s="1" t="s">
        <v>63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0.5">
      <c r="A5" s="3" t="s">
        <v>198</v>
      </c>
      <c r="B5" s="7">
        <v>7.1</v>
      </c>
      <c r="C5" s="7">
        <v>8.8800000000000008</v>
      </c>
      <c r="D5" s="7">
        <v>19.170000000000002</v>
      </c>
      <c r="E5" s="7">
        <v>1.5</v>
      </c>
      <c r="F5" s="4">
        <f t="shared" ref="F5:F12" si="0">IF(A5="","",(G5-E5)/G5)</f>
        <v>0.83333333333333337</v>
      </c>
      <c r="G5" s="7">
        <v>9</v>
      </c>
      <c r="H5" s="11">
        <f t="shared" ref="H5:H12" si="1">IF(A5="","",G5/C5)</f>
        <v>1.0135135135135134</v>
      </c>
      <c r="I5" s="3" t="s">
        <v>199</v>
      </c>
      <c r="J5" s="3" t="s">
        <v>200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0.5">
      <c r="A6" s="3" t="s">
        <v>201</v>
      </c>
      <c r="B6" s="7">
        <v>7.1</v>
      </c>
      <c r="C6" s="7">
        <v>19.170000000000002</v>
      </c>
      <c r="D6" s="7">
        <v>88.76</v>
      </c>
      <c r="E6" s="7">
        <v>4</v>
      </c>
      <c r="F6" s="4">
        <f t="shared" si="0"/>
        <v>0.78947368421052633</v>
      </c>
      <c r="G6" s="7">
        <v>19</v>
      </c>
      <c r="H6" s="11">
        <f t="shared" si="1"/>
        <v>0.99113197704746991</v>
      </c>
      <c r="I6" s="3" t="s">
        <v>202</v>
      </c>
      <c r="J6" s="3" t="s">
        <v>203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0.5">
      <c r="A7" s="3" t="s">
        <v>204</v>
      </c>
      <c r="B7" s="7">
        <v>7.1</v>
      </c>
      <c r="C7" s="7">
        <v>22.37</v>
      </c>
      <c r="D7" s="7">
        <v>88.76</v>
      </c>
      <c r="E7" s="7">
        <v>4.5</v>
      </c>
      <c r="F7" s="4">
        <f t="shared" si="0"/>
        <v>0.84482758620689657</v>
      </c>
      <c r="G7" s="7">
        <v>29</v>
      </c>
      <c r="H7" s="11">
        <f t="shared" si="1"/>
        <v>1.2963790791238265</v>
      </c>
      <c r="I7" s="3" t="s">
        <v>205</v>
      </c>
      <c r="J7" s="3" t="s">
        <v>203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67.5">
      <c r="A8" s="3" t="s">
        <v>206</v>
      </c>
      <c r="B8" s="7">
        <v>69</v>
      </c>
      <c r="C8" s="7">
        <v>69</v>
      </c>
      <c r="D8" s="7">
        <v>69</v>
      </c>
      <c r="E8" s="7">
        <v>4</v>
      </c>
      <c r="F8" s="4">
        <f t="shared" si="0"/>
        <v>0.78947368421052633</v>
      </c>
      <c r="G8" s="7">
        <v>19</v>
      </c>
      <c r="H8" s="11">
        <f t="shared" si="1"/>
        <v>0.27536231884057971</v>
      </c>
      <c r="I8" s="3" t="s">
        <v>207</v>
      </c>
      <c r="J8" s="3" t="s">
        <v>208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/>
      <c r="B9" s="7"/>
      <c r="C9" s="7"/>
      <c r="D9" s="7"/>
      <c r="E9" s="7"/>
      <c r="F9" s="4" t="str">
        <f t="shared" si="0"/>
        <v/>
      </c>
      <c r="G9" s="7"/>
      <c r="H9" s="11" t="str">
        <f t="shared" si="1"/>
        <v/>
      </c>
      <c r="I9" s="3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/>
      <c r="B10" s="7"/>
      <c r="C10" s="7"/>
      <c r="D10" s="7"/>
      <c r="E10" s="7"/>
      <c r="F10" s="4" t="str">
        <f t="shared" si="0"/>
        <v/>
      </c>
      <c r="G10" s="7" t="str">
        <f t="shared" ref="G5:G12" si="2">IF(A10="","",C10)</f>
        <v/>
      </c>
      <c r="H10" s="11" t="str">
        <f t="shared" si="1"/>
        <v/>
      </c>
      <c r="I10" s="3"/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/>
      <c r="B11" s="7"/>
      <c r="C11" s="7"/>
      <c r="D11" s="7"/>
      <c r="E11" s="7"/>
      <c r="F11" s="4" t="str">
        <f t="shared" si="0"/>
        <v/>
      </c>
      <c r="G11" s="7" t="str">
        <f t="shared" si="2"/>
        <v/>
      </c>
      <c r="H11" s="11" t="str">
        <f t="shared" si="1"/>
        <v/>
      </c>
      <c r="I11" s="3"/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/>
      <c r="B12" s="7"/>
      <c r="C12" s="7"/>
      <c r="D12" s="7"/>
      <c r="E12" s="7"/>
      <c r="F12" s="4" t="str">
        <f t="shared" si="0"/>
        <v/>
      </c>
      <c r="G12" s="7" t="str">
        <f t="shared" si="2"/>
        <v/>
      </c>
      <c r="H12" s="11" t="str">
        <f t="shared" si="1"/>
        <v/>
      </c>
      <c r="I12" s="3"/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7"/>
      <c r="C13" s="7"/>
      <c r="D13" s="7"/>
      <c r="E13" s="7"/>
      <c r="F13" s="4"/>
      <c r="G13" s="7"/>
      <c r="H13" s="11"/>
      <c r="I13" s="3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9">
      <c r="A14" s="6" t="s">
        <v>76</v>
      </c>
      <c r="B14" s="9">
        <f t="shared" ref="B14:H14" si="3">AVERAGE(B5:B12)</f>
        <v>22.574999999999999</v>
      </c>
      <c r="C14" s="9">
        <f t="shared" si="3"/>
        <v>29.855</v>
      </c>
      <c r="D14" s="9">
        <f t="shared" si="3"/>
        <v>66.422499999999999</v>
      </c>
      <c r="E14" s="9">
        <f t="shared" si="3"/>
        <v>3.5</v>
      </c>
      <c r="F14" s="10">
        <f t="shared" si="3"/>
        <v>0.81427707199032073</v>
      </c>
      <c r="G14" s="9">
        <f t="shared" si="3"/>
        <v>19</v>
      </c>
      <c r="H14" s="12">
        <f t="shared" si="3"/>
        <v>0.89409672213134739</v>
      </c>
      <c r="I14" s="6"/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defaultRowHeight="13.5"/>
  <cols>
    <col min="1" max="1" width="24" customWidth="1"/>
    <col min="2" max="2" width="20" customWidth="1"/>
    <col min="3" max="3" width="16" customWidth="1"/>
    <col min="4" max="4" width="18" customWidth="1"/>
    <col min="5" max="5" width="22" customWidth="1"/>
    <col min="6" max="7" width="16" customWidth="1"/>
    <col min="8" max="8" width="14" customWidth="1"/>
    <col min="9" max="9" width="24" customWidth="1"/>
    <col min="10" max="10" width="34" customWidth="1"/>
    <col min="11" max="11" width="24" customWidth="1"/>
  </cols>
  <sheetData>
    <row r="1" spans="1:26" ht="14" customHeight="1">
      <c r="A1" s="15" t="s">
        <v>77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" customHeight="1">
      <c r="A2" s="17" t="s">
        <v>78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0.5">
      <c r="A3" s="2"/>
      <c r="B3" s="2" t="s">
        <v>210</v>
      </c>
      <c r="C3" s="2" t="s">
        <v>211</v>
      </c>
      <c r="D3" s="2" t="s">
        <v>212</v>
      </c>
      <c r="E3" s="2" t="s">
        <v>213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 customHeight="1">
      <c r="A4" s="1" t="s">
        <v>53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83</v>
      </c>
      <c r="G4" s="1" t="s">
        <v>84</v>
      </c>
      <c r="H4" s="1" t="s">
        <v>85</v>
      </c>
      <c r="I4" s="1" t="s">
        <v>86</v>
      </c>
      <c r="J4" s="1" t="s">
        <v>34</v>
      </c>
      <c r="K4" s="1" t="s">
        <v>63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0.5">
      <c r="A5" s="3" t="s">
        <v>188</v>
      </c>
      <c r="B5" s="7">
        <v>3300</v>
      </c>
      <c r="C5" s="4">
        <v>0.2</v>
      </c>
      <c r="D5" s="4">
        <v>0.45</v>
      </c>
      <c r="E5" s="7">
        <f t="shared" ref="E5:E12" si="0">IF(A5="","",B5*C5*D5)</f>
        <v>297</v>
      </c>
      <c r="F5" s="7">
        <v>19</v>
      </c>
      <c r="G5" s="8">
        <f t="shared" ref="G5:G12" si="1">IF(A5="","",IF(E5=0,"",F5/E5))</f>
        <v>6.3973063973063973E-2</v>
      </c>
      <c r="H5" s="4">
        <f t="shared" ref="H5:H12" si="2">IF(A5="","",((E5-F5)*12)/(F5*12))</f>
        <v>14.631578947368421</v>
      </c>
      <c r="I5" s="3" t="str">
        <f t="shared" ref="I5:I12" si="3">IF(A5="","",IF(H5&gt;=0.5,"экономически оправдано",IF(H5&gt;=0,"требует проверки","экономически слабо")))</f>
        <v>экономически оправдано</v>
      </c>
      <c r="J5" s="3" t="s">
        <v>214</v>
      </c>
      <c r="K5" s="3" t="s">
        <v>87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0.5">
      <c r="A6" s="3" t="s">
        <v>191</v>
      </c>
      <c r="B6" s="7">
        <v>2000</v>
      </c>
      <c r="C6" s="4">
        <v>0.2</v>
      </c>
      <c r="D6" s="4">
        <v>0.45</v>
      </c>
      <c r="E6" s="7">
        <f t="shared" si="0"/>
        <v>180</v>
      </c>
      <c r="F6" s="7">
        <v>19</v>
      </c>
      <c r="G6" s="8">
        <f t="shared" si="1"/>
        <v>0.10555555555555556</v>
      </c>
      <c r="H6" s="4">
        <f t="shared" si="2"/>
        <v>8.473684210526315</v>
      </c>
      <c r="I6" s="3" t="str">
        <f t="shared" si="3"/>
        <v>экономически оправдано</v>
      </c>
      <c r="J6" s="3" t="s">
        <v>214</v>
      </c>
      <c r="K6" s="3" t="s">
        <v>88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0.5">
      <c r="A7" s="3" t="s">
        <v>193</v>
      </c>
      <c r="B7" s="7">
        <v>4250</v>
      </c>
      <c r="C7" s="4">
        <v>0.2</v>
      </c>
      <c r="D7" s="4">
        <v>0.45</v>
      </c>
      <c r="E7" s="7">
        <f t="shared" si="0"/>
        <v>382.5</v>
      </c>
      <c r="F7" s="7">
        <v>19</v>
      </c>
      <c r="G7" s="8">
        <f t="shared" si="1"/>
        <v>4.9673202614379082E-2</v>
      </c>
      <c r="H7" s="4">
        <f t="shared" si="2"/>
        <v>19.131578947368421</v>
      </c>
      <c r="I7" s="3" t="str">
        <f t="shared" si="3"/>
        <v>экономически оправдано</v>
      </c>
      <c r="J7" s="3" t="s">
        <v>214</v>
      </c>
      <c r="K7" s="3" t="s">
        <v>89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0.5">
      <c r="A8" s="3" t="s">
        <v>195</v>
      </c>
      <c r="B8" s="7">
        <v>1800</v>
      </c>
      <c r="C8" s="4">
        <v>0.2</v>
      </c>
      <c r="D8" s="4">
        <v>0.45</v>
      </c>
      <c r="E8" s="7">
        <f t="shared" si="0"/>
        <v>162</v>
      </c>
      <c r="F8" s="7">
        <v>58</v>
      </c>
      <c r="G8" s="8">
        <f t="shared" si="1"/>
        <v>0.35802469135802467</v>
      </c>
      <c r="H8" s="4">
        <f t="shared" si="2"/>
        <v>1.7931034482758621</v>
      </c>
      <c r="I8" s="3" t="str">
        <f t="shared" si="3"/>
        <v>экономически оправдано</v>
      </c>
      <c r="J8" s="3" t="s">
        <v>214</v>
      </c>
      <c r="K8" s="3" t="s">
        <v>90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/>
      <c r="B9" s="7"/>
      <c r="C9" s="4"/>
      <c r="D9" s="4"/>
      <c r="E9" s="7" t="str">
        <f t="shared" si="0"/>
        <v/>
      </c>
      <c r="F9" s="7"/>
      <c r="G9" s="8" t="str">
        <f t="shared" si="1"/>
        <v/>
      </c>
      <c r="H9" s="4" t="str">
        <f t="shared" si="2"/>
        <v/>
      </c>
      <c r="I9" s="3" t="str">
        <f t="shared" si="3"/>
        <v/>
      </c>
      <c r="J9" s="3"/>
      <c r="K9" s="3" t="s">
        <v>75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/>
      <c r="B10" s="7"/>
      <c r="C10" s="4"/>
      <c r="D10" s="4"/>
      <c r="E10" s="7" t="str">
        <f t="shared" si="0"/>
        <v/>
      </c>
      <c r="F10" s="7"/>
      <c r="G10" s="8" t="str">
        <f t="shared" si="1"/>
        <v/>
      </c>
      <c r="H10" s="4" t="str">
        <f t="shared" si="2"/>
        <v/>
      </c>
      <c r="I10" s="3" t="str">
        <f t="shared" si="3"/>
        <v/>
      </c>
      <c r="J10" s="3"/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/>
      <c r="B11" s="7"/>
      <c r="C11" s="4"/>
      <c r="D11" s="4"/>
      <c r="E11" s="7" t="str">
        <f t="shared" si="0"/>
        <v/>
      </c>
      <c r="F11" s="7"/>
      <c r="G11" s="8" t="str">
        <f t="shared" si="1"/>
        <v/>
      </c>
      <c r="H11" s="4" t="str">
        <f t="shared" si="2"/>
        <v/>
      </c>
      <c r="I11" s="3" t="str">
        <f t="shared" si="3"/>
        <v/>
      </c>
      <c r="J11" s="3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/>
      <c r="B12" s="7"/>
      <c r="C12" s="4"/>
      <c r="D12" s="4"/>
      <c r="E12" s="7" t="str">
        <f t="shared" si="0"/>
        <v/>
      </c>
      <c r="F12" s="7"/>
      <c r="G12" s="8" t="str">
        <f t="shared" si="1"/>
        <v/>
      </c>
      <c r="H12" s="4" t="str">
        <f t="shared" si="2"/>
        <v/>
      </c>
      <c r="I12" s="3" t="str">
        <f t="shared" si="3"/>
        <v/>
      </c>
      <c r="J12" s="3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7"/>
      <c r="C13" s="4"/>
      <c r="D13" s="4"/>
      <c r="E13" s="7"/>
      <c r="F13" s="7"/>
      <c r="G13" s="8"/>
      <c r="H13" s="4"/>
      <c r="I13" s="3"/>
      <c r="J13" s="3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7.75">
      <c r="A14" s="6" t="s">
        <v>91</v>
      </c>
      <c r="B14" s="9">
        <f t="shared" ref="B14:H14" si="4">AVERAGE(B5:B12)</f>
        <v>2837.5</v>
      </c>
      <c r="C14" s="10">
        <f t="shared" si="4"/>
        <v>0.2</v>
      </c>
      <c r="D14" s="10">
        <f t="shared" si="4"/>
        <v>0.45</v>
      </c>
      <c r="E14" s="9">
        <f t="shared" si="4"/>
        <v>255.375</v>
      </c>
      <c r="F14" s="9">
        <f t="shared" si="4"/>
        <v>28.75</v>
      </c>
      <c r="G14" s="13">
        <f t="shared" si="4"/>
        <v>0.14430662837525582</v>
      </c>
      <c r="H14" s="10">
        <f t="shared" si="4"/>
        <v>11.007486388384756</v>
      </c>
      <c r="I14" s="6"/>
      <c r="J14" s="6"/>
      <c r="K14" s="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defaultRowHeight="13.5"/>
  <cols>
    <col min="1" max="1" width="24" customWidth="1"/>
    <col min="2" max="2" width="22" customWidth="1"/>
    <col min="3" max="6" width="18" customWidth="1"/>
    <col min="7" max="7" width="20" customWidth="1"/>
    <col min="8" max="8" width="14" customWidth="1"/>
    <col min="9" max="9" width="20" customWidth="1"/>
    <col min="10" max="10" width="38" customWidth="1"/>
  </cols>
  <sheetData>
    <row r="1" spans="1:26" ht="14" customHeight="1">
      <c r="A1" s="15" t="s">
        <v>92</v>
      </c>
      <c r="B1" s="16"/>
      <c r="C1" s="16"/>
      <c r="D1" s="16"/>
      <c r="E1" s="16"/>
      <c r="F1" s="16"/>
      <c r="G1" s="16"/>
      <c r="H1" s="16"/>
      <c r="I1" s="16"/>
      <c r="J1" s="1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" customHeight="1">
      <c r="A2" s="17" t="s">
        <v>93</v>
      </c>
      <c r="B2" s="16"/>
      <c r="C2" s="16"/>
      <c r="D2" s="16"/>
      <c r="E2" s="16"/>
      <c r="F2" s="16"/>
      <c r="G2" s="16"/>
      <c r="H2" s="16"/>
      <c r="I2" s="16"/>
      <c r="J2" s="1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 customHeight="1">
      <c r="A4" s="1" t="s">
        <v>53</v>
      </c>
      <c r="B4" s="1" t="s">
        <v>94</v>
      </c>
      <c r="C4" s="1" t="s">
        <v>95</v>
      </c>
      <c r="D4" s="1" t="s">
        <v>96</v>
      </c>
      <c r="E4" s="1" t="s">
        <v>97</v>
      </c>
      <c r="F4" s="1" t="s">
        <v>98</v>
      </c>
      <c r="G4" s="1" t="s">
        <v>60</v>
      </c>
      <c r="H4" s="1" t="s">
        <v>99</v>
      </c>
      <c r="I4" s="1" t="s">
        <v>100</v>
      </c>
      <c r="J4" s="1" t="s">
        <v>34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">
      <c r="A5" s="3" t="s">
        <v>188</v>
      </c>
      <c r="B5" s="7">
        <v>45</v>
      </c>
      <c r="C5" s="7">
        <v>19</v>
      </c>
      <c r="D5" s="11">
        <f t="shared" ref="D5:D12" si="0">IF(A5="","",B5/C5)</f>
        <v>2.3684210526315788</v>
      </c>
      <c r="E5" s="3" t="str">
        <f t="shared" ref="E5:E12" si="1">IF(A5="","",IF(D5&gt;=1.5,"высокая",IF(D5&gt;=1,"достаточная",IF(D5&gt;=0.7,"пограничная","низкая"))))</f>
        <v>высокая</v>
      </c>
      <c r="F5" s="4">
        <v>0.35</v>
      </c>
      <c r="G5" s="7">
        <f>IF(A5="","",'02_Сегменты'!B5*F5)</f>
        <v>298538.8</v>
      </c>
      <c r="H5" s="7">
        <v>120</v>
      </c>
      <c r="I5" s="7">
        <f t="shared" ref="I5:I12" si="2">IF(A5="","",G5*H5)</f>
        <v>35824656</v>
      </c>
      <c r="J5" s="3" t="s">
        <v>215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7">
      <c r="A6" s="3" t="s">
        <v>191</v>
      </c>
      <c r="B6" s="7">
        <v>25</v>
      </c>
      <c r="C6" s="7">
        <v>19</v>
      </c>
      <c r="D6" s="11">
        <f t="shared" si="0"/>
        <v>1.3157894736842106</v>
      </c>
      <c r="E6" s="3" t="str">
        <f t="shared" si="1"/>
        <v>достаточная</v>
      </c>
      <c r="F6" s="4">
        <v>0.3</v>
      </c>
      <c r="G6" s="7">
        <f>IF(A6="","",'02_Сегменты'!B6*F6)</f>
        <v>460614</v>
      </c>
      <c r="H6" s="7">
        <v>70</v>
      </c>
      <c r="I6" s="7">
        <f t="shared" si="2"/>
        <v>32242980</v>
      </c>
      <c r="J6" s="3" t="s">
        <v>216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">
      <c r="A7" s="3" t="s">
        <v>193</v>
      </c>
      <c r="B7" s="7">
        <v>80</v>
      </c>
      <c r="C7" s="7">
        <v>19</v>
      </c>
      <c r="D7" s="11">
        <f t="shared" si="0"/>
        <v>4.2105263157894735</v>
      </c>
      <c r="E7" s="3" t="str">
        <f t="shared" si="1"/>
        <v>высокая</v>
      </c>
      <c r="F7" s="4">
        <v>0.4</v>
      </c>
      <c r="G7" s="7">
        <f>IF(A7="","",'02_Сегменты'!B7*F7)</f>
        <v>473924</v>
      </c>
      <c r="H7" s="7">
        <v>180</v>
      </c>
      <c r="I7" s="7">
        <f t="shared" si="2"/>
        <v>85306320</v>
      </c>
      <c r="J7" s="3" t="s">
        <v>217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">
      <c r="A8" s="3" t="s">
        <v>195</v>
      </c>
      <c r="B8" s="7">
        <v>90</v>
      </c>
      <c r="C8" s="7">
        <v>58</v>
      </c>
      <c r="D8" s="11">
        <f t="shared" si="0"/>
        <v>1.5517241379310345</v>
      </c>
      <c r="E8" s="3" t="str">
        <f t="shared" si="1"/>
        <v>высокая</v>
      </c>
      <c r="F8" s="4">
        <v>0.3</v>
      </c>
      <c r="G8" s="7">
        <f>IF(A8="","",'02_Сегменты'!B8*F8)</f>
        <v>156740.69999999998</v>
      </c>
      <c r="H8" s="7">
        <v>240</v>
      </c>
      <c r="I8" s="7">
        <f t="shared" si="2"/>
        <v>37617767.999999993</v>
      </c>
      <c r="J8" s="3" t="s">
        <v>218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/>
      <c r="B9" s="7"/>
      <c r="C9" s="7"/>
      <c r="D9" s="11" t="str">
        <f t="shared" si="0"/>
        <v/>
      </c>
      <c r="E9" s="3" t="str">
        <f t="shared" si="1"/>
        <v/>
      </c>
      <c r="F9" s="4"/>
      <c r="G9" s="7" t="str">
        <f>IF(A9="","",'02_Сегменты'!B9*F9)</f>
        <v/>
      </c>
      <c r="H9" s="7"/>
      <c r="I9" s="7" t="str">
        <f t="shared" si="2"/>
        <v/>
      </c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/>
      <c r="B10" s="7"/>
      <c r="C10" s="7"/>
      <c r="D10" s="11" t="str">
        <f t="shared" si="0"/>
        <v/>
      </c>
      <c r="E10" s="3" t="str">
        <f t="shared" si="1"/>
        <v/>
      </c>
      <c r="F10" s="4"/>
      <c r="G10" s="7" t="str">
        <f>IF(A10="","",'02_Сегменты'!B10*F10)</f>
        <v/>
      </c>
      <c r="H10" s="7"/>
      <c r="I10" s="7" t="str">
        <f t="shared" si="2"/>
        <v/>
      </c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/>
      <c r="B11" s="7"/>
      <c r="C11" s="7"/>
      <c r="D11" s="11" t="str">
        <f t="shared" si="0"/>
        <v/>
      </c>
      <c r="E11" s="3" t="str">
        <f t="shared" si="1"/>
        <v/>
      </c>
      <c r="F11" s="4"/>
      <c r="G11" s="7" t="str">
        <f>IF(A11="","",'02_Сегменты'!B11*F11)</f>
        <v/>
      </c>
      <c r="H11" s="7"/>
      <c r="I11" s="7" t="str">
        <f t="shared" si="2"/>
        <v/>
      </c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/>
      <c r="B12" s="7"/>
      <c r="C12" s="7"/>
      <c r="D12" s="11" t="str">
        <f t="shared" si="0"/>
        <v/>
      </c>
      <c r="E12" s="3" t="str">
        <f t="shared" si="1"/>
        <v/>
      </c>
      <c r="F12" s="4"/>
      <c r="G12" s="7" t="str">
        <f>IF(A12="","",'02_Сегменты'!B12*F12)</f>
        <v/>
      </c>
      <c r="H12" s="7"/>
      <c r="I12" s="7" t="str">
        <f t="shared" si="2"/>
        <v/>
      </c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7"/>
      <c r="C13" s="7"/>
      <c r="D13" s="11"/>
      <c r="E13" s="3"/>
      <c r="F13" s="4"/>
      <c r="G13" s="7"/>
      <c r="H13" s="7"/>
      <c r="I13" s="7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9">
      <c r="A14" s="6" t="s">
        <v>101</v>
      </c>
      <c r="B14" s="9">
        <f>AVERAGE(B5:B12)</f>
        <v>60</v>
      </c>
      <c r="C14" s="9">
        <f>AVERAGE(C5:C12)</f>
        <v>28.75</v>
      </c>
      <c r="D14" s="12">
        <f>AVERAGE(D5:D12)</f>
        <v>2.3616152450090744</v>
      </c>
      <c r="E14" s="6"/>
      <c r="F14" s="10">
        <f>AVERAGE(F5:F12)</f>
        <v>0.33749999999999997</v>
      </c>
      <c r="G14" s="9">
        <f>SUM(G5:G12)</f>
        <v>1389817.5</v>
      </c>
      <c r="H14" s="9">
        <f>AVERAGE(H5:H12)</f>
        <v>152.5</v>
      </c>
      <c r="I14" s="9">
        <f>SUM(I5:I12)</f>
        <v>190991724</v>
      </c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J1"/>
    <mergeCell ref="A2:J2"/>
  </mergeCells>
  <conditionalFormatting sqref="D5:D12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/>
  </sheetViews>
  <sheetFormatPr defaultRowHeight="13.5"/>
  <cols>
    <col min="1" max="1" width="24" customWidth="1"/>
    <col min="2" max="2" width="18" customWidth="1"/>
    <col min="3" max="3" width="20" customWidth="1"/>
    <col min="4" max="4" width="18" customWidth="1"/>
    <col min="5" max="5" width="20" customWidth="1"/>
    <col min="6" max="7" width="24" customWidth="1"/>
    <col min="8" max="8" width="26" customWidth="1"/>
  </cols>
  <sheetData>
    <row r="1" spans="1:26" ht="14" customHeight="1">
      <c r="A1" s="15" t="s">
        <v>102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" customHeight="1">
      <c r="A2" s="17" t="s">
        <v>103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 customHeight="1">
      <c r="A4" s="1" t="s">
        <v>32</v>
      </c>
      <c r="B4" s="1" t="s">
        <v>104</v>
      </c>
      <c r="C4" s="1" t="s">
        <v>105</v>
      </c>
      <c r="D4" s="1" t="s">
        <v>106</v>
      </c>
      <c r="E4" s="1" t="s">
        <v>34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0.5">
      <c r="A5" s="3" t="s">
        <v>107</v>
      </c>
      <c r="B5" s="14">
        <v>0.75</v>
      </c>
      <c r="C5" s="14">
        <v>1</v>
      </c>
      <c r="D5" s="14">
        <v>1.2</v>
      </c>
      <c r="E5" s="3" t="s">
        <v>108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0.5">
      <c r="A6" s="3" t="s">
        <v>109</v>
      </c>
      <c r="B6" s="14">
        <v>0.75</v>
      </c>
      <c r="C6" s="14">
        <v>1</v>
      </c>
      <c r="D6" s="14">
        <v>1.2</v>
      </c>
      <c r="E6" s="3" t="s">
        <v>110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">
      <c r="A7" s="3" t="s">
        <v>111</v>
      </c>
      <c r="B7" s="11">
        <v>0.8</v>
      </c>
      <c r="C7" s="11">
        <v>1</v>
      </c>
      <c r="D7" s="11">
        <v>1.1000000000000001</v>
      </c>
      <c r="E7" s="3" t="s">
        <v>112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">
      <c r="A8" s="3" t="s">
        <v>113</v>
      </c>
      <c r="B8" s="11">
        <v>0.8</v>
      </c>
      <c r="C8" s="11">
        <v>1</v>
      </c>
      <c r="D8" s="11">
        <v>1.1499999999999999</v>
      </c>
      <c r="E8" s="3" t="s">
        <v>114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0.5">
      <c r="A9" s="3" t="s">
        <v>115</v>
      </c>
      <c r="B9" s="14">
        <v>5.0000000000000001E-4</v>
      </c>
      <c r="C9" s="14">
        <v>1.2999999999999999E-3</v>
      </c>
      <c r="D9" s="14">
        <v>3.0000000000000001E-3</v>
      </c>
      <c r="E9" s="3" t="s">
        <v>116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" customHeight="1">
      <c r="A12" s="1" t="s">
        <v>53</v>
      </c>
      <c r="B12" s="1" t="s">
        <v>117</v>
      </c>
      <c r="C12" s="1" t="s">
        <v>118</v>
      </c>
      <c r="D12" s="1" t="s">
        <v>119</v>
      </c>
      <c r="E12" s="1" t="s">
        <v>120</v>
      </c>
      <c r="F12" s="1" t="s">
        <v>121</v>
      </c>
      <c r="G12" s="1" t="s">
        <v>122</v>
      </c>
      <c r="H12" s="1" t="s">
        <v>123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 t="str">
        <f>IF('02_Сегменты'!A5="","",'02_Сегменты'!A5)</f>
        <v>Финансовые аналитики и FP&amp;A</v>
      </c>
      <c r="B13" s="7">
        <f>IF(A13="","",'02_Сегменты'!J5)</f>
        <v>6448438.0800000001</v>
      </c>
      <c r="C13" s="7">
        <f t="shared" ref="C13:C20" si="0">IF(A13="","",B13*$B$5*$B$6*$B$7*$B$8)</f>
        <v>2321437.7088000006</v>
      </c>
      <c r="D13" s="7">
        <f t="shared" ref="D13:D20" si="1">IF(A13="","",B13*$C$5*$C$6*$C$7*$C$8)</f>
        <v>6448438.0800000001</v>
      </c>
      <c r="E13" s="7">
        <f t="shared" ref="E13:E20" si="2">IF(A13="","",B13*$D$5*$D$6*$D$7*$D$8)</f>
        <v>11746474.806527998</v>
      </c>
      <c r="F13" s="7">
        <f t="shared" ref="F13:F20" si="3">IF(A13="","",C13*$B$9)</f>
        <v>1160.7188544000003</v>
      </c>
      <c r="G13" s="7">
        <f t="shared" ref="G13:G20" si="4">IF(A13="","",D13*$C$9)</f>
        <v>8382.9695040000006</v>
      </c>
      <c r="H13" s="7">
        <f t="shared" ref="H13:H20" si="5">IF(A13="","",E13*$D$9)</f>
        <v>35239.424419583993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 t="str">
        <f>IF('02_Сегменты'!A6="","",'02_Сегменты'!A6)</f>
        <v>Бухгалтеры и аудиторы</v>
      </c>
      <c r="B14" s="7">
        <f>IF(A14="","",'02_Сегменты'!J6)</f>
        <v>3869157.6</v>
      </c>
      <c r="C14" s="7">
        <f t="shared" si="0"/>
        <v>1392896.7360000005</v>
      </c>
      <c r="D14" s="7">
        <f t="shared" si="1"/>
        <v>3869157.6</v>
      </c>
      <c r="E14" s="7">
        <f t="shared" si="2"/>
        <v>7048057.4841600005</v>
      </c>
      <c r="F14" s="7">
        <f t="shared" si="3"/>
        <v>696.4483680000003</v>
      </c>
      <c r="G14" s="7">
        <f t="shared" si="4"/>
        <v>5029.90488</v>
      </c>
      <c r="H14" s="7">
        <f t="shared" si="5"/>
        <v>21144.172452480001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tr">
        <f>IF('02_Сегменты'!A7="","",'02_Сегменты'!A7)</f>
        <v>Консультанты по управлению</v>
      </c>
      <c r="B15" s="7">
        <f>IF(A15="","",'02_Сегменты'!J7)</f>
        <v>17914327.199999999</v>
      </c>
      <c r="C15" s="7">
        <f t="shared" si="0"/>
        <v>6449157.7919999994</v>
      </c>
      <c r="D15" s="7">
        <f t="shared" si="1"/>
        <v>17914327.199999999</v>
      </c>
      <c r="E15" s="7">
        <f t="shared" si="2"/>
        <v>32632738.427519992</v>
      </c>
      <c r="F15" s="7">
        <f t="shared" si="3"/>
        <v>3224.578896</v>
      </c>
      <c r="G15" s="7">
        <f t="shared" si="4"/>
        <v>23288.625359999998</v>
      </c>
      <c r="H15" s="7">
        <f t="shared" si="5"/>
        <v>97898.215282559977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 t="str">
        <f>IF('02_Сегменты'!A8="","",'02_Сегменты'!A8)</f>
        <v>МСП с финансовой функцией</v>
      </c>
      <c r="B16" s="7">
        <f>IF(A16="","",'02_Сегменты'!J8)</f>
        <v>6771198.2399999984</v>
      </c>
      <c r="C16" s="7">
        <f t="shared" si="0"/>
        <v>2437631.3663999992</v>
      </c>
      <c r="D16" s="7">
        <f t="shared" si="1"/>
        <v>6771198.2399999984</v>
      </c>
      <c r="E16" s="7">
        <f t="shared" si="2"/>
        <v>12334414.713983996</v>
      </c>
      <c r="F16" s="7">
        <f t="shared" si="3"/>
        <v>1218.8156831999997</v>
      </c>
      <c r="G16" s="7">
        <f t="shared" si="4"/>
        <v>8802.557711999998</v>
      </c>
      <c r="H16" s="7">
        <f t="shared" si="5"/>
        <v>37003.244141951989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 t="str">
        <f>IF('02_Сегменты'!A9="","",'02_Сегменты'!A9)</f>
        <v/>
      </c>
      <c r="B17" s="7" t="str">
        <f>IF(A17="","",'02_Сегменты'!J9)</f>
        <v/>
      </c>
      <c r="C17" s="7" t="str">
        <f t="shared" si="0"/>
        <v/>
      </c>
      <c r="D17" s="7" t="str">
        <f t="shared" si="1"/>
        <v/>
      </c>
      <c r="E17" s="7" t="str">
        <f t="shared" si="2"/>
        <v/>
      </c>
      <c r="F17" s="7" t="str">
        <f t="shared" si="3"/>
        <v/>
      </c>
      <c r="G17" s="7" t="str">
        <f t="shared" si="4"/>
        <v/>
      </c>
      <c r="H17" s="7" t="str">
        <f t="shared" si="5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 t="str">
        <f>IF('02_Сегменты'!A10="","",'02_Сегменты'!A10)</f>
        <v/>
      </c>
      <c r="B18" s="7" t="str">
        <f>IF(A18="","",'02_Сегменты'!J10)</f>
        <v/>
      </c>
      <c r="C18" s="7" t="str">
        <f t="shared" si="0"/>
        <v/>
      </c>
      <c r="D18" s="7" t="str">
        <f t="shared" si="1"/>
        <v/>
      </c>
      <c r="E18" s="7" t="str">
        <f t="shared" si="2"/>
        <v/>
      </c>
      <c r="F18" s="7" t="str">
        <f t="shared" si="3"/>
        <v/>
      </c>
      <c r="G18" s="7" t="str">
        <f t="shared" si="4"/>
        <v/>
      </c>
      <c r="H18" s="7" t="str">
        <f t="shared" si="5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 t="str">
        <f>IF('02_Сегменты'!A11="","",'02_Сегменты'!A11)</f>
        <v/>
      </c>
      <c r="B19" s="7" t="str">
        <f>IF(A19="","",'02_Сегменты'!J11)</f>
        <v/>
      </c>
      <c r="C19" s="7" t="str">
        <f t="shared" si="0"/>
        <v/>
      </c>
      <c r="D19" s="7" t="str">
        <f t="shared" si="1"/>
        <v/>
      </c>
      <c r="E19" s="7" t="str">
        <f t="shared" si="2"/>
        <v/>
      </c>
      <c r="F19" s="7" t="str">
        <f t="shared" si="3"/>
        <v/>
      </c>
      <c r="G19" s="7" t="str">
        <f t="shared" si="4"/>
        <v/>
      </c>
      <c r="H19" s="7" t="str">
        <f t="shared" si="5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 t="str">
        <f>IF('02_Сегменты'!A12="","",'02_Сегменты'!A12)</f>
        <v/>
      </c>
      <c r="B20" s="7" t="str">
        <f>IF(A20="","",'02_Сегменты'!J12)</f>
        <v/>
      </c>
      <c r="C20" s="7" t="str">
        <f t="shared" si="0"/>
        <v/>
      </c>
      <c r="D20" s="7" t="str">
        <f t="shared" si="1"/>
        <v/>
      </c>
      <c r="E20" s="7" t="str">
        <f t="shared" si="2"/>
        <v/>
      </c>
      <c r="F20" s="7" t="str">
        <f t="shared" si="3"/>
        <v/>
      </c>
      <c r="G20" s="7" t="str">
        <f t="shared" si="4"/>
        <v/>
      </c>
      <c r="H20" s="7" t="str">
        <f t="shared" si="5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/>
      <c r="B21" s="7"/>
      <c r="C21" s="7"/>
      <c r="D21" s="7"/>
      <c r="E21" s="7"/>
      <c r="F21" s="7"/>
      <c r="G21" s="7"/>
      <c r="H21" s="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9">
      <c r="A22" s="6" t="s">
        <v>64</v>
      </c>
      <c r="B22" s="9">
        <f t="shared" ref="B22:H22" si="6">SUM(B13:B20)</f>
        <v>35003121.119999997</v>
      </c>
      <c r="C22" s="9">
        <f t="shared" si="6"/>
        <v>12601123.6032</v>
      </c>
      <c r="D22" s="9">
        <f t="shared" si="6"/>
        <v>35003121.119999997</v>
      </c>
      <c r="E22" s="9">
        <f t="shared" si="6"/>
        <v>63761685.43219199</v>
      </c>
      <c r="F22" s="9">
        <f t="shared" si="6"/>
        <v>6300.5618015999999</v>
      </c>
      <c r="G22" s="9">
        <f t="shared" si="6"/>
        <v>45504.057455999995</v>
      </c>
      <c r="H22" s="9">
        <f t="shared" si="6"/>
        <v>191285.05629657596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L1"/>
    <mergeCell ref="A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4"/>
  <sheetViews>
    <sheetView workbookViewId="0"/>
  </sheetViews>
  <sheetFormatPr defaultRowHeight="13.5"/>
  <cols>
    <col min="1" max="1" width="24" customWidth="1"/>
    <col min="2" max="6" width="18" customWidth="1"/>
    <col min="7" max="7" width="16" customWidth="1"/>
    <col min="8" max="9" width="18" customWidth="1"/>
    <col min="10" max="10" width="14" customWidth="1"/>
    <col min="11" max="11" width="18" customWidth="1"/>
    <col min="12" max="12" width="28" customWidth="1"/>
  </cols>
  <sheetData>
    <row r="1" spans="1:26" ht="14" customHeight="1">
      <c r="A1" s="15" t="s">
        <v>124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" customHeight="1">
      <c r="A2" s="17" t="s">
        <v>125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 customHeight="1">
      <c r="A4" s="1" t="s">
        <v>126</v>
      </c>
      <c r="B4" s="1" t="s">
        <v>127</v>
      </c>
      <c r="C4" s="1" t="s">
        <v>232</v>
      </c>
      <c r="D4" s="1" t="s">
        <v>128</v>
      </c>
      <c r="E4" s="1" t="s">
        <v>129</v>
      </c>
      <c r="F4" s="1" t="s">
        <v>130</v>
      </c>
      <c r="G4" s="1" t="s">
        <v>131</v>
      </c>
      <c r="H4" s="1" t="s">
        <v>233</v>
      </c>
      <c r="I4" s="1" t="s">
        <v>234</v>
      </c>
      <c r="J4" s="1" t="s">
        <v>235</v>
      </c>
      <c r="K4" s="1" t="s">
        <v>236</v>
      </c>
      <c r="L4" s="1" t="s">
        <v>132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0.5">
      <c r="A5" s="3" t="s">
        <v>219</v>
      </c>
      <c r="B5" s="7">
        <v>154111</v>
      </c>
      <c r="C5" s="4">
        <v>7.9000000000000001E-2</v>
      </c>
      <c r="D5" s="7">
        <f t="shared" ref="D5:D16" si="0">IF(A5="","",B5*C5)</f>
        <v>12174.769</v>
      </c>
      <c r="E5" s="4">
        <v>0.31739999999999996</v>
      </c>
      <c r="F5" s="4">
        <v>0.55579999999999996</v>
      </c>
      <c r="G5" s="4">
        <v>3.4500000000000003E-2</v>
      </c>
      <c r="H5" s="4">
        <v>2E-3</v>
      </c>
      <c r="I5" s="7">
        <f t="shared" ref="I5:I16" si="1">IF(A5="","",D5*H5)</f>
        <v>24.349538000000003</v>
      </c>
      <c r="J5" s="7">
        <v>100.58</v>
      </c>
      <c r="K5" s="7">
        <f t="shared" ref="K5:K16" si="2">IF(A5="","",I5*J5)</f>
        <v>2449.0765320400001</v>
      </c>
      <c r="L5" s="3" t="s">
        <v>220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0.5">
      <c r="A6" s="3" t="s">
        <v>221</v>
      </c>
      <c r="B6" s="7">
        <v>35325</v>
      </c>
      <c r="C6" s="4">
        <v>0.2989</v>
      </c>
      <c r="D6" s="7">
        <f t="shared" si="0"/>
        <v>10558.6425</v>
      </c>
      <c r="E6" s="4">
        <v>0.32549999999999996</v>
      </c>
      <c r="F6" s="4">
        <v>0.40429999999999999</v>
      </c>
      <c r="G6" s="4">
        <v>6.2199999999999998E-2</v>
      </c>
      <c r="H6" s="4">
        <v>2E-3</v>
      </c>
      <c r="I6" s="7">
        <f t="shared" si="1"/>
        <v>21.117284999999999</v>
      </c>
      <c r="J6" s="7">
        <v>100.58</v>
      </c>
      <c r="K6" s="7">
        <f t="shared" si="2"/>
        <v>2123.9765253</v>
      </c>
      <c r="L6" s="3" t="s">
        <v>220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0.5">
      <c r="A7" s="3" t="s">
        <v>222</v>
      </c>
      <c r="B7" s="7">
        <v>241737</v>
      </c>
      <c r="C7" s="4">
        <v>1.3899999999999999E-2</v>
      </c>
      <c r="D7" s="7">
        <f t="shared" si="0"/>
        <v>3360.1442999999999</v>
      </c>
      <c r="E7" s="4">
        <v>0.53139999999999998</v>
      </c>
      <c r="F7" s="4">
        <v>0.34159999999999996</v>
      </c>
      <c r="G7" s="4">
        <v>3.4200000000000001E-2</v>
      </c>
      <c r="H7" s="4">
        <v>2E-3</v>
      </c>
      <c r="I7" s="7">
        <f t="shared" si="1"/>
        <v>6.7202885999999999</v>
      </c>
      <c r="J7" s="7">
        <v>100.58</v>
      </c>
      <c r="K7" s="7">
        <f t="shared" si="2"/>
        <v>675.92662738799993</v>
      </c>
      <c r="L7" s="3" t="s">
        <v>220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0.5">
      <c r="A8" s="3" t="s">
        <v>223</v>
      </c>
      <c r="B8" s="7">
        <v>202178</v>
      </c>
      <c r="C8" s="4">
        <v>4.1399999999999999E-2</v>
      </c>
      <c r="D8" s="7">
        <f t="shared" ref="D8:D11" si="3">IF(A8="","",B8*C8)</f>
        <v>8370.1692000000003</v>
      </c>
      <c r="E8" s="4">
        <v>0.56380000000000008</v>
      </c>
      <c r="F8" s="4">
        <v>0.255</v>
      </c>
      <c r="G8" s="4">
        <v>1.66E-2</v>
      </c>
      <c r="H8" s="4">
        <v>2E-3</v>
      </c>
      <c r="I8" s="7">
        <f t="shared" ref="I8:I11" si="4">IF(A8="","",D8*H8)</f>
        <v>16.740338400000002</v>
      </c>
      <c r="J8" s="7">
        <v>100.58</v>
      </c>
      <c r="K8" s="7">
        <f t="shared" ref="K8:K11" si="5">IF(A8="","",I8*J8)</f>
        <v>1683.7432362720001</v>
      </c>
      <c r="L8" s="3" t="s">
        <v>220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0.5">
      <c r="A9" s="3" t="s">
        <v>224</v>
      </c>
      <c r="B9" s="7">
        <v>14688</v>
      </c>
      <c r="C9" s="4">
        <v>0.38390000000000002</v>
      </c>
      <c r="D9" s="7">
        <f t="shared" si="3"/>
        <v>5638.7232000000004</v>
      </c>
      <c r="E9" s="4">
        <v>0.29380000000000001</v>
      </c>
      <c r="F9" s="4">
        <v>0.2676</v>
      </c>
      <c r="G9" s="4">
        <v>0.10919999999999999</v>
      </c>
      <c r="H9" s="4">
        <v>2E-3</v>
      </c>
      <c r="I9" s="7">
        <f t="shared" si="4"/>
        <v>11.277446400000001</v>
      </c>
      <c r="J9" s="7">
        <v>100.58</v>
      </c>
      <c r="K9" s="7">
        <f t="shared" si="5"/>
        <v>1134.2855589119999</v>
      </c>
      <c r="L9" s="3" t="s">
        <v>220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0.5">
      <c r="A10" s="3" t="s">
        <v>225</v>
      </c>
      <c r="B10" s="7">
        <v>17824</v>
      </c>
      <c r="C10" s="4">
        <v>0.37569999999999998</v>
      </c>
      <c r="D10" s="7">
        <f t="shared" si="3"/>
        <v>6696.4767999999995</v>
      </c>
      <c r="E10" s="4">
        <v>0.32950000000000002</v>
      </c>
      <c r="F10" s="4">
        <v>0.38640000000000002</v>
      </c>
      <c r="G10" s="4">
        <v>6.0200000000000004E-2</v>
      </c>
      <c r="H10" s="4">
        <v>2E-3</v>
      </c>
      <c r="I10" s="7">
        <f t="shared" si="4"/>
        <v>13.392953599999998</v>
      </c>
      <c r="J10" s="7">
        <v>100.58</v>
      </c>
      <c r="K10" s="7">
        <f t="shared" si="5"/>
        <v>1347.0632730879997</v>
      </c>
      <c r="L10" s="3" t="s">
        <v>220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0.5">
      <c r="A11" s="3" t="s">
        <v>226</v>
      </c>
      <c r="B11" s="7">
        <v>292214</v>
      </c>
      <c r="C11" s="4">
        <v>2.3199999999999998E-2</v>
      </c>
      <c r="D11" s="7">
        <f t="shared" si="3"/>
        <v>6779.3647999999994</v>
      </c>
      <c r="E11" s="4">
        <v>0.57700000000000007</v>
      </c>
      <c r="F11" s="4">
        <v>0.28260000000000002</v>
      </c>
      <c r="G11" s="4">
        <v>2.46E-2</v>
      </c>
      <c r="H11" s="4">
        <v>2E-3</v>
      </c>
      <c r="I11" s="7">
        <f t="shared" si="4"/>
        <v>13.558729599999999</v>
      </c>
      <c r="J11" s="7">
        <v>100.58</v>
      </c>
      <c r="K11" s="7">
        <f t="shared" si="5"/>
        <v>1363.737023168</v>
      </c>
      <c r="L11" s="3" t="s">
        <v>220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0.5">
      <c r="A12" s="3" t="s">
        <v>227</v>
      </c>
      <c r="B12" s="7">
        <v>116617</v>
      </c>
      <c r="C12" s="4">
        <v>3.8699999999999998E-2</v>
      </c>
      <c r="D12" s="7">
        <f t="shared" si="0"/>
        <v>4513.0779000000002</v>
      </c>
      <c r="E12" s="4">
        <v>0.56409999999999993</v>
      </c>
      <c r="F12" s="4">
        <v>0.26350000000000001</v>
      </c>
      <c r="G12" s="4">
        <v>1.7399999999999999E-2</v>
      </c>
      <c r="H12" s="4">
        <v>2E-3</v>
      </c>
      <c r="I12" s="7">
        <f t="shared" si="1"/>
        <v>9.0261558000000015</v>
      </c>
      <c r="J12" s="7">
        <v>100.58</v>
      </c>
      <c r="K12" s="7">
        <f t="shared" si="2"/>
        <v>907.85075036400019</v>
      </c>
      <c r="L12" s="3" t="s">
        <v>220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0.5">
      <c r="A13" s="3" t="s">
        <v>228</v>
      </c>
      <c r="B13" s="7">
        <v>222359</v>
      </c>
      <c r="C13" s="4">
        <v>0.1031</v>
      </c>
      <c r="D13" s="7">
        <f t="shared" si="0"/>
        <v>22925.212899999999</v>
      </c>
      <c r="E13" s="4">
        <v>0.121</v>
      </c>
      <c r="F13" s="4">
        <v>0.59200000000000008</v>
      </c>
      <c r="G13" s="4">
        <v>5.1400000000000001E-2</v>
      </c>
      <c r="H13" s="4">
        <v>2E-3</v>
      </c>
      <c r="I13" s="7">
        <f t="shared" si="1"/>
        <v>45.850425799999996</v>
      </c>
      <c r="J13" s="7">
        <v>100.58</v>
      </c>
      <c r="K13" s="7">
        <f t="shared" si="2"/>
        <v>4611.6358269639995</v>
      </c>
      <c r="L13" s="3" t="s">
        <v>220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0.5">
      <c r="A14" s="3" t="s">
        <v>229</v>
      </c>
      <c r="B14" s="7">
        <v>701540</v>
      </c>
      <c r="C14" s="4">
        <v>7.0000000000000001E-3</v>
      </c>
      <c r="D14" s="7">
        <f t="shared" si="0"/>
        <v>4910.78</v>
      </c>
      <c r="E14" s="4">
        <v>0.40939999999999999</v>
      </c>
      <c r="F14" s="4">
        <v>0.35590000000000005</v>
      </c>
      <c r="G14" s="4">
        <v>2.01E-2</v>
      </c>
      <c r="H14" s="4">
        <v>2E-3</v>
      </c>
      <c r="I14" s="7">
        <f t="shared" si="1"/>
        <v>9.8215599999999998</v>
      </c>
      <c r="J14" s="7">
        <v>100.58</v>
      </c>
      <c r="K14" s="7">
        <f t="shared" si="2"/>
        <v>987.85250480000002</v>
      </c>
      <c r="L14" s="3" t="s">
        <v>220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0.5">
      <c r="A15" s="3" t="s">
        <v>230</v>
      </c>
      <c r="B15" s="7">
        <v>1935</v>
      </c>
      <c r="C15" s="4">
        <v>0.4294</v>
      </c>
      <c r="D15" s="7">
        <f t="shared" si="0"/>
        <v>830.88900000000001</v>
      </c>
      <c r="E15" s="4">
        <v>0.30840000000000001</v>
      </c>
      <c r="F15" s="4">
        <v>0.38969999999999999</v>
      </c>
      <c r="G15" s="4">
        <v>6.3699999999999993E-2</v>
      </c>
      <c r="H15" s="4">
        <v>2E-3</v>
      </c>
      <c r="I15" s="7">
        <f t="shared" si="1"/>
        <v>1.661778</v>
      </c>
      <c r="J15" s="7">
        <v>100.58</v>
      </c>
      <c r="K15" s="7">
        <f t="shared" si="2"/>
        <v>167.14163123999998</v>
      </c>
      <c r="L15" s="3" t="s">
        <v>220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40.5">
      <c r="A16" s="3" t="s">
        <v>231</v>
      </c>
      <c r="B16" s="7">
        <v>5522</v>
      </c>
      <c r="C16" s="4">
        <v>8.5500000000000007E-2</v>
      </c>
      <c r="D16" s="7">
        <f t="shared" si="0"/>
        <v>472.13100000000003</v>
      </c>
      <c r="E16" s="4">
        <v>0.34020000000000006</v>
      </c>
      <c r="F16" s="4">
        <v>0.38520000000000004</v>
      </c>
      <c r="G16" s="4">
        <v>6.1400000000000003E-2</v>
      </c>
      <c r="H16" s="4">
        <v>2E-3</v>
      </c>
      <c r="I16" s="7">
        <f t="shared" si="1"/>
        <v>0.94426200000000005</v>
      </c>
      <c r="J16" s="7">
        <v>100.58</v>
      </c>
      <c r="K16" s="7">
        <f t="shared" si="2"/>
        <v>94.973871959999997</v>
      </c>
      <c r="L16" s="3" t="s">
        <v>220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/>
      <c r="B17" s="7"/>
      <c r="C17" s="4"/>
      <c r="D17" s="7"/>
      <c r="E17" s="4"/>
      <c r="F17" s="4"/>
      <c r="G17" s="4"/>
      <c r="H17" s="4"/>
      <c r="I17" s="7"/>
      <c r="J17" s="7"/>
      <c r="K17" s="7"/>
      <c r="L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9">
      <c r="A18" s="6" t="s">
        <v>101</v>
      </c>
      <c r="B18" s="9">
        <f>SUM(B5:B16)</f>
        <v>2006050</v>
      </c>
      <c r="C18" s="10">
        <f>AVERAGE(C5:C16)</f>
        <v>0.15664166666666665</v>
      </c>
      <c r="D18" s="9">
        <f>SUM(D5:D16)</f>
        <v>87230.380599999989</v>
      </c>
      <c r="E18" s="10">
        <f>AVERAGE(E5:E16)</f>
        <v>0.390125</v>
      </c>
      <c r="F18" s="10">
        <f>AVERAGE(F5:F16)</f>
        <v>0.37330000000000002</v>
      </c>
      <c r="G18" s="10">
        <f>AVERAGE(G5:G16)</f>
        <v>4.6291666666666675E-2</v>
      </c>
      <c r="H18" s="10">
        <f>AVERAGE(H5:H16)</f>
        <v>2.0000000000000005E-3</v>
      </c>
      <c r="I18" s="9">
        <f>SUM(I5:I16)</f>
        <v>174.46076120000001</v>
      </c>
      <c r="J18" s="9">
        <f>AVERAGE(J5:J16)</f>
        <v>100.58</v>
      </c>
      <c r="K18" s="9">
        <f>SUM(K5:K16)</f>
        <v>17547.263361496</v>
      </c>
      <c r="L18" s="6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/>
  </sheetViews>
  <sheetFormatPr defaultRowHeight="13.5"/>
  <cols>
    <col min="1" max="1" width="32" customWidth="1"/>
    <col min="2" max="2" width="18" customWidth="1"/>
    <col min="3" max="3" width="48" customWidth="1"/>
    <col min="5" max="8" width="22" customWidth="1"/>
  </cols>
  <sheetData>
    <row r="1" spans="1:26" ht="14" customHeight="1">
      <c r="A1" s="15" t="s">
        <v>133</v>
      </c>
      <c r="B1" s="16"/>
      <c r="C1" s="16"/>
      <c r="D1" s="16"/>
      <c r="E1" s="16"/>
      <c r="F1" s="16"/>
      <c r="G1" s="16"/>
      <c r="H1" s="16"/>
      <c r="I1" s="16"/>
      <c r="J1" s="1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" customHeight="1">
      <c r="A2" s="17" t="s">
        <v>134</v>
      </c>
      <c r="B2" s="16"/>
      <c r="C2" s="16"/>
      <c r="D2" s="16"/>
      <c r="E2" s="16"/>
      <c r="F2" s="16"/>
      <c r="G2" s="16"/>
      <c r="H2" s="16"/>
      <c r="I2" s="16"/>
      <c r="J2" s="1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 customHeight="1">
      <c r="A4" s="1" t="s">
        <v>135</v>
      </c>
      <c r="B4" s="1" t="s">
        <v>33</v>
      </c>
      <c r="C4" s="1" t="s">
        <v>136</v>
      </c>
      <c r="D4" s="2"/>
      <c r="E4" s="1" t="s">
        <v>137</v>
      </c>
      <c r="F4" s="1" t="s">
        <v>138</v>
      </c>
      <c r="G4" s="1" t="s">
        <v>139</v>
      </c>
      <c r="H4" s="1" t="s">
        <v>34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">
      <c r="A5" s="3" t="s">
        <v>140</v>
      </c>
      <c r="B5" s="7">
        <f>'02_Сегменты'!J16</f>
        <v>35003121.119999997</v>
      </c>
      <c r="C5" s="3" t="s">
        <v>141</v>
      </c>
      <c r="D5" s="2"/>
      <c r="E5" s="3" t="s">
        <v>104</v>
      </c>
      <c r="F5" s="7">
        <f>'06_Сценарии'!C22</f>
        <v>12601123.6032</v>
      </c>
      <c r="G5" s="7">
        <f>'06_Сценарии'!F22</f>
        <v>6300.5618015999999</v>
      </c>
      <c r="H5" s="3" t="s">
        <v>142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7">
      <c r="A6" s="3" t="s">
        <v>60</v>
      </c>
      <c r="B6" s="7">
        <f>'02_Сегменты'!H16</f>
        <v>236748.02999999997</v>
      </c>
      <c r="C6" s="3" t="s">
        <v>143</v>
      </c>
      <c r="D6" s="2"/>
      <c r="E6" s="3" t="s">
        <v>105</v>
      </c>
      <c r="F6" s="7">
        <f>'06_Сценарии'!D22</f>
        <v>35003121.119999997</v>
      </c>
      <c r="G6" s="7">
        <f>'06_Сценарии'!G22</f>
        <v>45504.057455999995</v>
      </c>
      <c r="H6" s="3" t="s">
        <v>144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">
      <c r="A7" s="3" t="s">
        <v>145</v>
      </c>
      <c r="B7" s="11">
        <f>'05_Платежеспособность'!D14</f>
        <v>2.3616152450090744</v>
      </c>
      <c r="C7" s="3" t="s">
        <v>146</v>
      </c>
      <c r="D7" s="2"/>
      <c r="E7" s="3" t="s">
        <v>106</v>
      </c>
      <c r="F7" s="7">
        <f>'06_Сценарии'!E22</f>
        <v>63761685.43219199</v>
      </c>
      <c r="G7" s="7">
        <f>'06_Сценарии'!H22</f>
        <v>191285.05629657596</v>
      </c>
      <c r="H7" s="3" t="s">
        <v>147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">
      <c r="A8" s="3" t="s">
        <v>148</v>
      </c>
      <c r="B8" s="4">
        <f>'04_Экономика_покупки'!H14</f>
        <v>11.007486388384756</v>
      </c>
      <c r="C8" s="3" t="s">
        <v>149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 t="s">
        <v>121</v>
      </c>
      <c r="B9" s="7">
        <f>'06_Сценарии'!F22</f>
        <v>6300.5618015999999</v>
      </c>
      <c r="C9" s="3" t="s">
        <v>150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122</v>
      </c>
      <c r="B10" s="7">
        <f>'06_Сценарии'!G22</f>
        <v>45504.057455999995</v>
      </c>
      <c r="C10" s="3" t="s">
        <v>151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7">
      <c r="A11" s="3" t="s">
        <v>123</v>
      </c>
      <c r="B11" s="7">
        <f>'06_Сценарии'!H22</f>
        <v>191285.05629657596</v>
      </c>
      <c r="C11" s="3" t="s">
        <v>152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7">
      <c r="A12" s="3" t="s">
        <v>153</v>
      </c>
      <c r="B12" s="7">
        <f>'07_Similarweb'!K18</f>
        <v>17547.263361496</v>
      </c>
      <c r="C12" s="3" t="s">
        <v>154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9">
      <c r="A15" s="18" t="s">
        <v>155</v>
      </c>
      <c r="B15" s="16"/>
      <c r="C15" s="1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9" t="str">
        <f>IF(B7&gt;=1,"Платежеспособность сегментов в среднем достаточная: бюджет клиентов сопоставим с ценой предложения. Рекомендуется переходить к проверке конкурентов, каналов продаж и пилотному запуску.","Платежеспособность сегментов требует дополнительной проверки: цена предложения выше доступного бюджета. Нужно уточнить сегменты, снизить стоимость входного продукта или изменить состав предложения.")</f>
        <v>Платежеспособность сегментов в среднем достаточная: бюджет клиентов сопоставим с ценой предложения. Рекомендуется переходить к проверке конкурентов, каналов продаж и пилотному запуску.</v>
      </c>
      <c r="B16" s="16"/>
      <c r="C16" s="16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6"/>
      <c r="B17" s="16"/>
      <c r="C17" s="16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6"/>
      <c r="B18" s="16"/>
      <c r="C18" s="16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4">
    <mergeCell ref="A1:J1"/>
    <mergeCell ref="A2:J2"/>
    <mergeCell ref="A15:C15"/>
    <mergeCell ref="A16:C1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workbookViewId="0"/>
  </sheetViews>
  <sheetFormatPr defaultRowHeight="13.5"/>
  <cols>
    <col min="1" max="1" width="28" customWidth="1"/>
    <col min="2" max="2" width="40" customWidth="1"/>
    <col min="3" max="3" width="38" customWidth="1"/>
    <col min="4" max="4" width="36" customWidth="1"/>
    <col min="5" max="5" width="16" customWidth="1"/>
    <col min="6" max="6" width="36" customWidth="1"/>
  </cols>
  <sheetData>
    <row r="1" spans="1:26" ht="14" customHeight="1">
      <c r="A1" s="15" t="s">
        <v>156</v>
      </c>
      <c r="B1" s="16"/>
      <c r="C1" s="16"/>
      <c r="D1" s="16"/>
      <c r="E1" s="16"/>
      <c r="F1" s="16"/>
      <c r="G1" s="16"/>
      <c r="H1" s="1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" customHeight="1">
      <c r="A2" s="17" t="s">
        <v>157</v>
      </c>
      <c r="B2" s="16"/>
      <c r="C2" s="16"/>
      <c r="D2" s="16"/>
      <c r="E2" s="16"/>
      <c r="F2" s="16"/>
      <c r="G2" s="16"/>
      <c r="H2" s="1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 customHeight="1">
      <c r="A4" s="1" t="s">
        <v>63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">
      <c r="A5" s="3" t="s">
        <v>237</v>
      </c>
      <c r="B5" s="3" t="s">
        <v>163</v>
      </c>
      <c r="C5" s="3" t="s">
        <v>164</v>
      </c>
      <c r="D5" s="3" t="s">
        <v>238</v>
      </c>
      <c r="E5" s="20">
        <v>46298</v>
      </c>
      <c r="F5" s="3" t="s">
        <v>165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7">
      <c r="A6" s="3" t="s">
        <v>166</v>
      </c>
      <c r="B6" s="3" t="s">
        <v>167</v>
      </c>
      <c r="C6" s="3" t="s">
        <v>168</v>
      </c>
      <c r="D6" s="3" t="s">
        <v>169</v>
      </c>
      <c r="E6" s="20">
        <v>46298</v>
      </c>
      <c r="F6" s="3" t="s">
        <v>170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">
      <c r="A7" s="3" t="s">
        <v>171</v>
      </c>
      <c r="B7" s="3" t="s">
        <v>172</v>
      </c>
      <c r="C7" s="3" t="s">
        <v>173</v>
      </c>
      <c r="D7" s="3" t="s">
        <v>174</v>
      </c>
      <c r="E7" s="20">
        <v>46298</v>
      </c>
      <c r="F7" s="3" t="s">
        <v>175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">
      <c r="A8" s="3" t="s">
        <v>239</v>
      </c>
      <c r="B8" s="3" t="s">
        <v>176</v>
      </c>
      <c r="C8" s="3" t="s">
        <v>177</v>
      </c>
      <c r="D8" s="3" t="s">
        <v>240</v>
      </c>
      <c r="E8" s="20">
        <v>46298</v>
      </c>
      <c r="F8" s="3" t="s">
        <v>178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">
      <c r="A9" s="3" t="s">
        <v>75</v>
      </c>
      <c r="B9" s="3" t="s">
        <v>179</v>
      </c>
      <c r="C9" s="3" t="s">
        <v>180</v>
      </c>
      <c r="D9" s="3"/>
      <c r="E9" s="20">
        <v>46298</v>
      </c>
      <c r="F9" s="3" t="s">
        <v>181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0.5">
      <c r="A10" s="3" t="s">
        <v>241</v>
      </c>
      <c r="B10" s="3" t="s">
        <v>182</v>
      </c>
      <c r="C10" s="3" t="s">
        <v>183</v>
      </c>
      <c r="D10" s="3"/>
      <c r="E10" s="20">
        <v>46298</v>
      </c>
      <c r="F10" s="3" t="s">
        <v>242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02_Сегменты</vt:lpstr>
      <vt:lpstr>03_Ценовой_коридор</vt:lpstr>
      <vt:lpstr>04_Экономика_покупки</vt:lpstr>
      <vt:lpstr>05_Платежеспособность</vt:lpstr>
      <vt:lpstr>06_Сценарии</vt:lpstr>
      <vt:lpstr>07_Similarweb</vt:lpstr>
      <vt:lpstr>08_Итоговая_панель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modified xsi:type="dcterms:W3CDTF">2026-10-04T12:30:08Z</dcterms:modified>
</cp:coreProperties>
</file>