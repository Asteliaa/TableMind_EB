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2-3_Объем_рынка\Excel\"/>
    </mc:Choice>
  </mc:AlternateContent>
  <xr:revisionPtr revIDLastSave="0" documentId="13_ncr:1_{4EA06654-E337-4540-B056-79483C9587C2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Методика" sheetId="1" r:id="rId1"/>
    <sheet name="01_Параметры" sheetId="2" r:id="rId2"/>
    <sheet name="02_Сверху_вниз" sheetId="3" r:id="rId3"/>
    <sheet name="03_Снизу_вверх" sheetId="4" r:id="rId4"/>
    <sheet name="04_Similarweb" sheetId="5" r:id="rId5"/>
    <sheet name="05_Воронка_SW" sheetId="6" r:id="rId6"/>
    <sheet name="06_Сверка" sheetId="7" r:id="rId7"/>
    <sheet name="07_Дашборд" sheetId="8" r:id="rId8"/>
    <sheet name="08_Источники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1" i="5" l="1"/>
  <c r="I11" i="5" s="1"/>
  <c r="H10" i="5"/>
  <c r="I10" i="5" s="1"/>
  <c r="E15" i="8"/>
  <c r="E14" i="8"/>
  <c r="E13" i="8"/>
  <c r="E12" i="8"/>
  <c r="E11" i="8"/>
  <c r="D13" i="6"/>
  <c r="C13" i="6"/>
  <c r="B13" i="6"/>
  <c r="D12" i="6"/>
  <c r="C12" i="6"/>
  <c r="B12" i="6"/>
  <c r="D10" i="6"/>
  <c r="C10" i="6"/>
  <c r="B10" i="6"/>
  <c r="D8" i="6"/>
  <c r="C8" i="6"/>
  <c r="B8" i="6"/>
  <c r="D6" i="6"/>
  <c r="C6" i="6"/>
  <c r="B6" i="6"/>
  <c r="C17" i="5"/>
  <c r="H16" i="5"/>
  <c r="I16" i="5" s="1"/>
  <c r="H15" i="5"/>
  <c r="I15" i="5" s="1"/>
  <c r="H14" i="5"/>
  <c r="I14" i="5" s="1"/>
  <c r="H13" i="5"/>
  <c r="I13" i="5" s="1"/>
  <c r="H12" i="5"/>
  <c r="I12" i="5" s="1"/>
  <c r="H9" i="5"/>
  <c r="I9" i="5" s="1"/>
  <c r="H8" i="5"/>
  <c r="I8" i="5" s="1"/>
  <c r="H7" i="5"/>
  <c r="I7" i="5" s="1"/>
  <c r="H6" i="5"/>
  <c r="I6" i="5" s="1"/>
  <c r="H5" i="5"/>
  <c r="I5" i="5" s="1"/>
  <c r="B11" i="4"/>
  <c r="G10" i="4"/>
  <c r="G9" i="4"/>
  <c r="G8" i="4"/>
  <c r="G7" i="4"/>
  <c r="G6" i="4"/>
  <c r="G5" i="4"/>
  <c r="D11" i="3"/>
  <c r="C11" i="3"/>
  <c r="B11" i="3"/>
  <c r="D10" i="3"/>
  <c r="C10" i="3"/>
  <c r="B10" i="3"/>
  <c r="J11" i="5" l="1"/>
  <c r="J10" i="5"/>
  <c r="J6" i="5"/>
  <c r="F12" i="8" s="1"/>
  <c r="H5" i="4"/>
  <c r="H8" i="4"/>
  <c r="H9" i="4"/>
  <c r="H6" i="4"/>
  <c r="H7" i="4"/>
  <c r="G11" i="4"/>
  <c r="B6" i="7" s="1"/>
  <c r="F6" i="8" s="1"/>
  <c r="C12" i="3"/>
  <c r="C5" i="7" s="1"/>
  <c r="D12" i="3"/>
  <c r="D5" i="7" s="1"/>
  <c r="H5" i="8" s="1"/>
  <c r="B12" i="3"/>
  <c r="B5" i="7" s="1"/>
  <c r="F5" i="8" s="1"/>
  <c r="J12" i="5"/>
  <c r="J7" i="5"/>
  <c r="F13" i="8" s="1"/>
  <c r="G5" i="8"/>
  <c r="J16" i="5"/>
  <c r="J9" i="5"/>
  <c r="F15" i="8" s="1"/>
  <c r="J13" i="5"/>
  <c r="J14" i="5"/>
  <c r="J15" i="5"/>
  <c r="J5" i="5"/>
  <c r="I17" i="5"/>
  <c r="J8" i="5"/>
  <c r="F14" i="8" s="1"/>
  <c r="H10" i="4"/>
  <c r="H17" i="5"/>
  <c r="H11" i="4" l="1"/>
  <c r="B9" i="8"/>
  <c r="C6" i="7"/>
  <c r="G6" i="8" s="1"/>
  <c r="D6" i="7"/>
  <c r="H6" i="8" s="1"/>
  <c r="D5" i="6"/>
  <c r="D7" i="6" s="1"/>
  <c r="D9" i="6" s="1"/>
  <c r="D11" i="6" s="1"/>
  <c r="D14" i="6" s="1"/>
  <c r="D7" i="7" s="1"/>
  <c r="C5" i="6"/>
  <c r="C7" i="6" s="1"/>
  <c r="C9" i="6" s="1"/>
  <c r="C11" i="6" s="1"/>
  <c r="C14" i="6" s="1"/>
  <c r="B5" i="6"/>
  <c r="B7" i="6" s="1"/>
  <c r="B9" i="6" s="1"/>
  <c r="B11" i="6" s="1"/>
  <c r="B14" i="6" s="1"/>
  <c r="B7" i="7" s="1"/>
  <c r="F7" i="8" s="1"/>
  <c r="B8" i="8"/>
  <c r="J17" i="5"/>
  <c r="F11" i="8"/>
  <c r="D8" i="7"/>
  <c r="B8" i="7" l="1"/>
  <c r="B5" i="8" s="1"/>
  <c r="C7" i="7"/>
  <c r="B10" i="8"/>
  <c r="B10" i="7"/>
  <c r="B9" i="7"/>
  <c r="H7" i="8"/>
  <c r="D10" i="7"/>
  <c r="B7" i="8" s="1"/>
  <c r="D9" i="7"/>
  <c r="G7" i="8" l="1"/>
  <c r="C9" i="7"/>
  <c r="B6" i="8" s="1"/>
  <c r="C10" i="7"/>
  <c r="C8" i="7"/>
</calcChain>
</file>

<file path=xl/sharedStrings.xml><?xml version="1.0" encoding="utf-8"?>
<sst xmlns="http://schemas.openxmlformats.org/spreadsheetml/2006/main" count="385" uniqueCount="282">
  <si>
    <t>Методика оценки объема рынка электронного бизнеса</t>
  </si>
  <si>
    <t>Excel-шаблон для подходов «сверху вниз» и «снизу вверх» с использованием Similarweb</t>
  </si>
  <si>
    <t>Назначение</t>
  </si>
  <si>
    <t>Расчетный шаблон для оценки объема рынка: макро-ориентир «сверху вниз», расчет через клиентские сегменты «снизу вверх», проверка через цифровые признаки Similarweb.</t>
  </si>
  <si>
    <t>Принцип</t>
  </si>
  <si>
    <t>Желтые ячейки заполняются пользователем. Зеленые ячейки рассчитываются автоматически.</t>
  </si>
  <si>
    <t>Similarweb</t>
  </si>
  <si>
    <t>Используется как источник оценочных данных о посещаемости сайтов конкурентов, каналах трафика, географии аудитории и конкурентном окружении.</t>
  </si>
  <si>
    <t>Ограничение</t>
  </si>
  <si>
    <t>Данные Similarweb не являются прямым измерением выручки. Итог должен оформляться как оценочный диапазон.</t>
  </si>
  <si>
    <t>Итог</t>
  </si>
  <si>
    <t>После заполнения файла формируется диапазон объема рынка: нижняя, базовая и верхняя оценка.</t>
  </si>
  <si>
    <t>Шаг</t>
  </si>
  <si>
    <t>Действие</t>
  </si>
  <si>
    <t>Результат</t>
  </si>
  <si>
    <t>Зафиксировать продуктовые и географические границы рынка</t>
  </si>
  <si>
    <t>Понятно, какой рынок измеряется</t>
  </si>
  <si>
    <t>Ввести исходные параметры и допущения</t>
  </si>
  <si>
    <t>Задана база расчетов</t>
  </si>
  <si>
    <t>Рассчитать объем рынка методом «сверху вниз»</t>
  </si>
  <si>
    <t>Получен общий ориентир масштаба</t>
  </si>
  <si>
    <t>Рассчитать объем рынка методом «снизу вверх»</t>
  </si>
  <si>
    <t>Получен расчет через клиентские сегменты</t>
  </si>
  <si>
    <t>Внести доступные данные Similarweb</t>
  </si>
  <si>
    <t>Проверена цифровая активность конкурентов</t>
  </si>
  <si>
    <t>Построить воронку Similarweb</t>
  </si>
  <si>
    <t>Получена оценка денежного объема через трафик</t>
  </si>
  <si>
    <t>Сравнить методы</t>
  </si>
  <si>
    <t>Сформирован итоговый диапазон</t>
  </si>
  <si>
    <t>Описать ограничения</t>
  </si>
  <si>
    <t>Подготовлен корректный управленческий вывод</t>
  </si>
  <si>
    <t>Исходные параметры</t>
  </si>
  <si>
    <t>Параметры используются во всех расчетах. Демонстрационные значения заменяются на фактические.</t>
  </si>
  <si>
    <t>Параметр</t>
  </si>
  <si>
    <t>Значение</t>
  </si>
  <si>
    <t>Единица</t>
  </si>
  <si>
    <t>Комментарий</t>
  </si>
  <si>
    <t>Тип</t>
  </si>
  <si>
    <t>Название рынка</t>
  </si>
  <si>
    <t>Описание рынка</t>
  </si>
  <si>
    <t>Заменить на свою идею</t>
  </si>
  <si>
    <t>Ввод</t>
  </si>
  <si>
    <t>География</t>
  </si>
  <si>
    <t>Территория анализа</t>
  </si>
  <si>
    <t>Заменить при необходимости</t>
  </si>
  <si>
    <t>Валюта</t>
  </si>
  <si>
    <t>Валюта расчетов</t>
  </si>
  <si>
    <t>Можно заменить</t>
  </si>
  <si>
    <t>Средний годовой чек</t>
  </si>
  <si>
    <t>Денежный расчет рынка услуг</t>
  </si>
  <si>
    <t>Среднее число покупок в год</t>
  </si>
  <si>
    <t>раз</t>
  </si>
  <si>
    <t>Для товарных и сервисных моделей</t>
  </si>
  <si>
    <t>Допущение</t>
  </si>
  <si>
    <t>Конверсия визита в заявку</t>
  </si>
  <si>
    <t>доля</t>
  </si>
  <si>
    <t>Воронка Similarweb</t>
  </si>
  <si>
    <t>Заменить реальными данными</t>
  </si>
  <si>
    <t>Конверсия заявки в продажу</t>
  </si>
  <si>
    <t>Коэффициент повторных продаж</t>
  </si>
  <si>
    <t>Уточнение годовой выручки</t>
  </si>
  <si>
    <t>Корректировка на неполную выборку конкурентов</t>
  </si>
  <si>
    <t>коэффициент</t>
  </si>
  <si>
    <t>Учитывает конкурентов вне выборки</t>
  </si>
  <si>
    <t>Осторожный сценарий</t>
  </si>
  <si>
    <t>Понижающий коэффициент</t>
  </si>
  <si>
    <t>Риски низкой конверсии</t>
  </si>
  <si>
    <t>Сценарий</t>
  </si>
  <si>
    <t>Базовый сценарий</t>
  </si>
  <si>
    <t>Базовый расчет</t>
  </si>
  <si>
    <t>Основной сценарий</t>
  </si>
  <si>
    <t>Оптимистичный сценарий</t>
  </si>
  <si>
    <t>Повышающий коэффициент</t>
  </si>
  <si>
    <t>Высокий спрос/лучшие конверсии</t>
  </si>
  <si>
    <t>Методика «сверху вниз»</t>
  </si>
  <si>
    <t>От общего показателя рынка к доступному цифровому сегменту.</t>
  </si>
  <si>
    <t>Показатель</t>
  </si>
  <si>
    <t>Осторожный</t>
  </si>
  <si>
    <t>Базовый</t>
  </si>
  <si>
    <t>Оптимистичный</t>
  </si>
  <si>
    <t>Источник / комментарий</t>
  </si>
  <si>
    <t>ед.</t>
  </si>
  <si>
    <t>Доля клиентов в продуктовых границах рынка</t>
  </si>
  <si>
    <t>Доля клиентов в выбранной географии</t>
  </si>
  <si>
    <t>Доля клиентов, доступных через цифровые каналы</t>
  </si>
  <si>
    <t>Сайт, поиск, социальные сети, цифровые площадки</t>
  </si>
  <si>
    <t>Доля клиентов с вероятной потребностью</t>
  </si>
  <si>
    <t>Оценка спроса по проблеме клиента</t>
  </si>
  <si>
    <t>Подтягивается из параметров</t>
  </si>
  <si>
    <t>Формула</t>
  </si>
  <si>
    <t>Расчетное число клиентов рынка</t>
  </si>
  <si>
    <t>клиенты</t>
  </si>
  <si>
    <t>Сужение общего рынка до достижимой базы</t>
  </si>
  <si>
    <t>Оценка годового объема рынка</t>
  </si>
  <si>
    <t>Клиенты × средний годовой чек</t>
  </si>
  <si>
    <t>Методика «снизу вверх»</t>
  </si>
  <si>
    <t>Расчет через клиентские сегменты, средний чек и частоту покупки.</t>
  </si>
  <si>
    <t>Сегмент клиентов</t>
  </si>
  <si>
    <t>Потенциальные клиенты</t>
  </si>
  <si>
    <t>Доля с потребностью</t>
  </si>
  <si>
    <t>Цифровая доступность</t>
  </si>
  <si>
    <t>Покупок/год</t>
  </si>
  <si>
    <t>Средний чек</t>
  </si>
  <si>
    <t>Годовой объем</t>
  </si>
  <si>
    <t>Доля сегмента</t>
  </si>
  <si>
    <t>Источник/комментарий</t>
  </si>
  <si>
    <t>Статус</t>
  </si>
  <si>
    <t>ИТОГО</t>
  </si>
  <si>
    <t>Данные Similarweb по конкурентам</t>
  </si>
  <si>
    <t>Вводятся доступные оценочные данные: посещаемость, география, каналы, релевантность.</t>
  </si>
  <si>
    <t>Домен / сайт</t>
  </si>
  <si>
    <t>Тип конкурента</t>
  </si>
  <si>
    <t>Месячные визиты</t>
  </si>
  <si>
    <t>Доля целевой географии</t>
  </si>
  <si>
    <t>Доля релевантных каналов</t>
  </si>
  <si>
    <t>Коммерческая релевантность</t>
  </si>
  <si>
    <t>Коэффициент вовлеченности</t>
  </si>
  <si>
    <t>Релевантные визиты/мес.</t>
  </si>
  <si>
    <t>Релевантные визиты/год</t>
  </si>
  <si>
    <t>Доля трафика</t>
  </si>
  <si>
    <t>Источник данных</t>
  </si>
  <si>
    <t>Дата фиксации</t>
  </si>
  <si>
    <t>Цифровая воронка на основе Similarweb</t>
  </si>
  <si>
    <t>Релевантный трафик конкурентов переводится в оценку заявок, продаж и объема рынка.</t>
  </si>
  <si>
    <t>Формула / источник</t>
  </si>
  <si>
    <t>Годовые релевантные визиты конкурентов</t>
  </si>
  <si>
    <t>визиты/год</t>
  </si>
  <si>
    <t>Сумма Similarweb × сценарный коэффициент</t>
  </si>
  <si>
    <t>Цифровой объем внимания</t>
  </si>
  <si>
    <t>Корректировка на неполную выборку</t>
  </si>
  <si>
    <t>коэф.</t>
  </si>
  <si>
    <t>Параметры</t>
  </si>
  <si>
    <t>Если внесены не все конкуренты</t>
  </si>
  <si>
    <t>Скорректированные релевантные визиты</t>
  </si>
  <si>
    <t>Визиты × корректировка</t>
  </si>
  <si>
    <t>Оценочный цифровой спрос</t>
  </si>
  <si>
    <t>Параметры и сценарий</t>
  </si>
  <si>
    <t>Оценочное число заявок</t>
  </si>
  <si>
    <t>заявки/год</t>
  </si>
  <si>
    <t>Визиты × конверсия в заявку</t>
  </si>
  <si>
    <t>Оценочное число продаж</t>
  </si>
  <si>
    <t>продажи/год</t>
  </si>
  <si>
    <t>Заявки × конверсия в продажу</t>
  </si>
  <si>
    <t>Оценка годового объема рынка по Similarweb</t>
  </si>
  <si>
    <t>Продажи × чек × повторность</t>
  </si>
  <si>
    <t>Оценочный диапазон</t>
  </si>
  <si>
    <t>Сверка расчетных подходов</t>
  </si>
  <si>
    <t>Итоговый диапазон оценки объема рынка на основе трех подходов.</t>
  </si>
  <si>
    <t>Метод оценки</t>
  </si>
  <si>
    <t>Надежность</t>
  </si>
  <si>
    <t>Что проверяет</t>
  </si>
  <si>
    <t>Сверху вниз</t>
  </si>
  <si>
    <t>Макро-ориентир через общий рынок и коэффициенты сужения</t>
  </si>
  <si>
    <t>Средняя</t>
  </si>
  <si>
    <t>Масштаб рынка</t>
  </si>
  <si>
    <t>Риск завышения</t>
  </si>
  <si>
    <t>Снизу вверх</t>
  </si>
  <si>
    <t>Расчет через клиентские сегменты</t>
  </si>
  <si>
    <t>Высокая при хороших данных</t>
  </si>
  <si>
    <t>Реалистичность сегментов</t>
  </si>
  <si>
    <t>Зависит от качества допущений</t>
  </si>
  <si>
    <t>Similarweb + воронка</t>
  </si>
  <si>
    <t>Проверка через цифровой трафик конкурентов</t>
  </si>
  <si>
    <t>Цифровой спрос</t>
  </si>
  <si>
    <t>Трафик не равен выручке</t>
  </si>
  <si>
    <t>Минимум по методам</t>
  </si>
  <si>
    <t>Нижняя граница оценки</t>
  </si>
  <si>
    <t>Среднее по методам</t>
  </si>
  <si>
    <t>Центральный ориентир</t>
  </si>
  <si>
    <t>Максимум по методам</t>
  </si>
  <si>
    <t>Верхняя граница оценки</t>
  </si>
  <si>
    <t>Панель итоговой оценки</t>
  </si>
  <si>
    <t>Ключевые показатели после заполнения шаблона.</t>
  </si>
  <si>
    <t>Метод</t>
  </si>
  <si>
    <t>Итоговая нижняя оценка рынка</t>
  </si>
  <si>
    <t>Минимум по трем подходам, осторожный сценарий</t>
  </si>
  <si>
    <t>Итоговая базовая оценка рынка</t>
  </si>
  <si>
    <t>Среднее по трем подходам, базовый сценарий</t>
  </si>
  <si>
    <t>Итоговая верхняя оценка рынка</t>
  </si>
  <si>
    <t>Максимум по трем подходам, оптимистичный сценарий</t>
  </si>
  <si>
    <t>Годовой релевантный трафик конкурентов</t>
  </si>
  <si>
    <t>Сумма релевантных визитов в год</t>
  </si>
  <si>
    <t>Суммарный объем по методу снизу вверх</t>
  </si>
  <si>
    <t>Расчет по клиентским сегментам</t>
  </si>
  <si>
    <t>Объем по Similarweb-воронке, базовый</t>
  </si>
  <si>
    <t>Цифровая проверка через трафик и конверсии</t>
  </si>
  <si>
    <t>Конкурент</t>
  </si>
  <si>
    <t>Доля релевантного трафика</t>
  </si>
  <si>
    <t>Источники данных и журнал фиксации</t>
  </si>
  <si>
    <t>Заполняется для воспроизводимости расчета.</t>
  </si>
  <si>
    <t>Группа данных</t>
  </si>
  <si>
    <t>Источник</t>
  </si>
  <si>
    <t>URL</t>
  </si>
  <si>
    <t>Дата обращения</t>
  </si>
  <si>
    <t>Что переносится в Excel</t>
  </si>
  <si>
    <t>Посещаемость и вовлеченность сайта</t>
  </si>
  <si>
    <t>Similarweb Website Analysis</t>
  </si>
  <si>
    <t>https://www.similarweb.com/website/</t>
  </si>
  <si>
    <t>Месячные визиты, каналы, география, похожие сайты</t>
  </si>
  <si>
    <t>Оценочные данные; для малых сайтов надежность ниже</t>
  </si>
  <si>
    <t>Методология данных</t>
  </si>
  <si>
    <t>Similarweb Data Methodology</t>
  </si>
  <si>
    <t>https://support.similarweb.com/hc/en-us/articles/360001631538-Similarweb-Data-Methodology</t>
  </si>
  <si>
    <t>Обоснование природы оценочных данных</t>
  </si>
  <si>
    <t>Не является прямым измерением выручки</t>
  </si>
  <si>
    <t>Справочно</t>
  </si>
  <si>
    <t>Data Exporter</t>
  </si>
  <si>
    <t>Similarweb Help Center</t>
  </si>
  <si>
    <t>https://support.similarweb.com/hc/en-us/articles/13252032019101-Data-Exporter</t>
  </si>
  <si>
    <t>Возможности экспорта при соответствующем доступе</t>
  </si>
  <si>
    <t>Зависит от подписки и единиц извлечения данных</t>
  </si>
  <si>
    <t>Официальная статистика</t>
  </si>
  <si>
    <t>Количество организаций/клиентов</t>
  </si>
  <si>
    <t>Национальная статистика / реестры / отраслевые отчеты</t>
  </si>
  <si>
    <t>Общий ориентир для расчета сверху вниз</t>
  </si>
  <si>
    <t>Нужно подбирать под страну и отрасль</t>
  </si>
  <si>
    <t>Конкуренты</t>
  </si>
  <si>
    <t>Средний чек, тарифы, предложения</t>
  </si>
  <si>
    <t>Сайты конкурентов</t>
  </si>
  <si>
    <t>Средний чек и сегменты</t>
  </si>
  <si>
    <t>Цены могут быть скрыты или неполны</t>
  </si>
  <si>
    <t>Реклама</t>
  </si>
  <si>
    <t>Охват и стоимость привлечения</t>
  </si>
  <si>
    <t>Рекламные кабинеты</t>
  </si>
  <si>
    <t>Допущения по цифровой воронке</t>
  </si>
  <si>
    <t>Требует тестовых кампаний</t>
  </si>
  <si>
    <t>EUR</t>
  </si>
  <si>
    <t>EUR/год</t>
  </si>
  <si>
    <t>Онлайн-проверка Excel-моделей TableMind (аудит таблиц)</t>
  </si>
  <si>
    <t>Англоязычные страны и ЕС-27</t>
  </si>
  <si>
    <t>EUR/платящий/год</t>
  </si>
  <si>
    <t>Тарифы ПЗ1 9/19/29 EUR и структура платящих (Д-09)</t>
  </si>
  <si>
    <t>Допущение Д-12: визит - регистрация Free</t>
  </si>
  <si>
    <t>Допущение Д-12: регистрация - платящий</t>
  </si>
  <si>
    <t>Выручка первого года уже включает платежи в течение года</t>
  </si>
  <si>
    <t>Список из 12 сайтов покрывает около 55 % трафика сегмента (допущение Д-13)</t>
  </si>
  <si>
    <t>Потенциальные пользователи: специалисты и лица, принимающие решения в МСП с наемными работниками</t>
  </si>
  <si>
    <t>Занятые (BLS 2025 и масштаб) + МСП с наемными (SBA, UK, ЕК); коэффициент неопределенности 0,85/1/1,15</t>
  </si>
  <si>
    <t>Доля работающих с моделями, где ошибка критична (допущение Д-10)</t>
  </si>
  <si>
    <t>База уже ограничена территорией проекта (Р-1)</t>
  </si>
  <si>
    <t>Финансовые аналитики и FP&amp;A</t>
  </si>
  <si>
    <t>Клиенты в границах рынка x доля платежеспособных; BLS 2025 (США) и масштаб по занятости</t>
  </si>
  <si>
    <t>Заполнено</t>
  </si>
  <si>
    <t>Бухгалтеры и аудиторы</t>
  </si>
  <si>
    <t>Консультанты по управлению</t>
  </si>
  <si>
    <t>МСП с финансовой функцией</t>
  </si>
  <si>
    <t>Клиенты в границах рынка x доля платежеспособных; SBA 2025, UK BPE 2025, ЕК 2025/2026 и допущения</t>
  </si>
  <si>
    <t>Резерв</t>
  </si>
  <si>
    <t>Свободная строка шаблона</t>
  </si>
  <si>
    <t>Не используется</t>
  </si>
  <si>
    <t>shortcut.ai</t>
  </si>
  <si>
    <t>частичный</t>
  </si>
  <si>
    <t>https://www.similarweb.com/website/shortcut.ai/</t>
  </si>
  <si>
    <t>Similarweb Pro, 06-08.2026, мир; география по топ-5 стран (нижняя оценка)</t>
  </si>
  <si>
    <t>perfectxl.com</t>
  </si>
  <si>
    <t>прямой</t>
  </si>
  <si>
    <t>https://www.similarweb.com/website/perfectxl.com/</t>
  </si>
  <si>
    <t>rows.com</t>
  </si>
  <si>
    <t>заменитель</t>
  </si>
  <si>
    <t>https://www.similarweb.com/website/rows.com/</t>
  </si>
  <si>
    <t>numerous.ai</t>
  </si>
  <si>
    <t>https://www.similarweb.com/website/numerous.ai/</t>
  </si>
  <si>
    <t>operis.com</t>
  </si>
  <si>
    <t>https://www.similarweb.com/website/operis.com/</t>
  </si>
  <si>
    <t>arixcel.com</t>
  </si>
  <si>
    <t>https://www.similarweb.com/website/arixcel.com/</t>
  </si>
  <si>
    <t>formulabot.com</t>
  </si>
  <si>
    <t>https://www.similarweb.com/website/formulabot.com/</t>
  </si>
  <si>
    <t>ajelix.com</t>
  </si>
  <si>
    <t>https://www.similarweb.com/website/ajelix.com/</t>
  </si>
  <si>
    <t>datarails.com</t>
  </si>
  <si>
    <t>https://www.similarweb.com/website/datarails.com/</t>
  </si>
  <si>
    <t>julius.ai</t>
  </si>
  <si>
    <t>https://www.similarweb.com/website/julius.ai/</t>
  </si>
  <si>
    <t>spreadsheetdetective.com</t>
  </si>
  <si>
    <t>https://www.similarweb.com/website/spreadsheetdetective.com/</t>
  </si>
  <si>
    <t>cimcon.com</t>
  </si>
  <si>
    <t>https://www.similarweb.com/website/cimcon.com/</t>
  </si>
  <si>
    <t>Снято 03.10.2026 (Pro, пробный доступ)</t>
  </si>
  <si>
    <t>BLS 2025, SBA 2025, ЕК 2025/2026, UK BPE 2025; см. внешние_данные_2026-10-03.md</t>
  </si>
  <si>
    <t>PerfectXL от 69 EUR, Numerous 10 USD, Rows 8 USD, Shortcut 100 USD, Copilot 18 USD (03.10.2026)</t>
  </si>
  <si>
    <t>Нет доступа к рекламным кабинетам: ДОСНЯТЬ тестовые кампании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</si>
</sst>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4"/>
      <color rgb="FFFFFFFF"/>
      <name val="Carlito"/>
    </font>
    <font>
      <i/>
      <sz val="10"/>
      <color rgb="FF1F2937"/>
      <name val="Carlito"/>
    </font>
    <font>
      <b/>
      <sz val="11"/>
      <name val="Carlito"/>
    </font>
    <font>
      <b/>
      <sz val="11"/>
      <color rgb="FFFFFFFF"/>
      <name val="Carlito"/>
    </font>
    <font>
      <sz val="1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D9EAD3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42">
    <xf numFmtId="0" fontId="0" fillId="0" borderId="0" xfId="0"/>
    <xf numFmtId="0" fontId="3" fillId="4" borderId="1" xfId="1" applyFont="1" applyFill="1" applyBorder="1" applyAlignment="1">
      <alignment wrapText="1"/>
    </xf>
    <xf numFmtId="0" fontId="0" fillId="0" borderId="2" xfId="1" applyFont="1" applyBorder="1" applyAlignment="1">
      <alignment wrapText="1"/>
    </xf>
    <xf numFmtId="0" fontId="3" fillId="4" borderId="3" xfId="1" applyFont="1" applyFill="1" applyBorder="1" applyAlignment="1">
      <alignment wrapText="1"/>
    </xf>
    <xf numFmtId="0" fontId="0" fillId="0" borderId="4" xfId="1" applyFont="1" applyBorder="1" applyAlignment="1">
      <alignment wrapText="1"/>
    </xf>
    <xf numFmtId="0" fontId="3" fillId="4" borderId="5" xfId="1" applyFont="1" applyFill="1" applyBorder="1" applyAlignment="1">
      <alignment wrapText="1"/>
    </xf>
    <xf numFmtId="0" fontId="0" fillId="0" borderId="6" xfId="1" applyFont="1" applyBorder="1" applyAlignment="1">
      <alignment wrapText="1"/>
    </xf>
    <xf numFmtId="0" fontId="4" fillId="5" borderId="1" xfId="1" applyFont="1" applyFill="1" applyBorder="1" applyAlignment="1">
      <alignment horizontal="center" vertical="center" wrapText="1"/>
    </xf>
    <xf numFmtId="0" fontId="4" fillId="5" borderId="7" xfId="1" applyFont="1" applyFill="1" applyBorder="1" applyAlignment="1">
      <alignment horizontal="center" vertical="center" wrapText="1"/>
    </xf>
    <xf numFmtId="0" fontId="4" fillId="5" borderId="2" xfId="1" applyFont="1" applyFill="1" applyBorder="1" applyAlignment="1">
      <alignment horizontal="center" vertical="center" wrapText="1"/>
    </xf>
    <xf numFmtId="0" fontId="0" fillId="0" borderId="3" xfId="1" applyFont="1" applyBorder="1"/>
    <xf numFmtId="0" fontId="0" fillId="0" borderId="5" xfId="1" applyFont="1" applyBorder="1"/>
    <xf numFmtId="0" fontId="0" fillId="0" borderId="3" xfId="1" applyFont="1" applyBorder="1" applyAlignment="1">
      <alignment wrapText="1"/>
    </xf>
    <xf numFmtId="0" fontId="0" fillId="0" borderId="8" xfId="1" applyFont="1" applyBorder="1" applyAlignment="1">
      <alignment wrapText="1"/>
    </xf>
    <xf numFmtId="0" fontId="0" fillId="0" borderId="5" xfId="1" applyFont="1" applyBorder="1" applyAlignment="1">
      <alignment wrapText="1"/>
    </xf>
    <xf numFmtId="0" fontId="0" fillId="0" borderId="9" xfId="1" applyFont="1" applyBorder="1" applyAlignment="1">
      <alignment wrapText="1"/>
    </xf>
    <xf numFmtId="0" fontId="0" fillId="6" borderId="8" xfId="1" applyFont="1" applyFill="1" applyBorder="1" applyAlignment="1">
      <alignment vertical="top" wrapText="1"/>
    </xf>
    <xf numFmtId="0" fontId="0" fillId="6" borderId="9" xfId="1" applyFont="1" applyFill="1" applyBorder="1" applyAlignment="1">
      <alignment vertical="top" wrapText="1"/>
    </xf>
    <xf numFmtId="10" fontId="0" fillId="6" borderId="8" xfId="1" applyNumberFormat="1" applyFont="1" applyFill="1" applyBorder="1" applyAlignment="1">
      <alignment vertical="top" wrapText="1"/>
    </xf>
    <xf numFmtId="3" fontId="0" fillId="6" borderId="8" xfId="1" applyNumberFormat="1" applyFont="1" applyFill="1" applyBorder="1" applyAlignment="1">
      <alignment vertical="top" wrapText="1"/>
    </xf>
    <xf numFmtId="2" fontId="0" fillId="6" borderId="8" xfId="1" applyNumberFormat="1" applyFont="1" applyFill="1" applyBorder="1" applyAlignment="1">
      <alignment vertical="top" wrapText="1"/>
    </xf>
    <xf numFmtId="2" fontId="0" fillId="6" borderId="9" xfId="1" applyNumberFormat="1" applyFont="1" applyFill="1" applyBorder="1" applyAlignment="1">
      <alignment vertical="top" wrapText="1"/>
    </xf>
    <xf numFmtId="3" fontId="0" fillId="7" borderId="8" xfId="1" applyNumberFormat="1" applyFont="1" applyFill="1" applyBorder="1" applyAlignment="1">
      <alignment vertical="top" wrapText="1"/>
    </xf>
    <xf numFmtId="3" fontId="0" fillId="7" borderId="9" xfId="1" applyNumberFormat="1" applyFont="1" applyFill="1" applyBorder="1" applyAlignment="1">
      <alignment vertical="top" wrapText="1"/>
    </xf>
    <xf numFmtId="10" fontId="0" fillId="7" borderId="8" xfId="1" applyNumberFormat="1" applyFont="1" applyFill="1" applyBorder="1" applyAlignment="1">
      <alignment vertical="top" wrapText="1"/>
    </xf>
    <xf numFmtId="10" fontId="0" fillId="7" borderId="9" xfId="1" applyNumberFormat="1" applyFont="1" applyFill="1" applyBorder="1" applyAlignment="1">
      <alignment vertical="top" wrapText="1"/>
    </xf>
    <xf numFmtId="3" fontId="0" fillId="0" borderId="9" xfId="1" applyNumberFormat="1" applyFont="1" applyBorder="1" applyAlignment="1">
      <alignment wrapText="1"/>
    </xf>
    <xf numFmtId="0" fontId="0" fillId="6" borderId="3" xfId="1" applyFont="1" applyFill="1" applyBorder="1" applyAlignment="1">
      <alignment vertical="top" wrapText="1"/>
    </xf>
    <xf numFmtId="0" fontId="0" fillId="6" borderId="4" xfId="1" applyFont="1" applyFill="1" applyBorder="1" applyAlignment="1">
      <alignment vertical="top" wrapText="1"/>
    </xf>
    <xf numFmtId="3" fontId="0" fillId="7" borderId="4" xfId="1" applyNumberFormat="1" applyFont="1" applyFill="1" applyBorder="1" applyAlignment="1">
      <alignment vertical="top" wrapText="1"/>
    </xf>
    <xf numFmtId="3" fontId="0" fillId="7" borderId="6" xfId="1" applyNumberFormat="1" applyFont="1" applyFill="1" applyBorder="1" applyAlignment="1">
      <alignment vertical="top" wrapText="1"/>
    </xf>
    <xf numFmtId="0" fontId="0" fillId="7" borderId="3" xfId="1" applyFont="1" applyFill="1" applyBorder="1" applyAlignment="1">
      <alignment vertical="top" wrapText="1"/>
    </xf>
    <xf numFmtId="0" fontId="0" fillId="7" borderId="5" xfId="1" applyFont="1" applyFill="1" applyBorder="1" applyAlignment="1">
      <alignment vertical="top" wrapText="1"/>
    </xf>
    <xf numFmtId="10" fontId="0" fillId="7" borderId="4" xfId="1" applyNumberFormat="1" applyFont="1" applyFill="1" applyBorder="1" applyAlignment="1">
      <alignment vertical="top" wrapText="1"/>
    </xf>
    <xf numFmtId="10" fontId="0" fillId="7" borderId="6" xfId="1" applyNumberFormat="1" applyFont="1" applyFill="1" applyBorder="1" applyAlignment="1">
      <alignment vertical="top" wrapText="1"/>
    </xf>
    <xf numFmtId="0" fontId="0" fillId="6" borderId="6" xfId="1" applyFont="1" applyFill="1" applyBorder="1" applyAlignment="1">
      <alignment vertical="top" wrapText="1"/>
    </xf>
    <xf numFmtId="0" fontId="1" fillId="2" borderId="0" xfId="1" applyFont="1" applyFill="1" applyAlignment="1">
      <alignment horizontal="center" vertical="center" wrapText="1"/>
    </xf>
    <xf numFmtId="0" fontId="0" fillId="0" borderId="0" xfId="0"/>
    <xf numFmtId="0" fontId="2" fillId="3" borderId="0" xfId="1" applyFont="1" applyFill="1" applyAlignment="1">
      <alignment vertical="top" wrapText="1"/>
    </xf>
    <xf numFmtId="14" fontId="0" fillId="6" borderId="8" xfId="1" applyNumberFormat="1" applyFont="1" applyFill="1" applyBorder="1" applyAlignment="1">
      <alignment vertical="top" wrapText="1"/>
    </xf>
    <xf numFmtId="14" fontId="0" fillId="0" borderId="8" xfId="1" applyNumberFormat="1" applyFont="1" applyBorder="1" applyAlignment="1">
      <alignment wrapText="1"/>
    </xf>
    <xf numFmtId="14" fontId="0" fillId="0" borderId="9" xfId="1" applyNumberFormat="1" applyFont="1" applyBorder="1" applyAlignment="1">
      <alignment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tabSelected="1" workbookViewId="0">
      <selection sqref="A1:H1"/>
    </sheetView>
  </sheetViews>
  <sheetFormatPr defaultRowHeight="13.5"/>
  <cols>
    <col min="1" max="1" width="18" customWidth="1"/>
    <col min="2" max="2" width="62" customWidth="1"/>
    <col min="3" max="3" width="48" customWidth="1"/>
  </cols>
  <sheetData>
    <row r="1" spans="1:8" ht="14" customHeight="1">
      <c r="A1" s="36" t="s">
        <v>0</v>
      </c>
      <c r="B1" s="37"/>
      <c r="C1" s="37"/>
      <c r="D1" s="37"/>
      <c r="E1" s="37"/>
      <c r="F1" s="37"/>
      <c r="G1" s="37"/>
      <c r="H1" s="37"/>
    </row>
    <row r="2" spans="1:8" ht="12" customHeight="1">
      <c r="A2" s="38" t="s">
        <v>1</v>
      </c>
      <c r="B2" s="37"/>
      <c r="C2" s="37"/>
      <c r="D2" s="37"/>
      <c r="E2" s="37"/>
      <c r="F2" s="37"/>
      <c r="G2" s="37"/>
      <c r="H2" s="37"/>
    </row>
    <row r="4" spans="1:8" ht="40.9">
      <c r="A4" s="1" t="s">
        <v>2</v>
      </c>
      <c r="B4" s="2" t="s">
        <v>3</v>
      </c>
    </row>
    <row r="5" spans="1:8" ht="27.4">
      <c r="A5" s="3" t="s">
        <v>4</v>
      </c>
      <c r="B5" s="4" t="s">
        <v>5</v>
      </c>
    </row>
    <row r="6" spans="1:8" ht="40.9">
      <c r="A6" s="3" t="s">
        <v>6</v>
      </c>
      <c r="B6" s="4" t="s">
        <v>7</v>
      </c>
    </row>
    <row r="7" spans="1:8" ht="27.4">
      <c r="A7" s="3" t="s">
        <v>8</v>
      </c>
      <c r="B7" s="4" t="s">
        <v>9</v>
      </c>
    </row>
    <row r="8" spans="1:8" ht="27.4">
      <c r="A8" s="5" t="s">
        <v>10</v>
      </c>
      <c r="B8" s="6" t="s">
        <v>11</v>
      </c>
    </row>
    <row r="11" spans="1:8" ht="13.05" customHeight="1">
      <c r="A11" s="7" t="s">
        <v>12</v>
      </c>
      <c r="B11" s="8" t="s">
        <v>13</v>
      </c>
      <c r="C11" s="9" t="s">
        <v>14</v>
      </c>
    </row>
    <row r="12" spans="1:8">
      <c r="A12" s="12">
        <v>1</v>
      </c>
      <c r="B12" s="13" t="s">
        <v>15</v>
      </c>
      <c r="C12" s="4" t="s">
        <v>16</v>
      </c>
    </row>
    <row r="13" spans="1:8">
      <c r="A13" s="12">
        <v>2</v>
      </c>
      <c r="B13" s="13" t="s">
        <v>17</v>
      </c>
      <c r="C13" s="4" t="s">
        <v>18</v>
      </c>
    </row>
    <row r="14" spans="1:8">
      <c r="A14" s="12">
        <v>3</v>
      </c>
      <c r="B14" s="13" t="s">
        <v>19</v>
      </c>
      <c r="C14" s="4" t="s">
        <v>20</v>
      </c>
    </row>
    <row r="15" spans="1:8">
      <c r="A15" s="12">
        <v>4</v>
      </c>
      <c r="B15" s="13" t="s">
        <v>21</v>
      </c>
      <c r="C15" s="4" t="s">
        <v>22</v>
      </c>
    </row>
    <row r="16" spans="1:8">
      <c r="A16" s="12">
        <v>5</v>
      </c>
      <c r="B16" s="13" t="s">
        <v>23</v>
      </c>
      <c r="C16" s="4" t="s">
        <v>24</v>
      </c>
    </row>
    <row r="17" spans="1:3">
      <c r="A17" s="12">
        <v>6</v>
      </c>
      <c r="B17" s="13" t="s">
        <v>25</v>
      </c>
      <c r="C17" s="4" t="s">
        <v>26</v>
      </c>
    </row>
    <row r="18" spans="1:3">
      <c r="A18" s="12">
        <v>7</v>
      </c>
      <c r="B18" s="13" t="s">
        <v>27</v>
      </c>
      <c r="C18" s="4" t="s">
        <v>28</v>
      </c>
    </row>
    <row r="19" spans="1:3">
      <c r="A19" s="14">
        <v>8</v>
      </c>
      <c r="B19" s="15" t="s">
        <v>29</v>
      </c>
      <c r="C19" s="6" t="s">
        <v>30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"/>
  <sheetViews>
    <sheetView workbookViewId="0"/>
  </sheetViews>
  <sheetFormatPr defaultRowHeight="13.5"/>
  <cols>
    <col min="1" max="1" width="36" customWidth="1"/>
    <col min="2" max="2" width="34" customWidth="1"/>
    <col min="3" max="3" width="20" customWidth="1"/>
    <col min="4" max="4" width="42" customWidth="1"/>
    <col min="5" max="5" width="44" customWidth="1"/>
    <col min="6" max="6" width="18" customWidth="1"/>
  </cols>
  <sheetData>
    <row r="1" spans="1:6" ht="14" customHeight="1">
      <c r="A1" s="36" t="s">
        <v>31</v>
      </c>
      <c r="B1" s="37"/>
      <c r="C1" s="37"/>
      <c r="D1" s="37"/>
      <c r="E1" s="37"/>
      <c r="F1" s="37"/>
    </row>
    <row r="2" spans="1:6" ht="12" customHeight="1">
      <c r="A2" s="38" t="s">
        <v>32</v>
      </c>
      <c r="B2" s="37"/>
      <c r="C2" s="37"/>
      <c r="D2" s="37"/>
      <c r="E2" s="37"/>
      <c r="F2" s="37"/>
    </row>
    <row r="4" spans="1:6" ht="13.05" customHeight="1">
      <c r="A4" s="7" t="s">
        <v>33</v>
      </c>
      <c r="B4" s="8" t="s">
        <v>34</v>
      </c>
      <c r="C4" s="8" t="s">
        <v>35</v>
      </c>
      <c r="D4" s="8" t="s">
        <v>2</v>
      </c>
      <c r="E4" s="8" t="s">
        <v>36</v>
      </c>
      <c r="F4" s="9" t="s">
        <v>37</v>
      </c>
    </row>
    <row r="5" spans="1:6" ht="27">
      <c r="A5" s="12" t="s">
        <v>38</v>
      </c>
      <c r="B5" s="16" t="s">
        <v>228</v>
      </c>
      <c r="C5" s="13"/>
      <c r="D5" s="13" t="s">
        <v>39</v>
      </c>
      <c r="E5" s="13" t="s">
        <v>40</v>
      </c>
      <c r="F5" s="4" t="s">
        <v>41</v>
      </c>
    </row>
    <row r="6" spans="1:6">
      <c r="A6" s="12" t="s">
        <v>42</v>
      </c>
      <c r="B6" s="19" t="s">
        <v>229</v>
      </c>
      <c r="C6" s="13"/>
      <c r="D6" s="13" t="s">
        <v>43</v>
      </c>
      <c r="E6" s="13" t="s">
        <v>44</v>
      </c>
      <c r="F6" s="4" t="s">
        <v>41</v>
      </c>
    </row>
    <row r="7" spans="1:6">
      <c r="A7" s="12" t="s">
        <v>45</v>
      </c>
      <c r="B7" s="16" t="s">
        <v>226</v>
      </c>
      <c r="C7" s="13"/>
      <c r="D7" s="13" t="s">
        <v>46</v>
      </c>
      <c r="E7" s="13" t="s">
        <v>47</v>
      </c>
      <c r="F7" s="4" t="s">
        <v>41</v>
      </c>
    </row>
    <row r="8" spans="1:6" ht="27">
      <c r="A8" s="12" t="s">
        <v>48</v>
      </c>
      <c r="B8" s="18">
        <v>100.58</v>
      </c>
      <c r="C8" s="13" t="s">
        <v>230</v>
      </c>
      <c r="D8" s="13" t="s">
        <v>49</v>
      </c>
      <c r="E8" s="13" t="s">
        <v>231</v>
      </c>
      <c r="F8" s="4" t="s">
        <v>41</v>
      </c>
    </row>
    <row r="9" spans="1:6">
      <c r="A9" s="12" t="s">
        <v>50</v>
      </c>
      <c r="B9" s="18">
        <v>1</v>
      </c>
      <c r="C9" s="13" t="s">
        <v>51</v>
      </c>
      <c r="D9" s="13" t="s">
        <v>52</v>
      </c>
      <c r="E9" s="13" t="s">
        <v>53</v>
      </c>
      <c r="F9" s="4" t="s">
        <v>41</v>
      </c>
    </row>
    <row r="10" spans="1:6">
      <c r="A10" s="12" t="s">
        <v>54</v>
      </c>
      <c r="B10" s="20">
        <v>0.04</v>
      </c>
      <c r="C10" s="13" t="s">
        <v>55</v>
      </c>
      <c r="D10" s="13" t="s">
        <v>56</v>
      </c>
      <c r="E10" s="13" t="s">
        <v>232</v>
      </c>
      <c r="F10" s="4" t="s">
        <v>41</v>
      </c>
    </row>
    <row r="11" spans="1:6">
      <c r="A11" s="12" t="s">
        <v>58</v>
      </c>
      <c r="B11" s="20">
        <v>0.05</v>
      </c>
      <c r="C11" s="13" t="s">
        <v>55</v>
      </c>
      <c r="D11" s="13" t="s">
        <v>56</v>
      </c>
      <c r="E11" s="13" t="s">
        <v>233</v>
      </c>
      <c r="F11" s="4" t="s">
        <v>41</v>
      </c>
    </row>
    <row r="12" spans="1:6" ht="27">
      <c r="A12" s="12" t="s">
        <v>59</v>
      </c>
      <c r="B12" s="20">
        <v>1</v>
      </c>
      <c r="C12" s="13" t="s">
        <v>51</v>
      </c>
      <c r="D12" s="13" t="s">
        <v>60</v>
      </c>
      <c r="E12" s="13" t="s">
        <v>234</v>
      </c>
      <c r="F12" s="4" t="s">
        <v>41</v>
      </c>
    </row>
    <row r="13" spans="1:6" ht="27">
      <c r="A13" s="12" t="s">
        <v>61</v>
      </c>
      <c r="B13" s="20">
        <v>1.8182</v>
      </c>
      <c r="C13" s="13" t="s">
        <v>62</v>
      </c>
      <c r="D13" s="13" t="s">
        <v>63</v>
      </c>
      <c r="E13" s="13" t="s">
        <v>235</v>
      </c>
      <c r="F13" s="4" t="s">
        <v>41</v>
      </c>
    </row>
    <row r="14" spans="1:6">
      <c r="A14" s="12" t="s">
        <v>64</v>
      </c>
      <c r="B14" s="20">
        <v>0.6</v>
      </c>
      <c r="C14" s="13" t="s">
        <v>62</v>
      </c>
      <c r="D14" s="13" t="s">
        <v>65</v>
      </c>
      <c r="E14" s="13" t="s">
        <v>66</v>
      </c>
      <c r="F14" s="4" t="s">
        <v>67</v>
      </c>
    </row>
    <row r="15" spans="1:6">
      <c r="A15" s="12" t="s">
        <v>68</v>
      </c>
      <c r="B15" s="20">
        <v>1</v>
      </c>
      <c r="C15" s="13" t="s">
        <v>62</v>
      </c>
      <c r="D15" s="13" t="s">
        <v>69</v>
      </c>
      <c r="E15" s="13" t="s">
        <v>70</v>
      </c>
      <c r="F15" s="4" t="s">
        <v>67</v>
      </c>
    </row>
    <row r="16" spans="1:6">
      <c r="A16" s="14" t="s">
        <v>71</v>
      </c>
      <c r="B16" s="21">
        <v>1.4</v>
      </c>
      <c r="C16" s="15" t="s">
        <v>62</v>
      </c>
      <c r="D16" s="15" t="s">
        <v>72</v>
      </c>
      <c r="E16" s="15" t="s">
        <v>73</v>
      </c>
      <c r="F16" s="6" t="s">
        <v>67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/>
  </sheetViews>
  <sheetFormatPr defaultRowHeight="13.5"/>
  <cols>
    <col min="1" max="1" width="44" customWidth="1"/>
    <col min="2" max="4" width="18" customWidth="1"/>
    <col min="5" max="5" width="16" customWidth="1"/>
    <col min="6" max="6" width="50" customWidth="1"/>
    <col min="7" max="7" width="16" customWidth="1"/>
  </cols>
  <sheetData>
    <row r="1" spans="1:7" ht="14" customHeight="1">
      <c r="A1" s="36" t="s">
        <v>74</v>
      </c>
      <c r="B1" s="37"/>
      <c r="C1" s="37"/>
      <c r="D1" s="37"/>
      <c r="E1" s="37"/>
      <c r="F1" s="37"/>
      <c r="G1" s="37"/>
    </row>
    <row r="2" spans="1:7" ht="12" customHeight="1">
      <c r="A2" s="38" t="s">
        <v>75</v>
      </c>
      <c r="B2" s="37"/>
      <c r="C2" s="37"/>
      <c r="D2" s="37"/>
      <c r="E2" s="37"/>
      <c r="F2" s="37"/>
      <c r="G2" s="37"/>
    </row>
    <row r="4" spans="1:7" ht="13.05" customHeight="1">
      <c r="A4" s="7" t="s">
        <v>76</v>
      </c>
      <c r="B4" s="8" t="s">
        <v>77</v>
      </c>
      <c r="C4" s="8" t="s">
        <v>78</v>
      </c>
      <c r="D4" s="8" t="s">
        <v>79</v>
      </c>
      <c r="E4" s="8" t="s">
        <v>35</v>
      </c>
      <c r="F4" s="8" t="s">
        <v>80</v>
      </c>
      <c r="G4" s="9" t="s">
        <v>37</v>
      </c>
    </row>
    <row r="5" spans="1:7" ht="40.5">
      <c r="A5" s="12" t="s">
        <v>236</v>
      </c>
      <c r="B5" s="19">
        <v>22085537</v>
      </c>
      <c r="C5" s="19">
        <v>25982985</v>
      </c>
      <c r="D5" s="19">
        <v>29880433</v>
      </c>
      <c r="E5" s="13" t="s">
        <v>81</v>
      </c>
      <c r="F5" s="13" t="s">
        <v>237</v>
      </c>
      <c r="G5" s="4" t="s">
        <v>41</v>
      </c>
    </row>
    <row r="6" spans="1:7" ht="27">
      <c r="A6" s="12" t="s">
        <v>82</v>
      </c>
      <c r="B6" s="18">
        <v>7.0000000000000007E-2</v>
      </c>
      <c r="C6" s="18">
        <v>0.1</v>
      </c>
      <c r="D6" s="18">
        <v>0.13</v>
      </c>
      <c r="E6" s="13" t="s">
        <v>55</v>
      </c>
      <c r="F6" s="13" t="s">
        <v>238</v>
      </c>
      <c r="G6" s="4" t="s">
        <v>41</v>
      </c>
    </row>
    <row r="7" spans="1:7">
      <c r="A7" s="12" t="s">
        <v>83</v>
      </c>
      <c r="B7" s="18">
        <v>1</v>
      </c>
      <c r="C7" s="18">
        <v>1</v>
      </c>
      <c r="D7" s="18">
        <v>1</v>
      </c>
      <c r="E7" s="13" t="s">
        <v>55</v>
      </c>
      <c r="F7" s="13" t="s">
        <v>239</v>
      </c>
      <c r="G7" s="4" t="s">
        <v>41</v>
      </c>
    </row>
    <row r="8" spans="1:7" ht="27">
      <c r="A8" s="12" t="s">
        <v>84</v>
      </c>
      <c r="B8" s="18">
        <v>0.55000000000000004</v>
      </c>
      <c r="C8" s="18">
        <v>0.65</v>
      </c>
      <c r="D8" s="18">
        <v>0.75</v>
      </c>
      <c r="E8" s="13" t="s">
        <v>55</v>
      </c>
      <c r="F8" s="13" t="s">
        <v>85</v>
      </c>
      <c r="G8" s="4" t="s">
        <v>41</v>
      </c>
    </row>
    <row r="9" spans="1:7">
      <c r="A9" s="12" t="s">
        <v>86</v>
      </c>
      <c r="B9" s="18">
        <v>0.2</v>
      </c>
      <c r="C9" s="18">
        <v>0.3</v>
      </c>
      <c r="D9" s="18">
        <v>0.4</v>
      </c>
      <c r="E9" s="13" t="s">
        <v>55</v>
      </c>
      <c r="F9" s="13" t="s">
        <v>87</v>
      </c>
      <c r="G9" s="4" t="s">
        <v>41</v>
      </c>
    </row>
    <row r="10" spans="1:7">
      <c r="A10" s="12" t="s">
        <v>48</v>
      </c>
      <c r="B10" s="22">
        <f>'01_Параметры'!B8</f>
        <v>100.58</v>
      </c>
      <c r="C10" s="22">
        <f>'01_Параметры'!B8</f>
        <v>100.58</v>
      </c>
      <c r="D10" s="22">
        <f>'01_Параметры'!B8</f>
        <v>100.58</v>
      </c>
      <c r="E10" s="13" t="s">
        <v>226</v>
      </c>
      <c r="F10" s="13" t="s">
        <v>88</v>
      </c>
      <c r="G10" s="4" t="s">
        <v>89</v>
      </c>
    </row>
    <row r="11" spans="1:7">
      <c r="A11" s="12" t="s">
        <v>90</v>
      </c>
      <c r="B11" s="22">
        <f>B5*B6*B7*B8*B9</f>
        <v>170058.63490000003</v>
      </c>
      <c r="C11" s="22">
        <f>C5*C6*C7*C8*C9</f>
        <v>506668.20750000002</v>
      </c>
      <c r="D11" s="22">
        <f>D5*D6*D7*D8*D9</f>
        <v>1165336.8870000001</v>
      </c>
      <c r="E11" s="13" t="s">
        <v>91</v>
      </c>
      <c r="F11" s="13" t="s">
        <v>92</v>
      </c>
      <c r="G11" s="4" t="s">
        <v>89</v>
      </c>
    </row>
    <row r="12" spans="1:7">
      <c r="A12" s="14" t="s">
        <v>93</v>
      </c>
      <c r="B12" s="23">
        <f>B11*B10</f>
        <v>17104497.498242002</v>
      </c>
      <c r="C12" s="23">
        <f>C11*C10</f>
        <v>50960688.310350001</v>
      </c>
      <c r="D12" s="23">
        <f>D11*D10</f>
        <v>117209584.09446001</v>
      </c>
      <c r="E12" s="15" t="s">
        <v>227</v>
      </c>
      <c r="F12" s="15" t="s">
        <v>94</v>
      </c>
      <c r="G12" s="6" t="s">
        <v>89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1"/>
  <sheetViews>
    <sheetView workbookViewId="0"/>
  </sheetViews>
  <sheetFormatPr defaultRowHeight="13.5"/>
  <cols>
    <col min="1" max="1" width="26" customWidth="1"/>
    <col min="2" max="3" width="18" customWidth="1"/>
    <col min="4" max="4" width="20" customWidth="1"/>
    <col min="5" max="5" width="14" customWidth="1"/>
    <col min="6" max="6" width="16" customWidth="1"/>
    <col min="7" max="7" width="20" customWidth="1"/>
    <col min="8" max="8" width="16" customWidth="1"/>
    <col min="9" max="9" width="42" customWidth="1"/>
    <col min="10" max="10" width="18" customWidth="1"/>
  </cols>
  <sheetData>
    <row r="1" spans="1:10" ht="14" customHeight="1">
      <c r="A1" s="36" t="s">
        <v>95</v>
      </c>
      <c r="B1" s="37"/>
      <c r="C1" s="37"/>
      <c r="D1" s="37"/>
      <c r="E1" s="37"/>
      <c r="F1" s="37"/>
      <c r="G1" s="37"/>
      <c r="H1" s="37"/>
      <c r="I1" s="37"/>
      <c r="J1" s="37"/>
    </row>
    <row r="2" spans="1:10" ht="12" customHeight="1">
      <c r="A2" s="38" t="s">
        <v>96</v>
      </c>
      <c r="B2" s="37"/>
      <c r="C2" s="37"/>
      <c r="D2" s="37"/>
      <c r="E2" s="37"/>
      <c r="F2" s="37"/>
      <c r="G2" s="37"/>
      <c r="H2" s="37"/>
      <c r="I2" s="37"/>
      <c r="J2" s="37"/>
    </row>
    <row r="4" spans="1:10" ht="13.05" customHeight="1">
      <c r="A4" s="7" t="s">
        <v>97</v>
      </c>
      <c r="B4" s="8" t="s">
        <v>98</v>
      </c>
      <c r="C4" s="8" t="s">
        <v>99</v>
      </c>
      <c r="D4" s="8" t="s">
        <v>100</v>
      </c>
      <c r="E4" s="8" t="s">
        <v>101</v>
      </c>
      <c r="F4" s="8" t="s">
        <v>102</v>
      </c>
      <c r="G4" s="8" t="s">
        <v>103</v>
      </c>
      <c r="H4" s="8" t="s">
        <v>104</v>
      </c>
      <c r="I4" s="8" t="s">
        <v>105</v>
      </c>
      <c r="J4" s="9" t="s">
        <v>106</v>
      </c>
    </row>
    <row r="5" spans="1:10" ht="40.5">
      <c r="A5" s="12" t="s">
        <v>240</v>
      </c>
      <c r="B5" s="19">
        <v>298539</v>
      </c>
      <c r="C5" s="18">
        <v>0.3</v>
      </c>
      <c r="D5" s="18">
        <v>0.6</v>
      </c>
      <c r="E5" s="16">
        <v>1</v>
      </c>
      <c r="F5" s="19">
        <v>120</v>
      </c>
      <c r="G5" s="22">
        <f t="shared" ref="G5:G10" si="0">B5*C5*D5*E5*F5</f>
        <v>6448442.3999999994</v>
      </c>
      <c r="H5" s="24">
        <f t="shared" ref="H5:H10" si="1">G5/SUM($G$5:$G$10)</f>
        <v>0.18422469226359431</v>
      </c>
      <c r="I5" s="13" t="s">
        <v>241</v>
      </c>
      <c r="J5" s="4" t="s">
        <v>242</v>
      </c>
    </row>
    <row r="6" spans="1:10" ht="40.5">
      <c r="A6" s="12" t="s">
        <v>243</v>
      </c>
      <c r="B6" s="19">
        <v>460614</v>
      </c>
      <c r="C6" s="18">
        <v>0.2</v>
      </c>
      <c r="D6" s="18">
        <v>0.6</v>
      </c>
      <c r="E6" s="16">
        <v>1</v>
      </c>
      <c r="F6" s="19">
        <v>70</v>
      </c>
      <c r="G6" s="22">
        <f t="shared" si="0"/>
        <v>3869157.6</v>
      </c>
      <c r="H6" s="24">
        <f t="shared" si="1"/>
        <v>0.11053744826492476</v>
      </c>
      <c r="I6" s="13" t="s">
        <v>241</v>
      </c>
      <c r="J6" s="4" t="s">
        <v>242</v>
      </c>
    </row>
    <row r="7" spans="1:10" ht="40.5">
      <c r="A7" s="12" t="s">
        <v>244</v>
      </c>
      <c r="B7" s="19">
        <v>473924</v>
      </c>
      <c r="C7" s="18">
        <v>0.3</v>
      </c>
      <c r="D7" s="18">
        <v>0.7</v>
      </c>
      <c r="E7" s="16">
        <v>1</v>
      </c>
      <c r="F7" s="19">
        <v>180</v>
      </c>
      <c r="G7" s="22">
        <f t="shared" si="0"/>
        <v>17914327.199999996</v>
      </c>
      <c r="H7" s="24">
        <f t="shared" si="1"/>
        <v>0.51179202833995019</v>
      </c>
      <c r="I7" s="13" t="s">
        <v>241</v>
      </c>
      <c r="J7" s="4" t="s">
        <v>242</v>
      </c>
    </row>
    <row r="8" spans="1:10" ht="40.5">
      <c r="A8" s="12" t="s">
        <v>245</v>
      </c>
      <c r="B8" s="19">
        <v>156741</v>
      </c>
      <c r="C8" s="18">
        <v>0.3</v>
      </c>
      <c r="D8" s="18">
        <v>0.6</v>
      </c>
      <c r="E8" s="16">
        <v>1</v>
      </c>
      <c r="F8" s="19">
        <v>240</v>
      </c>
      <c r="G8" s="22">
        <f t="shared" si="0"/>
        <v>6771211.1999999993</v>
      </c>
      <c r="H8" s="24">
        <f t="shared" si="1"/>
        <v>0.1934458311315308</v>
      </c>
      <c r="I8" s="13" t="s">
        <v>246</v>
      </c>
      <c r="J8" s="4" t="s">
        <v>242</v>
      </c>
    </row>
    <row r="9" spans="1:10">
      <c r="A9" s="12" t="s">
        <v>247</v>
      </c>
      <c r="B9" s="19">
        <v>0</v>
      </c>
      <c r="C9" s="18">
        <v>0</v>
      </c>
      <c r="D9" s="18">
        <v>0</v>
      </c>
      <c r="E9" s="16">
        <v>1</v>
      </c>
      <c r="F9" s="19">
        <v>0</v>
      </c>
      <c r="G9" s="22">
        <f t="shared" si="0"/>
        <v>0</v>
      </c>
      <c r="H9" s="24">
        <f t="shared" si="1"/>
        <v>0</v>
      </c>
      <c r="I9" s="13" t="s">
        <v>248</v>
      </c>
      <c r="J9" s="4" t="s">
        <v>249</v>
      </c>
    </row>
    <row r="10" spans="1:10">
      <c r="A10" s="12" t="s">
        <v>247</v>
      </c>
      <c r="B10" s="19">
        <v>0</v>
      </c>
      <c r="C10" s="18">
        <v>0</v>
      </c>
      <c r="D10" s="18">
        <v>0</v>
      </c>
      <c r="E10" s="16">
        <v>1</v>
      </c>
      <c r="F10" s="19">
        <v>0</v>
      </c>
      <c r="G10" s="22">
        <f t="shared" si="0"/>
        <v>0</v>
      </c>
      <c r="H10" s="24">
        <f t="shared" si="1"/>
        <v>0</v>
      </c>
      <c r="I10" s="13" t="s">
        <v>248</v>
      </c>
      <c r="J10" s="4" t="s">
        <v>249</v>
      </c>
    </row>
    <row r="11" spans="1:10">
      <c r="A11" s="14" t="s">
        <v>107</v>
      </c>
      <c r="B11" s="26">
        <f>SUM(B5:B10)</f>
        <v>1389818</v>
      </c>
      <c r="C11" s="15"/>
      <c r="D11" s="15"/>
      <c r="E11" s="15"/>
      <c r="F11" s="26"/>
      <c r="G11" s="23">
        <f>SUM(G5:G10)</f>
        <v>35003138.399999991</v>
      </c>
      <c r="H11" s="25">
        <f>SUM(H5:H10)</f>
        <v>1</v>
      </c>
      <c r="I11" s="15"/>
      <c r="J11" s="6"/>
    </row>
  </sheetData>
  <mergeCells count="2">
    <mergeCell ref="A1:J1"/>
    <mergeCell ref="A2:J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7"/>
  <sheetViews>
    <sheetView workbookViewId="0"/>
  </sheetViews>
  <sheetFormatPr defaultRowHeight="13.5"/>
  <cols>
    <col min="1" max="1" width="28" customWidth="1"/>
    <col min="2" max="3" width="18" customWidth="1"/>
    <col min="4" max="5" width="22" customWidth="1"/>
    <col min="6" max="6" width="24" customWidth="1"/>
    <col min="7" max="9" width="22" customWidth="1"/>
    <col min="10" max="10" width="16" customWidth="1"/>
    <col min="11" max="11" width="54" customWidth="1"/>
    <col min="12" max="12" width="16" customWidth="1"/>
    <col min="13" max="13" width="34" customWidth="1"/>
  </cols>
  <sheetData>
    <row r="1" spans="1:13" ht="14" customHeight="1">
      <c r="A1" s="36" t="s">
        <v>108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</row>
    <row r="2" spans="1:13" ht="12" customHeight="1">
      <c r="A2" s="38" t="s">
        <v>109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</row>
    <row r="4" spans="1:13" ht="13.05" customHeight="1">
      <c r="A4" s="7" t="s">
        <v>110</v>
      </c>
      <c r="B4" s="8" t="s">
        <v>111</v>
      </c>
      <c r="C4" s="8" t="s">
        <v>112</v>
      </c>
      <c r="D4" s="8" t="s">
        <v>113</v>
      </c>
      <c r="E4" s="8" t="s">
        <v>114</v>
      </c>
      <c r="F4" s="8" t="s">
        <v>115</v>
      </c>
      <c r="G4" s="8" t="s">
        <v>116</v>
      </c>
      <c r="H4" s="8" t="s">
        <v>117</v>
      </c>
      <c r="I4" s="8" t="s">
        <v>118</v>
      </c>
      <c r="J4" s="8" t="s">
        <v>119</v>
      </c>
      <c r="K4" s="8" t="s">
        <v>120</v>
      </c>
      <c r="L4" s="8" t="s">
        <v>121</v>
      </c>
      <c r="M4" s="9" t="s">
        <v>36</v>
      </c>
    </row>
    <row r="5" spans="1:13" ht="40.5">
      <c r="A5" s="27" t="s">
        <v>250</v>
      </c>
      <c r="B5" s="16" t="s">
        <v>251</v>
      </c>
      <c r="C5" s="19">
        <v>154111</v>
      </c>
      <c r="D5" s="18">
        <v>0.26539999999999997</v>
      </c>
      <c r="E5" s="18">
        <v>0.93969999999999998</v>
      </c>
      <c r="F5" s="18">
        <v>0.35</v>
      </c>
      <c r="G5" s="18">
        <v>0.85</v>
      </c>
      <c r="H5" s="22">
        <f t="shared" ref="H5:H16" si="0">C5*D5*E5*F5*G5</f>
        <v>11434.330841658548</v>
      </c>
      <c r="I5" s="22">
        <f t="shared" ref="I5:I16" si="1">H5*12</f>
        <v>137211.97009990257</v>
      </c>
      <c r="J5" s="24">
        <f>I5/SUM($I$5:$I$16)</f>
        <v>0.14949327113336192</v>
      </c>
      <c r="K5" s="16" t="s">
        <v>252</v>
      </c>
      <c r="L5" s="39">
        <v>46298</v>
      </c>
      <c r="M5" s="28" t="s">
        <v>253</v>
      </c>
    </row>
    <row r="6" spans="1:13" ht="40.5">
      <c r="A6" s="27" t="s">
        <v>254</v>
      </c>
      <c r="B6" s="16" t="s">
        <v>255</v>
      </c>
      <c r="C6" s="19">
        <v>35325</v>
      </c>
      <c r="D6" s="18">
        <v>0.4395</v>
      </c>
      <c r="E6" s="18">
        <v>0.85060000000000002</v>
      </c>
      <c r="F6" s="18">
        <v>0.8</v>
      </c>
      <c r="G6" s="18">
        <v>0.85</v>
      </c>
      <c r="H6" s="22">
        <f t="shared" si="0"/>
        <v>8979.9794127000005</v>
      </c>
      <c r="I6" s="22">
        <f t="shared" si="1"/>
        <v>107759.75295240001</v>
      </c>
      <c r="J6" s="24">
        <f>I6/SUM($I$5:$I$16)</f>
        <v>0.11740490245601883</v>
      </c>
      <c r="K6" s="16" t="s">
        <v>256</v>
      </c>
      <c r="L6" s="39">
        <v>46298</v>
      </c>
      <c r="M6" s="28" t="s">
        <v>253</v>
      </c>
    </row>
    <row r="7" spans="1:13" ht="40.5">
      <c r="A7" s="27" t="s">
        <v>257</v>
      </c>
      <c r="B7" s="16" t="s">
        <v>258</v>
      </c>
      <c r="C7" s="19">
        <v>241737</v>
      </c>
      <c r="D7" s="18">
        <v>0.1091</v>
      </c>
      <c r="E7" s="18">
        <v>0.90259999999999996</v>
      </c>
      <c r="F7" s="18">
        <v>0.15</v>
      </c>
      <c r="G7" s="18">
        <v>0.85</v>
      </c>
      <c r="H7" s="22">
        <f t="shared" si="0"/>
        <v>3035.1027112960496</v>
      </c>
      <c r="I7" s="22">
        <f t="shared" si="1"/>
        <v>36421.232535552597</v>
      </c>
      <c r="J7" s="24">
        <f>I7/SUM($I$5:$I$16)</f>
        <v>3.9681153083687512E-2</v>
      </c>
      <c r="K7" s="16" t="s">
        <v>259</v>
      </c>
      <c r="L7" s="39">
        <v>46298</v>
      </c>
      <c r="M7" s="28" t="s">
        <v>253</v>
      </c>
    </row>
    <row r="8" spans="1:13" ht="40.5">
      <c r="A8" s="27" t="s">
        <v>260</v>
      </c>
      <c r="B8" s="16" t="s">
        <v>258</v>
      </c>
      <c r="C8" s="19">
        <v>202178</v>
      </c>
      <c r="D8" s="18">
        <v>0.16220000000000001</v>
      </c>
      <c r="E8" s="18">
        <v>0.94410000000000005</v>
      </c>
      <c r="F8" s="18">
        <v>0.3</v>
      </c>
      <c r="G8" s="18">
        <v>0.85</v>
      </c>
      <c r="H8" s="22">
        <f t="shared" si="0"/>
        <v>7894.8325679778</v>
      </c>
      <c r="I8" s="22">
        <f t="shared" si="1"/>
        <v>94737.990815733603</v>
      </c>
      <c r="J8" s="24">
        <f>I8/SUM($I$5:$I$16)</f>
        <v>0.10321761386659423</v>
      </c>
      <c r="K8" s="16" t="s">
        <v>261</v>
      </c>
      <c r="L8" s="39">
        <v>46298</v>
      </c>
      <c r="M8" s="28" t="s">
        <v>253</v>
      </c>
    </row>
    <row r="9" spans="1:13" ht="40.5">
      <c r="A9" s="27" t="s">
        <v>262</v>
      </c>
      <c r="B9" s="16" t="s">
        <v>255</v>
      </c>
      <c r="C9" s="19">
        <v>14688</v>
      </c>
      <c r="D9" s="18">
        <v>0.95979999999999999</v>
      </c>
      <c r="E9" s="18">
        <v>0.68669999999999998</v>
      </c>
      <c r="F9" s="18">
        <v>0.5</v>
      </c>
      <c r="G9" s="18">
        <v>0.8</v>
      </c>
      <c r="H9" s="22">
        <f t="shared" si="0"/>
        <v>3872.3129464320004</v>
      </c>
      <c r="I9" s="22">
        <f t="shared" si="1"/>
        <v>46467.755357184004</v>
      </c>
      <c r="J9" s="24">
        <f>I9/SUM($I$5:$I$16)</f>
        <v>5.0626900448353607E-2</v>
      </c>
      <c r="K9" s="16" t="s">
        <v>263</v>
      </c>
      <c r="L9" s="39">
        <v>46298</v>
      </c>
      <c r="M9" s="28" t="s">
        <v>253</v>
      </c>
    </row>
    <row r="10" spans="1:13" ht="40.5">
      <c r="A10" s="27" t="s">
        <v>264</v>
      </c>
      <c r="B10" s="16" t="s">
        <v>255</v>
      </c>
      <c r="C10" s="19">
        <v>17824</v>
      </c>
      <c r="D10" s="18">
        <v>0.58709999999999996</v>
      </c>
      <c r="E10" s="18">
        <v>0.84089999999999998</v>
      </c>
      <c r="F10" s="18">
        <v>0.8</v>
      </c>
      <c r="G10" s="18">
        <v>0.8</v>
      </c>
      <c r="H10" s="22">
        <f t="shared" ref="H10:H11" si="2">C10*D10*E10*F10*G10</f>
        <v>5631.726821990399</v>
      </c>
      <c r="I10" s="22">
        <f t="shared" si="1"/>
        <v>67580.721863884784</v>
      </c>
      <c r="J10" s="24">
        <f>I10/SUM($I$5:$I$16)</f>
        <v>7.3629605125779193E-2</v>
      </c>
      <c r="K10" s="16" t="s">
        <v>265</v>
      </c>
      <c r="L10" s="39">
        <v>46298</v>
      </c>
      <c r="M10" s="28" t="s">
        <v>253</v>
      </c>
    </row>
    <row r="11" spans="1:13" ht="40.5">
      <c r="A11" s="27" t="s">
        <v>266</v>
      </c>
      <c r="B11" s="16" t="s">
        <v>258</v>
      </c>
      <c r="C11" s="19">
        <v>292214</v>
      </c>
      <c r="D11" s="18">
        <v>9.6499999999999989E-2</v>
      </c>
      <c r="E11" s="18">
        <v>0.9355</v>
      </c>
      <c r="F11" s="18">
        <v>0.3</v>
      </c>
      <c r="G11" s="18">
        <v>0.8</v>
      </c>
      <c r="H11" s="22">
        <f t="shared" si="2"/>
        <v>6331.1611225199995</v>
      </c>
      <c r="I11" s="22">
        <f t="shared" si="1"/>
        <v>75973.933470239994</v>
      </c>
      <c r="J11" s="24">
        <f>I11/SUM($I$5:$I$16)</f>
        <v>8.2774059923964693E-2</v>
      </c>
      <c r="K11" s="16" t="s">
        <v>267</v>
      </c>
      <c r="L11" s="39">
        <v>46298</v>
      </c>
      <c r="M11" s="28" t="s">
        <v>253</v>
      </c>
    </row>
    <row r="12" spans="1:13" ht="40.5">
      <c r="A12" s="27" t="s">
        <v>268</v>
      </c>
      <c r="B12" s="16" t="s">
        <v>258</v>
      </c>
      <c r="C12" s="19">
        <v>116617</v>
      </c>
      <c r="D12" s="18">
        <v>0.18229999999999999</v>
      </c>
      <c r="E12" s="18">
        <v>0.94640000000000002</v>
      </c>
      <c r="F12" s="18">
        <v>0.25</v>
      </c>
      <c r="G12" s="18">
        <v>0.85</v>
      </c>
      <c r="H12" s="22">
        <f t="shared" si="0"/>
        <v>4275.4536198010001</v>
      </c>
      <c r="I12" s="22">
        <f t="shared" si="1"/>
        <v>51305.443437612004</v>
      </c>
      <c r="J12" s="24">
        <f>IFERROR(I12/SUM($I$5:$I$16),0)</f>
        <v>5.5897590865082565E-2</v>
      </c>
      <c r="K12" s="16" t="s">
        <v>269</v>
      </c>
      <c r="L12" s="39">
        <v>46298</v>
      </c>
      <c r="M12" s="28" t="s">
        <v>253</v>
      </c>
    </row>
    <row r="13" spans="1:13" ht="40.5">
      <c r="A13" s="27" t="s">
        <v>270</v>
      </c>
      <c r="B13" s="16" t="s">
        <v>258</v>
      </c>
      <c r="C13" s="19">
        <v>222359</v>
      </c>
      <c r="D13" s="18">
        <v>0.76359999999999995</v>
      </c>
      <c r="E13" s="18">
        <v>0.8488</v>
      </c>
      <c r="F13" s="18">
        <v>0.15</v>
      </c>
      <c r="G13" s="18">
        <v>0.9</v>
      </c>
      <c r="H13" s="22">
        <f t="shared" si="0"/>
        <v>19456.278373051202</v>
      </c>
      <c r="I13" s="22">
        <f t="shared" si="1"/>
        <v>233475.34047661442</v>
      </c>
      <c r="J13" s="24">
        <f>IFERROR(I13/SUM($I$5:$I$16),0)</f>
        <v>0.25437279525548695</v>
      </c>
      <c r="K13" s="16" t="s">
        <v>271</v>
      </c>
      <c r="L13" s="39">
        <v>46298</v>
      </c>
      <c r="M13" s="28" t="s">
        <v>253</v>
      </c>
    </row>
    <row r="14" spans="1:13" ht="40.5">
      <c r="A14" s="27" t="s">
        <v>272</v>
      </c>
      <c r="B14" s="16" t="s">
        <v>258</v>
      </c>
      <c r="C14" s="19">
        <v>701540</v>
      </c>
      <c r="D14" s="18">
        <v>8.199999999999999E-2</v>
      </c>
      <c r="E14" s="18">
        <v>0.92</v>
      </c>
      <c r="F14" s="18">
        <v>0.1</v>
      </c>
      <c r="G14" s="18">
        <v>0.85</v>
      </c>
      <c r="H14" s="22">
        <f t="shared" si="0"/>
        <v>4498.555096</v>
      </c>
      <c r="I14" s="22">
        <f t="shared" si="1"/>
        <v>53982.661152000001</v>
      </c>
      <c r="J14" s="24">
        <f>IFERROR(I14/SUM($I$5:$I$16),0)</f>
        <v>5.8814435753824001E-2</v>
      </c>
      <c r="K14" s="16" t="s">
        <v>273</v>
      </c>
      <c r="L14" s="39">
        <v>46298</v>
      </c>
      <c r="M14" s="28" t="s">
        <v>253</v>
      </c>
    </row>
    <row r="15" spans="1:13" ht="40.5">
      <c r="A15" s="27" t="s">
        <v>274</v>
      </c>
      <c r="B15" s="16" t="s">
        <v>255</v>
      </c>
      <c r="C15" s="19">
        <v>1935</v>
      </c>
      <c r="D15" s="18">
        <v>0.89460000000000006</v>
      </c>
      <c r="E15" s="18">
        <v>0.82169999999999999</v>
      </c>
      <c r="F15" s="18">
        <v>0.8</v>
      </c>
      <c r="G15" s="18">
        <v>0.6</v>
      </c>
      <c r="H15" s="22">
        <f t="shared" si="0"/>
        <v>682.75421121600016</v>
      </c>
      <c r="I15" s="22">
        <f t="shared" si="1"/>
        <v>8193.0505345920028</v>
      </c>
      <c r="J15" s="24">
        <f>IFERROR(I15/SUM($I$5:$I$16),0)</f>
        <v>8.9263781001419195E-3</v>
      </c>
      <c r="K15" s="16" t="s">
        <v>275</v>
      </c>
      <c r="L15" s="39">
        <v>46298</v>
      </c>
      <c r="M15" s="28" t="s">
        <v>253</v>
      </c>
    </row>
    <row r="16" spans="1:13" ht="40.5">
      <c r="A16" s="27" t="s">
        <v>276</v>
      </c>
      <c r="B16" s="16" t="s">
        <v>251</v>
      </c>
      <c r="C16" s="19">
        <v>5522</v>
      </c>
      <c r="D16" s="18">
        <v>0.47520000000000001</v>
      </c>
      <c r="E16" s="18">
        <v>0.83579999999999999</v>
      </c>
      <c r="F16" s="18">
        <v>0.3</v>
      </c>
      <c r="G16" s="18">
        <v>0.6</v>
      </c>
      <c r="H16" s="22">
        <f t="shared" si="0"/>
        <v>394.77324015359994</v>
      </c>
      <c r="I16" s="22">
        <f t="shared" si="1"/>
        <v>4737.2788818431991</v>
      </c>
      <c r="J16" s="24">
        <f>IFERROR(I16/SUM($I$5:$I$16),0)</f>
        <v>5.1612939877046324E-3</v>
      </c>
      <c r="K16" s="16" t="s">
        <v>277</v>
      </c>
      <c r="L16" s="39">
        <v>46298</v>
      </c>
      <c r="M16" s="28" t="s">
        <v>253</v>
      </c>
    </row>
    <row r="17" spans="1:13">
      <c r="A17" s="14" t="s">
        <v>107</v>
      </c>
      <c r="B17" s="15"/>
      <c r="C17" s="26">
        <f>SUM(C5:C16)</f>
        <v>2006050</v>
      </c>
      <c r="D17" s="15"/>
      <c r="E17" s="15"/>
      <c r="F17" s="15"/>
      <c r="G17" s="15"/>
      <c r="H17" s="23">
        <f>SUM(H5:H16)</f>
        <v>76487.260964796602</v>
      </c>
      <c r="I17" s="23">
        <f>SUM(I5:I16)</f>
        <v>917847.13157755916</v>
      </c>
      <c r="J17" s="25">
        <f>SUM(J5:J16)</f>
        <v>1.0000000000000002</v>
      </c>
      <c r="K17" s="15"/>
      <c r="L17" s="15"/>
      <c r="M17" s="6"/>
    </row>
  </sheetData>
  <mergeCells count="2">
    <mergeCell ref="A1:M1"/>
    <mergeCell ref="A2:M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4"/>
  <sheetViews>
    <sheetView workbookViewId="0"/>
  </sheetViews>
  <sheetFormatPr defaultRowHeight="13.5"/>
  <cols>
    <col min="1" max="1" width="42" customWidth="1"/>
    <col min="2" max="4" width="18" customWidth="1"/>
    <col min="5" max="5" width="16" customWidth="1"/>
    <col min="6" max="6" width="42" customWidth="1"/>
    <col min="7" max="7" width="40" customWidth="1"/>
  </cols>
  <sheetData>
    <row r="1" spans="1:7" ht="14" customHeight="1">
      <c r="A1" s="36" t="s">
        <v>122</v>
      </c>
      <c r="B1" s="37"/>
      <c r="C1" s="37"/>
      <c r="D1" s="37"/>
      <c r="E1" s="37"/>
      <c r="F1" s="37"/>
      <c r="G1" s="37"/>
    </row>
    <row r="2" spans="1:7" ht="12" customHeight="1">
      <c r="A2" s="38" t="s">
        <v>123</v>
      </c>
      <c r="B2" s="37"/>
      <c r="C2" s="37"/>
      <c r="D2" s="37"/>
      <c r="E2" s="37"/>
      <c r="F2" s="37"/>
      <c r="G2" s="37"/>
    </row>
    <row r="4" spans="1:7" ht="13.05" customHeight="1">
      <c r="A4" s="7" t="s">
        <v>76</v>
      </c>
      <c r="B4" s="8" t="s">
        <v>77</v>
      </c>
      <c r="C4" s="8" t="s">
        <v>78</v>
      </c>
      <c r="D4" s="8" t="s">
        <v>79</v>
      </c>
      <c r="E4" s="8" t="s">
        <v>35</v>
      </c>
      <c r="F4" s="8" t="s">
        <v>124</v>
      </c>
      <c r="G4" s="9" t="s">
        <v>36</v>
      </c>
    </row>
    <row r="5" spans="1:7">
      <c r="A5" s="12" t="s">
        <v>125</v>
      </c>
      <c r="B5" s="22">
        <f>'04_Similarweb'!I17*'01_Параметры'!B14</f>
        <v>550708.27894653543</v>
      </c>
      <c r="C5" s="22">
        <f>'04_Similarweb'!I17*'01_Параметры'!B15</f>
        <v>917847.13157755916</v>
      </c>
      <c r="D5" s="22">
        <f>'04_Similarweb'!I17*'01_Параметры'!B16</f>
        <v>1284985.9842085827</v>
      </c>
      <c r="E5" s="13" t="s">
        <v>126</v>
      </c>
      <c r="F5" s="13" t="s">
        <v>127</v>
      </c>
      <c r="G5" s="4" t="s">
        <v>128</v>
      </c>
    </row>
    <row r="6" spans="1:7">
      <c r="A6" s="12" t="s">
        <v>129</v>
      </c>
      <c r="B6" s="22">
        <f>'01_Параметры'!B13</f>
        <v>1.8182</v>
      </c>
      <c r="C6" s="22">
        <f>'01_Параметры'!B13</f>
        <v>1.8182</v>
      </c>
      <c r="D6" s="22">
        <f>'01_Параметры'!B13</f>
        <v>1.8182</v>
      </c>
      <c r="E6" s="13" t="s">
        <v>130</v>
      </c>
      <c r="F6" s="13" t="s">
        <v>131</v>
      </c>
      <c r="G6" s="4" t="s">
        <v>132</v>
      </c>
    </row>
    <row r="7" spans="1:7">
      <c r="A7" s="12" t="s">
        <v>133</v>
      </c>
      <c r="B7" s="22">
        <f>B5*B6</f>
        <v>1001297.7927805907</v>
      </c>
      <c r="C7" s="22">
        <f>C5*C6</f>
        <v>1668829.6546343181</v>
      </c>
      <c r="D7" s="22">
        <f>D5*D6</f>
        <v>2336361.516488045</v>
      </c>
      <c r="E7" s="13" t="s">
        <v>126</v>
      </c>
      <c r="F7" s="13" t="s">
        <v>134</v>
      </c>
      <c r="G7" s="4" t="s">
        <v>135</v>
      </c>
    </row>
    <row r="8" spans="1:7">
      <c r="A8" s="12" t="s">
        <v>54</v>
      </c>
      <c r="B8" s="24">
        <f>'01_Параметры'!B10*0.7</f>
        <v>2.7999999999999997E-2</v>
      </c>
      <c r="C8" s="24">
        <f>'01_Параметры'!B10</f>
        <v>0.04</v>
      </c>
      <c r="D8" s="24">
        <f>'01_Параметры'!B10*1.3</f>
        <v>5.2000000000000005E-2</v>
      </c>
      <c r="E8" s="13" t="s">
        <v>55</v>
      </c>
      <c r="F8" s="13" t="s">
        <v>136</v>
      </c>
      <c r="G8" s="4" t="s">
        <v>57</v>
      </c>
    </row>
    <row r="9" spans="1:7">
      <c r="A9" s="12" t="s">
        <v>137</v>
      </c>
      <c r="B9" s="22">
        <f>B7*B8</f>
        <v>28036.338197856538</v>
      </c>
      <c r="C9" s="22">
        <f>C7*C8</f>
        <v>66753.186185372731</v>
      </c>
      <c r="D9" s="22">
        <f>D7*D8</f>
        <v>121490.79885737835</v>
      </c>
      <c r="E9" s="13" t="s">
        <v>138</v>
      </c>
      <c r="F9" s="13" t="s">
        <v>139</v>
      </c>
      <c r="G9" s="4"/>
    </row>
    <row r="10" spans="1:7">
      <c r="A10" s="12" t="s">
        <v>58</v>
      </c>
      <c r="B10" s="22">
        <f>'01_Параметры'!B11*0.8</f>
        <v>4.0000000000000008E-2</v>
      </c>
      <c r="C10" s="22">
        <f>'01_Параметры'!B11</f>
        <v>0.05</v>
      </c>
      <c r="D10" s="22">
        <f>'01_Параметры'!B11*1.2</f>
        <v>0.06</v>
      </c>
      <c r="E10" s="13" t="s">
        <v>55</v>
      </c>
      <c r="F10" s="13" t="s">
        <v>136</v>
      </c>
      <c r="G10" s="4"/>
    </row>
    <row r="11" spans="1:7">
      <c r="A11" s="12" t="s">
        <v>140</v>
      </c>
      <c r="B11" s="22">
        <f>B9*B10</f>
        <v>1121.4535279142617</v>
      </c>
      <c r="C11" s="22">
        <f>C9*C10</f>
        <v>3337.6593092686367</v>
      </c>
      <c r="D11" s="22">
        <f>D9*D10</f>
        <v>7289.4479314427008</v>
      </c>
      <c r="E11" s="13" t="s">
        <v>141</v>
      </c>
      <c r="F11" s="13" t="s">
        <v>142</v>
      </c>
      <c r="G11" s="4"/>
    </row>
    <row r="12" spans="1:7">
      <c r="A12" s="12" t="s">
        <v>48</v>
      </c>
      <c r="B12" s="22">
        <f>'01_Параметры'!B8*0.8</f>
        <v>80.463999999999999</v>
      </c>
      <c r="C12" s="22">
        <f>'01_Параметры'!B8</f>
        <v>100.58</v>
      </c>
      <c r="D12" s="22">
        <f>'01_Параметры'!B8*1.2</f>
        <v>120.696</v>
      </c>
      <c r="E12" s="13" t="s">
        <v>226</v>
      </c>
      <c r="F12" s="13" t="s">
        <v>136</v>
      </c>
      <c r="G12" s="4"/>
    </row>
    <row r="13" spans="1:7">
      <c r="A13" s="12" t="s">
        <v>59</v>
      </c>
      <c r="B13" s="22">
        <f>'01_Параметры'!B12*0.9</f>
        <v>0.9</v>
      </c>
      <c r="C13" s="22">
        <f>'01_Параметры'!B12</f>
        <v>1</v>
      </c>
      <c r="D13" s="22">
        <f>'01_Параметры'!B12*1.1</f>
        <v>1.1000000000000001</v>
      </c>
      <c r="E13" s="13" t="s">
        <v>130</v>
      </c>
      <c r="F13" s="13" t="s">
        <v>131</v>
      </c>
      <c r="G13" s="4"/>
    </row>
    <row r="14" spans="1:7">
      <c r="A14" s="14" t="s">
        <v>143</v>
      </c>
      <c r="B14" s="23">
        <f>B11*B12*B13</f>
        <v>81212.97300308384</v>
      </c>
      <c r="C14" s="23">
        <f>C11*C12*C13</f>
        <v>335701.77332623949</v>
      </c>
      <c r="D14" s="23">
        <f>D11*D12*D13</f>
        <v>967787.92828674905</v>
      </c>
      <c r="E14" s="15" t="s">
        <v>227</v>
      </c>
      <c r="F14" s="15" t="s">
        <v>144</v>
      </c>
      <c r="G14" s="6" t="s">
        <v>145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0"/>
  <sheetViews>
    <sheetView workbookViewId="0"/>
  </sheetViews>
  <sheetFormatPr defaultRowHeight="13.5"/>
  <cols>
    <col min="1" max="1" width="26" customWidth="1"/>
    <col min="2" max="4" width="18" customWidth="1"/>
    <col min="5" max="5" width="42" customWidth="1"/>
    <col min="6" max="6" width="24" customWidth="1"/>
    <col min="7" max="7" width="30" customWidth="1"/>
    <col min="8" max="8" width="32" customWidth="1"/>
  </cols>
  <sheetData>
    <row r="1" spans="1:8" ht="14" customHeight="1">
      <c r="A1" s="36" t="s">
        <v>146</v>
      </c>
      <c r="B1" s="37"/>
      <c r="C1" s="37"/>
      <c r="D1" s="37"/>
      <c r="E1" s="37"/>
      <c r="F1" s="37"/>
      <c r="G1" s="37"/>
      <c r="H1" s="37"/>
    </row>
    <row r="2" spans="1:8" ht="12" customHeight="1">
      <c r="A2" s="38" t="s">
        <v>147</v>
      </c>
      <c r="B2" s="37"/>
      <c r="C2" s="37"/>
      <c r="D2" s="37"/>
      <c r="E2" s="37"/>
      <c r="F2" s="37"/>
      <c r="G2" s="37"/>
      <c r="H2" s="37"/>
    </row>
    <row r="4" spans="1:8" ht="13.05" customHeight="1">
      <c r="A4" s="7" t="s">
        <v>148</v>
      </c>
      <c r="B4" s="8" t="s">
        <v>77</v>
      </c>
      <c r="C4" s="8" t="s">
        <v>78</v>
      </c>
      <c r="D4" s="8" t="s">
        <v>79</v>
      </c>
      <c r="E4" s="8" t="s">
        <v>36</v>
      </c>
      <c r="F4" s="8" t="s">
        <v>149</v>
      </c>
      <c r="G4" s="8" t="s">
        <v>150</v>
      </c>
      <c r="H4" s="9" t="s">
        <v>8</v>
      </c>
    </row>
    <row r="5" spans="1:8" ht="27">
      <c r="A5" s="12" t="s">
        <v>151</v>
      </c>
      <c r="B5" s="22">
        <f>'02_Сверху_вниз'!B12</f>
        <v>17104497.498242002</v>
      </c>
      <c r="C5" s="22">
        <f>'02_Сверху_вниз'!C12</f>
        <v>50960688.310350001</v>
      </c>
      <c r="D5" s="22">
        <f>'02_Сверху_вниз'!D12</f>
        <v>117209584.09446001</v>
      </c>
      <c r="E5" s="13" t="s">
        <v>152</v>
      </c>
      <c r="F5" s="13" t="s">
        <v>153</v>
      </c>
      <c r="G5" s="13" t="s">
        <v>154</v>
      </c>
      <c r="H5" s="4" t="s">
        <v>155</v>
      </c>
    </row>
    <row r="6" spans="1:8" ht="27">
      <c r="A6" s="12" t="s">
        <v>156</v>
      </c>
      <c r="B6" s="22">
        <f>'03_Снизу_вверх'!G11*'01_Параметры'!B14</f>
        <v>21001883.039999995</v>
      </c>
      <c r="C6" s="22">
        <f>'03_Снизу_вверх'!G11*'01_Параметры'!B15</f>
        <v>35003138.399999991</v>
      </c>
      <c r="D6" s="22">
        <f>'03_Снизу_вверх'!G11*'01_Параметры'!B16</f>
        <v>49004393.759999983</v>
      </c>
      <c r="E6" s="13" t="s">
        <v>157</v>
      </c>
      <c r="F6" s="13" t="s">
        <v>158</v>
      </c>
      <c r="G6" s="13" t="s">
        <v>159</v>
      </c>
      <c r="H6" s="4" t="s">
        <v>160</v>
      </c>
    </row>
    <row r="7" spans="1:8">
      <c r="A7" s="12" t="s">
        <v>161</v>
      </c>
      <c r="B7" s="22">
        <f>'05_Воронка_SW'!B14</f>
        <v>81212.97300308384</v>
      </c>
      <c r="C7" s="22">
        <f>'05_Воронка_SW'!C14</f>
        <v>335701.77332623949</v>
      </c>
      <c r="D7" s="22">
        <f>'05_Воронка_SW'!D14</f>
        <v>967787.92828674905</v>
      </c>
      <c r="E7" s="13" t="s">
        <v>162</v>
      </c>
      <c r="F7" s="13" t="s">
        <v>153</v>
      </c>
      <c r="G7" s="13" t="s">
        <v>163</v>
      </c>
      <c r="H7" s="4" t="s">
        <v>164</v>
      </c>
    </row>
    <row r="8" spans="1:8">
      <c r="A8" s="12" t="s">
        <v>165</v>
      </c>
      <c r="B8" s="22">
        <f>MIN(B5:B7)</f>
        <v>81212.97300308384</v>
      </c>
      <c r="C8" s="22">
        <f>MIN(C5:C7)</f>
        <v>335701.77332623949</v>
      </c>
      <c r="D8" s="22">
        <f>MIN(D5:D7)</f>
        <v>967787.92828674905</v>
      </c>
      <c r="E8" s="13" t="s">
        <v>166</v>
      </c>
      <c r="F8" s="13"/>
      <c r="G8" s="13"/>
      <c r="H8" s="4"/>
    </row>
    <row r="9" spans="1:8">
      <c r="A9" s="12" t="s">
        <v>167</v>
      </c>
      <c r="B9" s="22">
        <f>AVERAGE(B5:B7)</f>
        <v>12729197.837081693</v>
      </c>
      <c r="C9" s="22">
        <f>AVERAGE(C5:C7)</f>
        <v>28766509.49455874</v>
      </c>
      <c r="D9" s="22">
        <f>AVERAGE(D5:D7)</f>
        <v>55727255.260915585</v>
      </c>
      <c r="E9" s="13" t="s">
        <v>168</v>
      </c>
      <c r="F9" s="13"/>
      <c r="G9" s="13"/>
      <c r="H9" s="4"/>
    </row>
    <row r="10" spans="1:8">
      <c r="A10" s="14" t="s">
        <v>169</v>
      </c>
      <c r="B10" s="23">
        <f>MAX(B5:B7)</f>
        <v>21001883.039999995</v>
      </c>
      <c r="C10" s="23">
        <f>MAX(C5:C7)</f>
        <v>50960688.310350001</v>
      </c>
      <c r="D10" s="23">
        <f>MAX(D5:D7)</f>
        <v>117209584.09446001</v>
      </c>
      <c r="E10" s="15" t="s">
        <v>170</v>
      </c>
      <c r="F10" s="15"/>
      <c r="G10" s="15"/>
      <c r="H10" s="6"/>
    </row>
  </sheetData>
  <mergeCells count="2">
    <mergeCell ref="A1:H1"/>
    <mergeCell ref="A2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5"/>
  <sheetViews>
    <sheetView workbookViewId="0"/>
  </sheetViews>
  <sheetFormatPr defaultRowHeight="13.5"/>
  <cols>
    <col min="1" max="1" width="36" customWidth="1"/>
    <col min="2" max="2" width="24" customWidth="1"/>
    <col min="3" max="3" width="52" customWidth="1"/>
    <col min="4" max="4" width="4" customWidth="1"/>
    <col min="5" max="5" width="28" customWidth="1"/>
    <col min="6" max="8" width="18" customWidth="1"/>
  </cols>
  <sheetData>
    <row r="1" spans="1:8" ht="14" customHeight="1">
      <c r="A1" s="36" t="s">
        <v>171</v>
      </c>
      <c r="B1" s="37"/>
      <c r="C1" s="37"/>
      <c r="D1" s="37"/>
      <c r="E1" s="37"/>
      <c r="F1" s="37"/>
      <c r="G1" s="37"/>
      <c r="H1" s="37"/>
    </row>
    <row r="2" spans="1:8" ht="12" customHeight="1">
      <c r="A2" s="38" t="s">
        <v>172</v>
      </c>
      <c r="B2" s="37"/>
      <c r="C2" s="37"/>
      <c r="D2" s="37"/>
      <c r="E2" s="37"/>
      <c r="F2" s="37"/>
      <c r="G2" s="37"/>
      <c r="H2" s="37"/>
    </row>
    <row r="4" spans="1:8" ht="13.05" customHeight="1">
      <c r="A4" s="7" t="s">
        <v>76</v>
      </c>
      <c r="B4" s="8" t="s">
        <v>34</v>
      </c>
      <c r="C4" s="9" t="s">
        <v>36</v>
      </c>
      <c r="E4" s="7" t="s">
        <v>173</v>
      </c>
      <c r="F4" s="8" t="s">
        <v>77</v>
      </c>
      <c r="G4" s="8" t="s">
        <v>78</v>
      </c>
      <c r="H4" s="9" t="s">
        <v>79</v>
      </c>
    </row>
    <row r="5" spans="1:8">
      <c r="A5" s="12" t="s">
        <v>174</v>
      </c>
      <c r="B5" s="22">
        <f>'06_Сверка'!B8</f>
        <v>81212.97300308384</v>
      </c>
      <c r="C5" s="4" t="s">
        <v>175</v>
      </c>
      <c r="E5" s="10" t="s">
        <v>151</v>
      </c>
      <c r="F5" s="22">
        <f>'06_Сверка'!B5</f>
        <v>17104497.498242002</v>
      </c>
      <c r="G5" s="22">
        <f>'06_Сверка'!C5</f>
        <v>50960688.310350001</v>
      </c>
      <c r="H5" s="29">
        <f>'06_Сверка'!D5</f>
        <v>117209584.09446001</v>
      </c>
    </row>
    <row r="6" spans="1:8">
      <c r="A6" s="12" t="s">
        <v>176</v>
      </c>
      <c r="B6" s="22">
        <f>'06_Сверка'!C9</f>
        <v>28766509.49455874</v>
      </c>
      <c r="C6" s="4" t="s">
        <v>177</v>
      </c>
      <c r="E6" s="10" t="s">
        <v>156</v>
      </c>
      <c r="F6" s="22">
        <f>'06_Сверка'!B6</f>
        <v>21001883.039999995</v>
      </c>
      <c r="G6" s="22">
        <f>'06_Сверка'!C6</f>
        <v>35003138.399999991</v>
      </c>
      <c r="H6" s="29">
        <f>'06_Сверка'!D6</f>
        <v>49004393.759999983</v>
      </c>
    </row>
    <row r="7" spans="1:8">
      <c r="A7" s="12" t="s">
        <v>178</v>
      </c>
      <c r="B7" s="22">
        <f>'06_Сверка'!D10</f>
        <v>117209584.09446001</v>
      </c>
      <c r="C7" s="4" t="s">
        <v>179</v>
      </c>
      <c r="E7" s="11" t="s">
        <v>6</v>
      </c>
      <c r="F7" s="23">
        <f>'06_Сверка'!B7</f>
        <v>81212.97300308384</v>
      </c>
      <c r="G7" s="23">
        <f>'06_Сверка'!C7</f>
        <v>335701.77332623949</v>
      </c>
      <c r="H7" s="30">
        <f>'06_Сверка'!D7</f>
        <v>967787.92828674905</v>
      </c>
    </row>
    <row r="8" spans="1:8" ht="27">
      <c r="A8" s="12" t="s">
        <v>180</v>
      </c>
      <c r="B8" s="22">
        <f>'04_Similarweb'!I17</f>
        <v>917847.13157755916</v>
      </c>
      <c r="C8" s="4" t="s">
        <v>181</v>
      </c>
    </row>
    <row r="9" spans="1:8" ht="27">
      <c r="A9" s="12" t="s">
        <v>182</v>
      </c>
      <c r="B9" s="22">
        <f>'03_Снизу_вверх'!G11</f>
        <v>35003138.399999991</v>
      </c>
      <c r="C9" s="4" t="s">
        <v>183</v>
      </c>
    </row>
    <row r="10" spans="1:8" ht="13.05" customHeight="1">
      <c r="A10" s="14" t="s">
        <v>184</v>
      </c>
      <c r="B10" s="23">
        <f>'05_Воронка_SW'!C14</f>
        <v>335701.77332623949</v>
      </c>
      <c r="C10" s="6" t="s">
        <v>185</v>
      </c>
      <c r="E10" s="7" t="s">
        <v>186</v>
      </c>
      <c r="F10" s="9" t="s">
        <v>187</v>
      </c>
    </row>
    <row r="11" spans="1:8">
      <c r="E11" s="31" t="str">
        <f>'04_Similarweb'!A5</f>
        <v>shortcut.ai</v>
      </c>
      <c r="F11" s="33">
        <f>'04_Similarweb'!J5</f>
        <v>0.14949327113336192</v>
      </c>
    </row>
    <row r="12" spans="1:8">
      <c r="E12" s="31" t="str">
        <f>'04_Similarweb'!A6</f>
        <v>perfectxl.com</v>
      </c>
      <c r="F12" s="33">
        <f>'04_Similarweb'!J6</f>
        <v>0.11740490245601883</v>
      </c>
    </row>
    <row r="13" spans="1:8">
      <c r="E13" s="31" t="str">
        <f>'04_Similarweb'!A7</f>
        <v>rows.com</v>
      </c>
      <c r="F13" s="33">
        <f>'04_Similarweb'!J7</f>
        <v>3.9681153083687512E-2</v>
      </c>
    </row>
    <row r="14" spans="1:8">
      <c r="E14" s="31" t="str">
        <f>'04_Similarweb'!A8</f>
        <v>numerous.ai</v>
      </c>
      <c r="F14" s="33">
        <f>'04_Similarweb'!J8</f>
        <v>0.10321761386659423</v>
      </c>
    </row>
    <row r="15" spans="1:8">
      <c r="E15" s="32" t="str">
        <f>'04_Similarweb'!A9</f>
        <v>operis.com</v>
      </c>
      <c r="F15" s="34">
        <f>'04_Similarweb'!J9</f>
        <v>5.0626900448353607E-2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0"/>
  <sheetViews>
    <sheetView workbookViewId="0"/>
  </sheetViews>
  <sheetFormatPr defaultRowHeight="13.5"/>
  <cols>
    <col min="1" max="1" width="22" customWidth="1"/>
    <col min="2" max="2" width="32" customWidth="1"/>
    <col min="3" max="3" width="34" customWidth="1"/>
    <col min="4" max="4" width="62" customWidth="1"/>
    <col min="5" max="5" width="18" customWidth="1"/>
    <col min="6" max="6" width="38" customWidth="1"/>
    <col min="7" max="7" width="40" customWidth="1"/>
    <col min="8" max="8" width="22" customWidth="1"/>
  </cols>
  <sheetData>
    <row r="1" spans="1:8" ht="14" customHeight="1">
      <c r="A1" s="36" t="s">
        <v>188</v>
      </c>
      <c r="B1" s="37"/>
      <c r="C1" s="37"/>
      <c r="D1" s="37"/>
      <c r="E1" s="37"/>
      <c r="F1" s="37"/>
      <c r="G1" s="37"/>
      <c r="H1" s="37"/>
    </row>
    <row r="2" spans="1:8" ht="12" customHeight="1">
      <c r="A2" s="38" t="s">
        <v>189</v>
      </c>
      <c r="B2" s="37"/>
      <c r="C2" s="37"/>
      <c r="D2" s="37"/>
      <c r="E2" s="37"/>
      <c r="F2" s="37"/>
      <c r="G2" s="37"/>
      <c r="H2" s="37"/>
    </row>
    <row r="4" spans="1:8" ht="13.05" customHeight="1">
      <c r="A4" s="7" t="s">
        <v>190</v>
      </c>
      <c r="B4" s="8" t="s">
        <v>76</v>
      </c>
      <c r="C4" s="8" t="s">
        <v>191</v>
      </c>
      <c r="D4" s="8" t="s">
        <v>192</v>
      </c>
      <c r="E4" s="8" t="s">
        <v>193</v>
      </c>
      <c r="F4" s="8" t="s">
        <v>194</v>
      </c>
      <c r="G4" s="8" t="s">
        <v>8</v>
      </c>
      <c r="H4" s="9" t="s">
        <v>106</v>
      </c>
    </row>
    <row r="5" spans="1:8" ht="27">
      <c r="A5" s="12" t="s">
        <v>6</v>
      </c>
      <c r="B5" s="13" t="s">
        <v>195</v>
      </c>
      <c r="C5" s="13" t="s">
        <v>196</v>
      </c>
      <c r="D5" s="16" t="s">
        <v>197</v>
      </c>
      <c r="E5" s="40">
        <v>46298</v>
      </c>
      <c r="F5" s="13" t="s">
        <v>198</v>
      </c>
      <c r="G5" s="13" t="s">
        <v>199</v>
      </c>
      <c r="H5" s="28" t="s">
        <v>278</v>
      </c>
    </row>
    <row r="6" spans="1:8" ht="27">
      <c r="A6" s="12" t="s">
        <v>6</v>
      </c>
      <c r="B6" s="13" t="s">
        <v>200</v>
      </c>
      <c r="C6" s="13" t="s">
        <v>201</v>
      </c>
      <c r="D6" s="16" t="s">
        <v>202</v>
      </c>
      <c r="E6" s="40">
        <v>46298</v>
      </c>
      <c r="F6" s="13" t="s">
        <v>203</v>
      </c>
      <c r="G6" s="13" t="s">
        <v>204</v>
      </c>
      <c r="H6" s="28" t="s">
        <v>205</v>
      </c>
    </row>
    <row r="7" spans="1:8" ht="27">
      <c r="A7" s="12" t="s">
        <v>6</v>
      </c>
      <c r="B7" s="13" t="s">
        <v>206</v>
      </c>
      <c r="C7" s="13" t="s">
        <v>207</v>
      </c>
      <c r="D7" s="16" t="s">
        <v>208</v>
      </c>
      <c r="E7" s="40">
        <v>46298</v>
      </c>
      <c r="F7" s="13" t="s">
        <v>209</v>
      </c>
      <c r="G7" s="13" t="s">
        <v>210</v>
      </c>
      <c r="H7" s="28" t="s">
        <v>205</v>
      </c>
    </row>
    <row r="8" spans="1:8" ht="67.5">
      <c r="A8" s="12" t="s">
        <v>211</v>
      </c>
      <c r="B8" s="13" t="s">
        <v>212</v>
      </c>
      <c r="C8" s="13" t="s">
        <v>213</v>
      </c>
      <c r="D8" s="16"/>
      <c r="E8" s="40">
        <v>46298</v>
      </c>
      <c r="F8" s="13" t="s">
        <v>214</v>
      </c>
      <c r="G8" s="13" t="s">
        <v>215</v>
      </c>
      <c r="H8" s="28" t="s">
        <v>279</v>
      </c>
    </row>
    <row r="9" spans="1:8" ht="67.5">
      <c r="A9" s="12" t="s">
        <v>216</v>
      </c>
      <c r="B9" s="13" t="s">
        <v>217</v>
      </c>
      <c r="C9" s="13" t="s">
        <v>218</v>
      </c>
      <c r="D9" s="16"/>
      <c r="E9" s="40">
        <v>46298</v>
      </c>
      <c r="F9" s="13" t="s">
        <v>219</v>
      </c>
      <c r="G9" s="13" t="s">
        <v>220</v>
      </c>
      <c r="H9" s="28" t="s">
        <v>280</v>
      </c>
    </row>
    <row r="10" spans="1:8" ht="54">
      <c r="A10" s="14" t="s">
        <v>221</v>
      </c>
      <c r="B10" s="15" t="s">
        <v>222</v>
      </c>
      <c r="C10" s="15" t="s">
        <v>223</v>
      </c>
      <c r="D10" s="17"/>
      <c r="E10" s="41">
        <v>46298</v>
      </c>
      <c r="F10" s="15" t="s">
        <v>224</v>
      </c>
      <c r="G10" s="15" t="s">
        <v>225</v>
      </c>
      <c r="H10" s="35" t="s">
        <v>281</v>
      </c>
    </row>
  </sheetData>
  <mergeCells count="2">
    <mergeCell ref="A1:H1"/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00_Методика</vt:lpstr>
      <vt:lpstr>01_Параметры</vt:lpstr>
      <vt:lpstr>02_Сверху_вниз</vt:lpstr>
      <vt:lpstr>03_Снизу_вверх</vt:lpstr>
      <vt:lpstr>04_Similarweb</vt:lpstr>
      <vt:lpstr>05_Воронка_SW</vt:lpstr>
      <vt:lpstr>06_Сверка</vt:lpstr>
      <vt:lpstr>07_Дашборд</vt:lpstr>
      <vt:lpstr>08_Источники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2026-10-04T15:49:13Z</dcterms:modified>
</cp:coreProperties>
</file>