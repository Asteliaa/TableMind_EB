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DE185465-0C95-4BF6-A1CC-8F542CA462AC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4" l="1"/>
  <c r="I11" i="4" s="1"/>
  <c r="F10" i="4"/>
  <c r="I10" i="4" s="1"/>
  <c r="F9" i="4"/>
  <c r="I9" i="4" s="1"/>
  <c r="F8" i="4"/>
  <c r="I8" i="4" s="1"/>
  <c r="F7" i="4"/>
  <c r="I7" i="4" s="1"/>
  <c r="F6" i="4"/>
  <c r="I6" i="4" s="1"/>
  <c r="F5" i="4"/>
  <c r="I5" i="4" s="1"/>
  <c r="D5" i="8"/>
  <c r="D7" i="8" s="1"/>
  <c r="D8" i="8" s="1"/>
  <c r="C5" i="8"/>
  <c r="B10" i="9" s="1"/>
  <c r="B5" i="8"/>
  <c r="B7" i="8" s="1"/>
  <c r="B8" i="8" s="1"/>
  <c r="D5" i="7"/>
  <c r="D4" i="7"/>
  <c r="D3" i="7"/>
  <c r="D8" i="5"/>
  <c r="C8" i="5"/>
  <c r="B8" i="5"/>
  <c r="D6" i="5"/>
  <c r="C6" i="5"/>
  <c r="B6" i="5"/>
  <c r="D4" i="5"/>
  <c r="C4" i="5"/>
  <c r="B4" i="5"/>
  <c r="F14" i="4"/>
  <c r="I14" i="4" s="1"/>
  <c r="F13" i="4"/>
  <c r="F12" i="4"/>
  <c r="I12" i="4" s="1"/>
  <c r="F4" i="4"/>
  <c r="I4" i="4" s="1"/>
  <c r="F3" i="4"/>
  <c r="I3" i="4" s="1"/>
  <c r="E9" i="3"/>
  <c r="G9" i="3" s="1"/>
  <c r="E8" i="3"/>
  <c r="G8" i="3" s="1"/>
  <c r="E7" i="3"/>
  <c r="E6" i="3"/>
  <c r="G6" i="3" s="1"/>
  <c r="E5" i="3"/>
  <c r="G5" i="3" s="1"/>
  <c r="E4" i="3"/>
  <c r="G4" i="3" s="1"/>
  <c r="E3" i="3"/>
  <c r="G3" i="3" s="1"/>
  <c r="E17" i="2"/>
  <c r="D10" i="5" s="1"/>
  <c r="C5" i="7" s="1"/>
  <c r="E16" i="2"/>
  <c r="C10" i="5" s="1"/>
  <c r="C4" i="7" s="1"/>
  <c r="E15" i="2"/>
  <c r="B10" i="5" s="1"/>
  <c r="C3" i="7" s="1"/>
  <c r="F4" i="7" l="1"/>
  <c r="F5" i="7"/>
  <c r="C7" i="8"/>
  <c r="C8" i="8" s="1"/>
  <c r="B11" i="9" s="1"/>
  <c r="C16" i="4"/>
  <c r="C11" i="3"/>
  <c r="F3" i="7"/>
  <c r="I13" i="4"/>
  <c r="C18" i="4" s="1"/>
  <c r="C19" i="4" s="1"/>
  <c r="G7" i="3"/>
  <c r="C12" i="3" s="1"/>
  <c r="C17" i="4" l="1"/>
  <c r="C13" i="3"/>
  <c r="B4" i="9" s="1"/>
  <c r="B3" i="9"/>
  <c r="D3" i="5" l="1"/>
  <c r="D5" i="5" s="1"/>
  <c r="C3" i="5"/>
  <c r="C5" i="5" s="1"/>
  <c r="B3" i="5"/>
  <c r="B5" i="5" s="1"/>
  <c r="B5" i="9"/>
  <c r="B4" i="6"/>
  <c r="C7" i="5"/>
  <c r="B7" i="5"/>
  <c r="B3" i="6"/>
  <c r="D7" i="5"/>
  <c r="B5" i="6"/>
  <c r="C5" i="6" l="1"/>
  <c r="D9" i="5"/>
  <c r="C3" i="6"/>
  <c r="B9" i="5"/>
  <c r="C4" i="6"/>
  <c r="C9" i="5"/>
  <c r="B4" i="7" l="1"/>
  <c r="E4" i="7" s="1"/>
  <c r="C8" i="7" s="1"/>
  <c r="B9" i="9" s="1"/>
  <c r="D4" i="6"/>
  <c r="C11" i="5"/>
  <c r="B11" i="5"/>
  <c r="B3" i="7"/>
  <c r="E3" i="7" s="1"/>
  <c r="B8" i="7" s="1"/>
  <c r="D3" i="6"/>
  <c r="B5" i="7"/>
  <c r="E5" i="7" s="1"/>
  <c r="D8" i="7" s="1"/>
  <c r="D5" i="6"/>
  <c r="D11" i="5"/>
  <c r="E3" i="6" l="1"/>
  <c r="B12" i="5"/>
  <c r="E5" i="6"/>
  <c r="D12" i="5"/>
  <c r="E4" i="6"/>
  <c r="C12" i="5"/>
  <c r="F4" i="6" l="1"/>
  <c r="C8" i="6" s="1"/>
  <c r="B7" i="9" s="1"/>
  <c r="C7" i="7"/>
  <c r="D7" i="7"/>
  <c r="F5" i="6"/>
  <c r="F3" i="6"/>
  <c r="B7" i="7"/>
  <c r="C9" i="6" l="1"/>
  <c r="C7" i="6"/>
  <c r="B6" i="9" s="1"/>
  <c r="C10" i="6" l="1"/>
  <c r="B8" i="9"/>
</calcChain>
</file>

<file path=xl/sharedStrings.xml><?xml version="1.0" encoding="utf-8"?>
<sst xmlns="http://schemas.openxmlformats.org/spreadsheetml/2006/main" count="450" uniqueCount="310">
  <si>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</si>
  <si>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</si>
  <si>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</si>
  <si>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</si>
  <si>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</si>
  <si>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</si>
  <si>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</si>
  <si>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</si>
  <si>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</si>
  <si>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</si>
  <si>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</si>
  <si>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</si>
  <si>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</si>
  <si>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</si>
  <si>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</si>
  <si>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</si>
  <si>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</si>
  <si>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</si>
  <si>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</si>
  <si>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</si>
  <si>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</si>
  <si>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</si>
  <si>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</si>
  <si>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</si>
  <si>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</si>
  <si>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</si>
  <si>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</si>
  <si>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</si>
  <si>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</si>
  <si>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</si>
  <si>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</si>
  <si>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</si>
  <si>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</si>
  <si>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</si>
  <si>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</si>
  <si>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</si>
  <si>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</si>
  <si>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</si>
  <si>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</si>
  <si>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</si>
  <si>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</si>
  <si>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</si>
  <si>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</si>
  <si>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</si>
  <si>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</si>
  <si>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</si>
  <si>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</si>
  <si>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</si>
  <si>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</si>
  <si>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</si>
  <si>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</si>
  <si>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</si>
  <si>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</si>
  <si>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</si>
  <si>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</si>
  <si>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</si>
  <si>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</si>
  <si>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</si>
  <si>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</si>
  <si>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</si>
  <si>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</si>
  <si>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</si>
  <si>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</si>
  <si>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</si>
  <si>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</si>
  <si>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</si>
  <si>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</si>
  <si>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</si>
  <si>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</si>
  <si>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</si>
  <si>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</si>
  <si>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</si>
  <si>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</si>
  <si>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</si>
  <si>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</si>
  <si>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</si>
  <si>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</si>
  <si>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</si>
  <si>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</si>
  <si>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</si>
  <si>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</si>
  <si>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</si>
  <si>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</si>
  <si>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</si>
  <si>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</si>
  <si>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</si>
  <si>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</si>
  <si>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</si>
  <si>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</si>
  <si>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</si>
  <si>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</si>
  <si>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</si>
  <si>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</si>
  <si>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</si>
  <si>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</si>
  <si>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</si>
  <si>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</si>
  <si>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</si>
  <si>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</si>
  <si>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</si>
  <si>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</si>
  <si>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</si>
  <si>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</si>
  <si>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</si>
  <si>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</si>
  <si>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</si>
  <si>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</si>
  <si>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</si>
  <si>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</si>
  <si>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</si>
  <si>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</si>
  <si>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</si>
  <si>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</si>
  <si>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</si>
  <si>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</si>
  <si>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</si>
  <si>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</si>
  <si>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</si>
  <si>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</si>
  <si>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</si>
  <si>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</si>
  <si>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</si>
  <si>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</si>
  <si>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</si>
  <si>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</si>
  <si>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</si>
  <si>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</si>
  <si>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</si>
  <si>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</si>
  <si>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</si>
  <si>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</si>
  <si>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</si>
  <si>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</si>
  <si>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</si>
  <si>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</si>
  <si>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</si>
  <si>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</si>
  <si>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</si>
  <si>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</si>
  <si>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</si>
  <si>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</si>
  <si>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</si>
  <si>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</si>
  <si>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</si>
  <si>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</si>
  <si>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</si>
  <si>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</si>
  <si>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</si>
  <si>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</si>
  <si>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</si>
  <si>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</si>
  <si>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</si>
  <si>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</si>
  <si>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</si>
  <si>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</si>
  <si>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</si>
  <si>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</si>
  <si>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</si>
  <si>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</si>
  <si>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</si>
  <si>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</si>
  <si>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</si>
  <si>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</si>
  <si>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</si>
  <si>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</si>
  <si>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</si>
  <si>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</si>
  <si>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</si>
  <si>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</si>
  <si>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</si>
  <si>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</si>
  <si>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</si>
  <si>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</si>
  <si>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</si>
  <si>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</si>
  <si>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</si>
  <si>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</si>
  <si>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</si>
  <si>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</si>
  <si>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</si>
  <si>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</si>
  <si>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</si>
  <si>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</si>
  <si>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</si>
  <si>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</si>
  <si>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</si>
  <si>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</si>
  <si>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</si>
  <si>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</si>
  <si>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</si>
  <si>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</si>
  <si>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</si>
  <si>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</si>
  <si>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</si>
  <si>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</si>
  <si>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</si>
  <si>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</si>
  <si>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</si>
  <si>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</si>
  <si>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</si>
  <si>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</si>
  <si>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</si>
  <si>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</si>
  <si>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</si>
  <si>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</si>
  <si>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</si>
  <si>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</si>
  <si>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</si>
  <si>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</si>
  <si>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</si>
  <si>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</si>
  <si>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</si>
  <si>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Нижняя граница.</t>
  </si>
  <si>
    <t>Основной ориентир.</t>
  </si>
  <si>
    <t>Верхняя граница.</t>
  </si>
  <si>
    <t>Учитывает повторные покупки.</t>
  </si>
  <si>
    <t>Использовать только для платформенной модели.</t>
  </si>
  <si>
    <t>Собственная выручка платформы, если применимо.</t>
  </si>
  <si>
    <t>Итоговый вывод для отчета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</si>
  <si>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</si>
  <si>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</si>
  <si>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</si>
  <si>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</si>
  <si>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</si>
  <si>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</si>
  <si>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</si>
  <si>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</si>
  <si>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</si>
  <si>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</si>
  <si>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</si>
  <si>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</si>
  <si>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</si>
  <si>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</si>
  <si>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</si>
  <si>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</si>
  <si>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</si>
  <si>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</si>
  <si>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</si>
  <si>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</si>
  <si>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</si>
  <si>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</si>
  <si>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</si>
  <si>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</si>
  <si>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</si>
  <si>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</si>
  <si>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</si>
  <si>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</si>
  <si>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</si>
  <si>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</si>
  <si>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</si>
  <si>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Англоязычные страны и ЕС-27</t>
  </si>
  <si>
    <t>финансовые аналитики, бухгалтеры, консультанты, МСП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</si>
  <si>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</si>
  <si>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</si>
  <si>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</si>
  <si>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</si>
  <si>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</si>
  <si>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</si>
  <si>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Медийная реклама и email</t>
  </si>
  <si>
    <t>AI-поиск и партнерские сети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</si>
  <si>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</si>
  <si>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</si>
  <si>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</si>
  <si>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</si>
  <si>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</si>
  <si>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</si>
  <si>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</si>
  <si>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</si>
  <si>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</si>
  <si>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</si>
  <si>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</si>
  <si>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</si>
  <si>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</si>
  <si>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</si>
  <si>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</si>
  <si>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</si>
  <si>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</si>
  <si>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</si>
  <si>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</si>
  <si>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</si>
  <si>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</si>
  <si>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</si>
  <si>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Оценка рынка через цифровую воронку</t>
  </si>
  <si>
    <t>Лист</t>
  </si>
  <si>
    <t>TableMind - онлайн-проверка Excel-моделей</t>
  </si>
  <si>
    <t>Название проекта</t>
  </si>
  <si>
    <t>у.е.</t>
  </si>
  <si>
    <t>Расчетная валюта проекта</t>
  </si>
  <si>
    <t>у.е./платеж</t>
  </si>
  <si>
    <t>Допущение Д-13 - 12 сайтов покрывают около 55 % трафика сегмента</t>
  </si>
  <si>
    <t>Similarweb - каталоги, партнеры, AppSource</t>
  </si>
  <si>
    <t>Similarweb - органические и платные</t>
  </si>
  <si>
    <t>Similarweb - Gen AI и affiliates</t>
  </si>
  <si>
    <t>Берется с листа 03_Конкуренты_SW - релевантные посещения 12 сайтов / покрытие.</t>
  </si>
  <si>
    <t>07. Платформенная модель - GMV и выручка платформы</t>
  </si>
  <si>
    <t>Допущение Д-14 - оплаты через AppSource; комиссия 3 % подтверждена условиями Microsoft</t>
  </si>
  <si>
    <t>Годовая выручка - осторожный сценарий</t>
  </si>
  <si>
    <t>у.е./год</t>
  </si>
  <si>
    <t>Годовая выручка - базовый сценарий</t>
  </si>
  <si>
    <t>Годовая выручка - оптимистичный сценарий</t>
  </si>
  <si>
    <t>Годовая выручка с учетом повторов - базовый сценарий</t>
  </si>
  <si>
    <t>GMV платформы - базовый сценарий</t>
  </si>
  <si>
    <t>Комиссионная выручка платформы - базовый сценарий</t>
  </si>
  <si>
    <t>На основе цифровой воронки рынок оценивается через последовательность -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-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</si>
  <si>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Собственный сайт запускается вместе с MVP 31.03.2027, данные трафика появятся после запуска</t>
  </si>
  <si>
    <t>Рекламные кабинеты не подключены, тестовые кампании запланированы после запуска MVP</t>
  </si>
  <si>
    <t>Исходные данные на листах 01–03, затем проверить расчеты на листах 04–08.</t>
  </si>
  <si>
    <t>-</t>
  </si>
  <si>
    <t>Расчетные ячейки содержат формулы и автоматически пересчитывают заявки, продажи, выручку, GMV и рыночный диапазон.</t>
  </si>
  <si>
    <t>Исходные данные.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</si>
</sst>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BDD7EE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4" fillId="0" borderId="0" xfId="1" applyFont="1" applyAlignment="1">
      <alignment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2" xfId="1" applyFont="1" applyFill="1" applyBorder="1" applyAlignment="1">
      <alignment horizontal="left" vertical="center" wrapText="1"/>
    </xf>
    <xf numFmtId="0" fontId="4" fillId="4" borderId="3" xfId="1" applyFont="1" applyFill="1" applyBorder="1" applyAlignment="1">
      <alignment horizontal="left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3" fontId="4" fillId="5" borderId="1" xfId="1" applyNumberFormat="1" applyFont="1" applyFill="1" applyBorder="1" applyAlignment="1">
      <alignment horizontal="left" vertical="center" wrapText="1"/>
    </xf>
    <xf numFmtId="3" fontId="4" fillId="5" borderId="1" xfId="1" applyNumberFormat="1" applyFont="1" applyFill="1" applyBorder="1" applyAlignment="1">
      <alignment horizontal="center" vertical="center" wrapText="1"/>
    </xf>
    <xf numFmtId="3" fontId="4" fillId="5" borderId="2" xfId="1" applyNumberFormat="1" applyFont="1" applyFill="1" applyBorder="1" applyAlignment="1">
      <alignment horizontal="center" vertical="center" wrapText="1"/>
    </xf>
    <xf numFmtId="9" fontId="4" fillId="5" borderId="1" xfId="1" applyNumberFormat="1" applyFont="1" applyFill="1" applyBorder="1" applyAlignment="1">
      <alignment horizontal="center" vertical="center" wrapText="1"/>
    </xf>
    <xf numFmtId="9" fontId="4" fillId="5" borderId="2" xfId="1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164" fontId="4" fillId="5" borderId="2" xfId="1" applyNumberFormat="1" applyFont="1" applyFill="1" applyBorder="1" applyAlignment="1">
      <alignment horizontal="center" vertical="center" wrapText="1"/>
    </xf>
    <xf numFmtId="10" fontId="4" fillId="5" borderId="1" xfId="1" applyNumberFormat="1" applyFont="1" applyFill="1" applyBorder="1" applyAlignment="1">
      <alignment horizontal="center" vertical="center" wrapText="1"/>
    </xf>
    <xf numFmtId="10" fontId="4" fillId="5" borderId="2" xfId="1" applyNumberFormat="1" applyFont="1" applyFill="1" applyBorder="1" applyAlignment="1">
      <alignment horizontal="center" vertical="center" wrapText="1"/>
    </xf>
    <xf numFmtId="3" fontId="4" fillId="4" borderId="1" xfId="1" applyNumberFormat="1" applyFont="1" applyFill="1" applyBorder="1" applyAlignment="1">
      <alignment horizontal="center" vertical="center" wrapText="1"/>
    </xf>
    <xf numFmtId="3" fontId="4" fillId="4" borderId="2" xfId="1" applyNumberFormat="1" applyFont="1" applyFill="1" applyBorder="1" applyAlignment="1">
      <alignment horizontal="center" vertical="center" wrapText="1"/>
    </xf>
    <xf numFmtId="3" fontId="4" fillId="4" borderId="3" xfId="1" applyNumberFormat="1" applyFont="1" applyFill="1" applyBorder="1" applyAlignment="1">
      <alignment horizontal="center" vertical="center" wrapText="1"/>
    </xf>
    <xf numFmtId="1" fontId="4" fillId="5" borderId="3" xfId="1" applyNumberFormat="1" applyFont="1" applyFill="1" applyBorder="1" applyAlignment="1">
      <alignment horizontal="center" vertical="center" wrapText="1"/>
    </xf>
    <xf numFmtId="1" fontId="4" fillId="5" borderId="4" xfId="1" applyNumberFormat="1" applyFont="1" applyFill="1" applyBorder="1" applyAlignment="1">
      <alignment horizontal="center" vertical="center" wrapText="1"/>
    </xf>
    <xf numFmtId="3" fontId="4" fillId="0" borderId="0" xfId="1" applyNumberFormat="1" applyFont="1" applyAlignment="1">
      <alignment vertical="center" wrapText="1"/>
    </xf>
    <xf numFmtId="3" fontId="3" fillId="3" borderId="1" xfId="1" applyNumberFormat="1" applyFont="1" applyFill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3" fontId="4" fillId="0" borderId="3" xfId="1" applyNumberFormat="1" applyFont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left" vertical="center" wrapText="1"/>
    </xf>
    <xf numFmtId="3" fontId="4" fillId="0" borderId="3" xfId="1" applyNumberFormat="1" applyFont="1" applyBorder="1" applyAlignment="1">
      <alignment horizontal="left" vertical="center" wrapText="1"/>
    </xf>
    <xf numFmtId="3" fontId="3" fillId="3" borderId="4" xfId="1" applyNumberFormat="1" applyFont="1" applyFill="1" applyBorder="1" applyAlignment="1">
      <alignment horizontal="center" vertical="center" wrapText="1"/>
    </xf>
    <xf numFmtId="3" fontId="4" fillId="0" borderId="4" xfId="1" applyNumberFormat="1" applyFont="1" applyBorder="1" applyAlignment="1">
      <alignment horizontal="center" vertical="center" wrapText="1"/>
    </xf>
    <xf numFmtId="9" fontId="4" fillId="4" borderId="1" xfId="1" applyNumberFormat="1" applyFont="1" applyFill="1" applyBorder="1" applyAlignment="1">
      <alignment horizontal="center" vertical="center" wrapText="1"/>
    </xf>
    <xf numFmtId="10" fontId="4" fillId="4" borderId="1" xfId="1" applyNumberFormat="1" applyFont="1" applyFill="1" applyBorder="1" applyAlignment="1">
      <alignment horizontal="center" vertical="center" wrapText="1"/>
    </xf>
    <xf numFmtId="0" fontId="4" fillId="4" borderId="4" xfId="1" applyFont="1" applyFill="1" applyBorder="1" applyAlignment="1">
      <alignment horizontal="left" vertical="center" wrapText="1"/>
    </xf>
    <xf numFmtId="3" fontId="4" fillId="0" borderId="4" xfId="1" applyNumberFormat="1" applyFont="1" applyBorder="1" applyAlignment="1">
      <alignment horizontal="left" vertical="center" wrapText="1"/>
    </xf>
    <xf numFmtId="3" fontId="4" fillId="4" borderId="4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left" vertical="center" wrapText="1"/>
    </xf>
    <xf numFmtId="0" fontId="4" fillId="4" borderId="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52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spPr>
            <a:solidFill>
              <a:srgbClr val="1F4E79"/>
            </a:solidFill>
          </c:spPr>
          <c:invertIfNegative val="1"/>
          <c:cat>
            <c:strRef>
              <c:f>'08_Дашборд'!$A$3:$A$5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'08_Дашборд'!$B$3:$B$5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0790-4C1C-B5B2-8A190C0C5F4F}"/>
            </c:ext>
          </c:extLst>
        </c:ser>
        <c:ser>
          <c:idx val="1"/>
          <c:order val="1"/>
          <c:tx>
            <c:v>Единица</c:v>
          </c:tx>
          <c:spPr>
            <a:solidFill>
              <a:srgbClr val="2E75B6"/>
            </a:solidFill>
          </c:spPr>
          <c:invertIfNegative val="1"/>
          <c:cat>
            <c:strRef>
              <c:f>'08_Дашборд'!$A$3:$A$5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'08_Дашборд'!$C$3:$C$5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0790-4C1C-B5B2-8A190C0C5F4F}"/>
            </c:ext>
          </c:extLst>
        </c:ser>
        <c:ser>
          <c:idx val="2"/>
          <c:order val="2"/>
          <c:tx>
            <c:v>Комментарий</c:v>
          </c:tx>
          <c:spPr>
            <a:solidFill>
              <a:srgbClr val="9DC3E6"/>
            </a:solidFill>
          </c:spPr>
          <c:invertIfNegative val="1"/>
          <c:cat>
            <c:strRef>
              <c:f>'08_Дашборд'!$A$3:$A$5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'08_Дашборд'!$D$3:$D$5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0790-4C1C-B5B2-8A190C0C5F4F}"/>
            </c:ext>
          </c:extLst>
        </c:ser>
        <c:ser>
          <c:idx val="3"/>
          <c:order val="3"/>
          <c:tx>
            <c:v>Series 4</c:v>
          </c:tx>
          <c:spPr>
            <a:solidFill>
              <a:srgbClr val="5B9BD5"/>
            </a:solidFill>
          </c:spPr>
          <c:invertIfNegative val="1"/>
          <c:cat>
            <c:strRef>
              <c:f>'08_Дашборд'!$A$3:$A$5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'08_Дашборд'!$E$3:$E$5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3-0790-4C1C-B5B2-8A190C0C5F4F}"/>
            </c:ext>
          </c:extLst>
        </c:ser>
        <c:ser>
          <c:idx val="4"/>
          <c:order val="4"/>
          <c:tx>
            <c:v>Series 5</c:v>
          </c:tx>
          <c:spPr>
            <a:solidFill>
              <a:srgbClr val="BDD7EE"/>
            </a:solidFill>
          </c:spPr>
          <c:invertIfNegative val="1"/>
          <c:cat>
            <c:strRef>
              <c:f>'08_Дашборд'!$A$3:$A$5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'08_Дашборд'!$F$3:$F$5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4-0790-4C1C-B5B2-8A190C0C5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1</xdr:col>
      <xdr:colOff>566737</xdr:colOff>
      <xdr:row>35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2:I9" headerRowDxfId="51" dataDxfId="50" totalsRowDxfId="49">
  <tableColumns count="9">
    <tableColumn id="1" xr3:uid="{00000000-0010-0000-0000-000001000000}" name="Канал" dataDxfId="48"/>
    <tableColumn id="2" xr3:uid="{00000000-0010-0000-0000-000002000000}" name="Источник данных" dataDxfId="47"/>
    <tableColumn id="3" xr3:uid="{00000000-0010-0000-0000-000003000000}" name="Визиты по каналу в месяц (12 сайтов)" dataDxfId="46"/>
    <tableColumn id="4" xr3:uid="{00000000-0010-0000-0000-000004000000}" name="Доля целевой географии" dataDxfId="45"/>
    <tableColumn id="5" xr3:uid="{00000000-0010-0000-0000-000005000000}" name="Посещения в месяц" dataDxfId="44"/>
    <tableColumn id="6" xr3:uid="{00000000-0010-0000-0000-000006000000}" name="Доля релевантной аудитории (релевантность x качество)" dataDxfId="43"/>
    <tableColumn id="7" xr3:uid="{00000000-0010-0000-0000-000007000000}" name="Релевантные посещения" dataDxfId="42"/>
    <tableColumn id="8" xr3:uid="{00000000-0010-0000-0000-000008000000}" name="Качество данных" dataDxfId="41"/>
    <tableColumn id="9" xr3:uid="{00000000-0010-0000-0000-000009000000}" name="Комментарий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2:J14" headerRowDxfId="39" dataDxfId="38" totalsRowDxfId="37">
  <tableColumns count="10">
    <tableColumn id="1" xr3:uid="{00000000-0010-0000-0100-000001000000}" name="Конкурент / сайт" dataDxfId="36"/>
    <tableColumn id="2" xr3:uid="{00000000-0010-0000-0100-000002000000}" name="Тип игрока" dataDxfId="35"/>
    <tableColumn id="3" xr3:uid="{00000000-0010-0000-0100-000003000000}" name="Посещения в месяц по Similarweb" dataDxfId="34"/>
    <tableColumn id="4" xr3:uid="{00000000-0010-0000-0100-000004000000}" name="Доля целевой географии" dataDxfId="33"/>
    <tableColumn id="5" xr3:uid="{00000000-0010-0000-0100-000005000000}" name="Доля релевантной категории" dataDxfId="32"/>
    <tableColumn id="6" xr3:uid="{00000000-0010-0000-0100-000006000000}" name="Релевантные посещения" dataDxfId="31"/>
    <tableColumn id="7" xr3:uid="{00000000-0010-0000-0100-000007000000}" name="Оценочная конверсия в продажу" dataDxfId="30"/>
    <tableColumn id="8" xr3:uid="{00000000-0010-0000-0100-000008000000}" name="Средний чек" dataDxfId="29"/>
    <tableColumn id="9" xr3:uid="{00000000-0010-0000-0100-000009000000}" name="Оценочная выручка в месяц" dataDxfId="28"/>
    <tableColumn id="10" xr3:uid="{00000000-0010-0000-0100-00000A000000}" name="Комментарий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2:E12" headerRowDxfId="26" dataDxfId="25" totalsRowDxfId="24">
  <tableColumns count="5">
    <tableColumn id="1" xr3:uid="{00000000-0010-0000-0200-000001000000}" name="Показатель" dataDxfId="23"/>
    <tableColumn id="2" xr3:uid="{00000000-0010-0000-0200-000002000000}" name="Осторожный" dataDxfId="22"/>
    <tableColumn id="3" xr3:uid="{00000000-0010-0000-0200-000003000000}" name="Базовый" dataDxfId="21"/>
    <tableColumn id="4" xr3:uid="{00000000-0010-0000-0200-000004000000}" name="Оптимистичный" dataDxfId="20"/>
    <tableColumn id="5" xr3:uid="{00000000-0010-0000-0200-000005000000}" name="Комментарий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2:G5" headerRowDxfId="18" dataDxfId="17" totalsRowDxfId="16">
  <tableColumns count="7">
    <tableColumn id="1" xr3:uid="{00000000-0010-0000-0300-000001000000}" name="Сценарий" dataDxfId="15"/>
    <tableColumn id="2" xr3:uid="{00000000-0010-0000-0300-000002000000}" name="Достижимые посещения/мес." dataDxfId="14"/>
    <tableColumn id="3" xr3:uid="{00000000-0010-0000-0300-000003000000}" name="Заявки/мес." dataDxfId="13"/>
    <tableColumn id="4" xr3:uid="{00000000-0010-0000-0300-000004000000}" name="Продажи/мес." dataDxfId="12"/>
    <tableColumn id="5" xr3:uid="{00000000-0010-0000-0300-000005000000}" name="Выручка/мес." dataDxfId="11"/>
    <tableColumn id="6" xr3:uid="{00000000-0010-0000-0300-000006000000}" name="Выручка/год" dataDxfId="10"/>
    <tableColumn id="7" xr3:uid="{00000000-0010-0000-0300-000007000000}" name="Интерпретация" dataDxfId="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2:F9" headerRowDxfId="8" dataDxfId="7" totalsRowDxfId="6">
  <tableColumns count="6">
    <tableColumn id="1" xr3:uid="{00000000-0010-0000-0400-000001000000}" name="Источник" dataDxfId="5"/>
    <tableColumn id="2" xr3:uid="{00000000-0010-0000-0400-000002000000}" name="Что брать" dataDxfId="4"/>
    <tableColumn id="3" xr3:uid="{00000000-0010-0000-0400-000003000000}" name="Ссылка / место хранения" dataDxfId="3"/>
    <tableColumn id="4" xr3:uid="{00000000-0010-0000-0400-000004000000}" name="Дата обращения" dataDxfId="2"/>
    <tableColumn id="5" xr3:uid="{00000000-0010-0000-0400-000005000000}" name="Качество" dataDxfId="1"/>
    <tableColumn id="6" xr3:uid="{00000000-0010-0000-0400-000006000000}" name="Комментари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abSelected="1" workbookViewId="0">
      <selection sqref="A1:H1"/>
    </sheetView>
  </sheetViews>
  <sheetFormatPr defaultRowHeight="13.5"/>
  <cols>
    <col min="1" max="8" width="52.5625" customWidth="1"/>
    <col min="9" max="10" width="10.5625" customWidth="1"/>
  </cols>
  <sheetData>
    <row r="1" spans="1:10" ht="20" customHeight="1">
      <c r="A1" s="47" t="s">
        <v>282</v>
      </c>
      <c r="B1" s="47"/>
      <c r="C1" s="47"/>
      <c r="D1" s="47"/>
      <c r="E1" s="47"/>
      <c r="F1" s="47"/>
      <c r="G1" s="47"/>
      <c r="H1" s="48"/>
      <c r="I1" s="1"/>
      <c r="J1" s="1"/>
    </row>
    <row r="2" spans="1:10" ht="14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6" t="s">
        <v>7</v>
      </c>
      <c r="I2" s="1"/>
      <c r="J2" s="1"/>
    </row>
    <row r="3" spans="1:10" ht="42.75">
      <c r="A3" s="3" t="s">
        <v>8</v>
      </c>
      <c r="B3" s="3" t="s">
        <v>306</v>
      </c>
      <c r="C3" s="3" t="s">
        <v>9</v>
      </c>
      <c r="D3" s="3" t="s">
        <v>10</v>
      </c>
      <c r="E3" s="4" t="s">
        <v>308</v>
      </c>
      <c r="F3" s="4" t="s">
        <v>11</v>
      </c>
      <c r="G3" s="4" t="s">
        <v>12</v>
      </c>
      <c r="H3" s="5" t="s">
        <v>13</v>
      </c>
      <c r="I3" s="1"/>
      <c r="J3" s="1"/>
    </row>
    <row r="4" spans="1:10" ht="14.25">
      <c r="A4" s="2" t="s">
        <v>14</v>
      </c>
      <c r="B4" s="2" t="s">
        <v>15</v>
      </c>
      <c r="C4" s="2" t="s">
        <v>283</v>
      </c>
      <c r="D4" s="6" t="s">
        <v>16</v>
      </c>
      <c r="E4" s="1"/>
      <c r="F4" s="1"/>
      <c r="G4" s="1"/>
      <c r="H4" s="1"/>
      <c r="I4" s="1"/>
      <c r="J4" s="1"/>
    </row>
    <row r="5" spans="1:10" ht="28.5">
      <c r="A5" s="7">
        <v>1</v>
      </c>
      <c r="B5" s="10" t="s">
        <v>17</v>
      </c>
      <c r="C5" s="7" t="s">
        <v>18</v>
      </c>
      <c r="D5" s="13" t="s">
        <v>19</v>
      </c>
      <c r="E5" s="1"/>
      <c r="F5" s="1"/>
      <c r="G5" s="1"/>
      <c r="H5" s="1"/>
      <c r="I5" s="1"/>
      <c r="J5" s="1"/>
    </row>
    <row r="6" spans="1:10" ht="14.25">
      <c r="A6" s="7">
        <v>2</v>
      </c>
      <c r="B6" s="10" t="s">
        <v>20</v>
      </c>
      <c r="C6" s="7" t="s">
        <v>21</v>
      </c>
      <c r="D6" s="13" t="s">
        <v>22</v>
      </c>
      <c r="E6" s="1"/>
      <c r="F6" s="1"/>
      <c r="G6" s="1"/>
      <c r="H6" s="1"/>
      <c r="I6" s="1"/>
      <c r="J6" s="1"/>
    </row>
    <row r="7" spans="1:10" ht="28.5">
      <c r="A7" s="7">
        <v>3</v>
      </c>
      <c r="B7" s="10" t="s">
        <v>23</v>
      </c>
      <c r="C7" s="7" t="s">
        <v>24</v>
      </c>
      <c r="D7" s="14" t="s">
        <v>25</v>
      </c>
      <c r="E7" s="1"/>
      <c r="F7" s="1"/>
      <c r="G7" s="1"/>
      <c r="H7" s="1"/>
      <c r="I7" s="1"/>
      <c r="J7" s="1"/>
    </row>
    <row r="8" spans="1:10" ht="14.25">
      <c r="A8" s="7">
        <v>4</v>
      </c>
      <c r="B8" s="10" t="s">
        <v>26</v>
      </c>
      <c r="C8" s="7" t="s">
        <v>27</v>
      </c>
      <c r="D8" s="14" t="s">
        <v>28</v>
      </c>
      <c r="E8" s="1"/>
      <c r="F8" s="1"/>
      <c r="G8" s="1"/>
      <c r="H8" s="1"/>
      <c r="I8" s="1"/>
      <c r="J8" s="1"/>
    </row>
    <row r="9" spans="1:10" ht="14.25">
      <c r="A9" s="7">
        <v>5</v>
      </c>
      <c r="B9" s="10" t="s">
        <v>29</v>
      </c>
      <c r="C9" s="7" t="s">
        <v>30</v>
      </c>
      <c r="D9" s="14" t="s">
        <v>31</v>
      </c>
      <c r="E9" s="1"/>
      <c r="F9" s="1"/>
      <c r="G9" s="1"/>
      <c r="H9" s="1"/>
      <c r="I9" s="1"/>
      <c r="J9" s="1"/>
    </row>
    <row r="10" spans="1:10" ht="14.25">
      <c r="A10" s="7">
        <v>6</v>
      </c>
      <c r="B10" s="10" t="s">
        <v>32</v>
      </c>
      <c r="C10" s="7" t="s">
        <v>33</v>
      </c>
      <c r="D10" s="14" t="s">
        <v>34</v>
      </c>
      <c r="E10" s="1"/>
      <c r="F10" s="1"/>
      <c r="G10" s="1"/>
      <c r="H10" s="1"/>
      <c r="I10" s="1"/>
      <c r="J10" s="1"/>
    </row>
    <row r="11" spans="1:10" ht="28.5">
      <c r="A11" s="7">
        <v>7</v>
      </c>
      <c r="B11" s="10" t="s">
        <v>35</v>
      </c>
      <c r="C11" s="7" t="s">
        <v>36</v>
      </c>
      <c r="D11" s="14" t="s">
        <v>37</v>
      </c>
      <c r="E11" s="1"/>
      <c r="F11" s="1"/>
      <c r="G11" s="1"/>
      <c r="H11" s="1"/>
      <c r="I11" s="1"/>
      <c r="J11" s="1"/>
    </row>
    <row r="12" spans="1:10" ht="14.25">
      <c r="A12" s="7">
        <v>8</v>
      </c>
      <c r="B12" s="10" t="s">
        <v>38</v>
      </c>
      <c r="C12" s="7" t="s">
        <v>39</v>
      </c>
      <c r="D12" s="14" t="s">
        <v>40</v>
      </c>
      <c r="E12" s="1"/>
      <c r="F12" s="1"/>
      <c r="G12" s="1"/>
      <c r="H12" s="1"/>
      <c r="I12" s="1"/>
      <c r="J12" s="1"/>
    </row>
    <row r="13" spans="1:10" ht="14.25">
      <c r="A13" s="2" t="s">
        <v>41</v>
      </c>
      <c r="B13" s="2" t="s">
        <v>42</v>
      </c>
      <c r="C13" s="2" t="s">
        <v>43</v>
      </c>
      <c r="D13" s="6" t="s">
        <v>44</v>
      </c>
      <c r="E13" s="1"/>
      <c r="F13" s="1"/>
      <c r="G13" s="1"/>
      <c r="H13" s="1"/>
      <c r="I13" s="1"/>
      <c r="J13" s="1"/>
    </row>
    <row r="14" spans="1:10" ht="14.25">
      <c r="A14" s="15" t="s">
        <v>45</v>
      </c>
      <c r="B14" s="7" t="s">
        <v>46</v>
      </c>
      <c r="C14" s="7" t="s">
        <v>47</v>
      </c>
      <c r="D14" s="13" t="s">
        <v>309</v>
      </c>
      <c r="E14" s="1"/>
      <c r="F14" s="1"/>
      <c r="G14" s="1"/>
      <c r="H14" s="1"/>
      <c r="I14" s="1"/>
      <c r="J14" s="1"/>
    </row>
    <row r="15" spans="1:10" ht="14.25">
      <c r="A15" s="3" t="s">
        <v>48</v>
      </c>
      <c r="B15" s="7" t="s">
        <v>49</v>
      </c>
      <c r="C15" s="7" t="s">
        <v>50</v>
      </c>
      <c r="D15" s="13" t="s">
        <v>51</v>
      </c>
      <c r="E15" s="1"/>
      <c r="F15" s="1"/>
      <c r="G15" s="1"/>
      <c r="H15" s="1"/>
      <c r="I15" s="1"/>
      <c r="J15" s="1"/>
    </row>
    <row r="16" spans="1:10" ht="14.25">
      <c r="A16" s="4" t="s">
        <v>52</v>
      </c>
      <c r="B16" s="11" t="s">
        <v>53</v>
      </c>
      <c r="C16" s="8" t="s">
        <v>47</v>
      </c>
      <c r="D16" s="12" t="s">
        <v>54</v>
      </c>
      <c r="E16" s="1"/>
      <c r="F16" s="1"/>
      <c r="G16" s="1"/>
      <c r="H16" s="1"/>
      <c r="I16" s="1"/>
      <c r="J16" s="1"/>
    </row>
  </sheetData>
  <mergeCells count="1">
    <mergeCell ref="A1:H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workbookViewId="0"/>
  </sheetViews>
  <sheetFormatPr defaultRowHeight="13.5"/>
  <cols>
    <col min="1" max="1" width="38.1875" customWidth="1"/>
    <col min="2" max="2" width="52.5625" customWidth="1"/>
    <col min="3" max="3" width="32.9375" customWidth="1"/>
    <col min="4" max="5" width="52.5625" customWidth="1"/>
    <col min="6" max="6" width="31.9375" customWidth="1"/>
    <col min="7" max="10" width="10.5625" customWidth="1"/>
  </cols>
  <sheetData>
    <row r="1" spans="1:10" ht="20" customHeight="1">
      <c r="A1" s="47" t="s">
        <v>55</v>
      </c>
      <c r="B1" s="47"/>
      <c r="C1" s="47"/>
      <c r="D1" s="47"/>
      <c r="E1" s="47"/>
      <c r="F1" s="48"/>
      <c r="G1" s="1"/>
      <c r="H1" s="1"/>
      <c r="I1" s="1"/>
      <c r="J1" s="1"/>
    </row>
    <row r="2" spans="1:10" ht="14.25">
      <c r="A2" s="2" t="s">
        <v>56</v>
      </c>
      <c r="B2" s="2" t="s">
        <v>42</v>
      </c>
      <c r="C2" s="2" t="s">
        <v>57</v>
      </c>
      <c r="D2" s="2" t="s">
        <v>58</v>
      </c>
      <c r="E2" s="2" t="s">
        <v>44</v>
      </c>
      <c r="F2" s="6" t="s">
        <v>59</v>
      </c>
      <c r="G2" s="1"/>
      <c r="H2" s="1"/>
      <c r="I2" s="1"/>
      <c r="J2" s="1"/>
    </row>
    <row r="3" spans="1:10" ht="14.25">
      <c r="A3" s="10" t="s">
        <v>60</v>
      </c>
      <c r="B3" s="15" t="s">
        <v>284</v>
      </c>
      <c r="C3" s="7" t="s">
        <v>61</v>
      </c>
      <c r="D3" s="7" t="s">
        <v>62</v>
      </c>
      <c r="E3" s="7" t="s">
        <v>285</v>
      </c>
      <c r="F3" s="13" t="s">
        <v>63</v>
      </c>
      <c r="G3" s="1"/>
      <c r="H3" s="1"/>
      <c r="I3" s="1"/>
      <c r="J3" s="1"/>
    </row>
    <row r="4" spans="1:10" ht="14.25">
      <c r="A4" s="10" t="s">
        <v>64</v>
      </c>
      <c r="B4" s="16" t="s">
        <v>250</v>
      </c>
      <c r="C4" s="7" t="s">
        <v>65</v>
      </c>
      <c r="D4" s="10" t="s">
        <v>66</v>
      </c>
      <c r="E4" s="10" t="s">
        <v>67</v>
      </c>
      <c r="F4" s="13" t="s">
        <v>63</v>
      </c>
      <c r="G4" s="1"/>
      <c r="H4" s="1"/>
      <c r="I4" s="1"/>
      <c r="J4" s="1"/>
    </row>
    <row r="5" spans="1:10" ht="14.25">
      <c r="A5" s="10" t="s">
        <v>68</v>
      </c>
      <c r="B5" s="16" t="s">
        <v>69</v>
      </c>
      <c r="C5" s="7" t="s">
        <v>70</v>
      </c>
      <c r="D5" s="7" t="s">
        <v>71</v>
      </c>
      <c r="E5" s="10" t="s">
        <v>72</v>
      </c>
      <c r="F5" s="13" t="s">
        <v>63</v>
      </c>
      <c r="G5" s="1"/>
      <c r="H5" s="1"/>
      <c r="I5" s="1"/>
      <c r="J5" s="1"/>
    </row>
    <row r="6" spans="1:10" ht="14.25">
      <c r="A6" s="10" t="s">
        <v>73</v>
      </c>
      <c r="B6" s="16" t="s">
        <v>286</v>
      </c>
      <c r="C6" s="7" t="s">
        <v>74</v>
      </c>
      <c r="D6" s="7" t="s">
        <v>62</v>
      </c>
      <c r="E6" s="7" t="s">
        <v>287</v>
      </c>
      <c r="F6" s="13" t="s">
        <v>63</v>
      </c>
      <c r="G6" s="1"/>
      <c r="H6" s="1"/>
      <c r="I6" s="1"/>
      <c r="J6" s="1"/>
    </row>
    <row r="7" spans="1:10" ht="14.25">
      <c r="A7" s="10" t="s">
        <v>75</v>
      </c>
      <c r="B7" s="18" t="s">
        <v>251</v>
      </c>
      <c r="C7" s="7" t="s">
        <v>76</v>
      </c>
      <c r="D7" s="7" t="s">
        <v>77</v>
      </c>
      <c r="E7" s="10" t="s">
        <v>78</v>
      </c>
      <c r="F7" s="13" t="s">
        <v>63</v>
      </c>
      <c r="G7" s="1"/>
      <c r="H7" s="1"/>
      <c r="I7" s="1"/>
      <c r="J7" s="1"/>
    </row>
    <row r="8" spans="1:10" ht="14.25">
      <c r="A8" s="10" t="s">
        <v>79</v>
      </c>
      <c r="B8" s="19">
        <v>19.43</v>
      </c>
      <c r="C8" s="7" t="s">
        <v>288</v>
      </c>
      <c r="D8" s="10" t="s">
        <v>252</v>
      </c>
      <c r="E8" s="10" t="s">
        <v>81</v>
      </c>
      <c r="F8" s="13" t="s">
        <v>63</v>
      </c>
      <c r="G8" s="1"/>
      <c r="H8" s="1"/>
      <c r="I8" s="1"/>
      <c r="J8" s="1"/>
    </row>
    <row r="9" spans="1:10" ht="14.25">
      <c r="A9" s="10" t="s">
        <v>82</v>
      </c>
      <c r="B9" s="19">
        <v>17.27</v>
      </c>
      <c r="C9" s="7" t="s">
        <v>288</v>
      </c>
      <c r="D9" s="7" t="s">
        <v>80</v>
      </c>
      <c r="E9" s="7" t="s">
        <v>83</v>
      </c>
      <c r="F9" s="13" t="s">
        <v>63</v>
      </c>
      <c r="G9" s="1"/>
      <c r="H9" s="1"/>
      <c r="I9" s="1"/>
      <c r="J9" s="1"/>
    </row>
    <row r="10" spans="1:10" ht="14.25">
      <c r="A10" s="10" t="s">
        <v>84</v>
      </c>
      <c r="B10" s="21">
        <v>20.29</v>
      </c>
      <c r="C10" s="7" t="s">
        <v>288</v>
      </c>
      <c r="D10" s="7" t="s">
        <v>80</v>
      </c>
      <c r="E10" s="7" t="s">
        <v>85</v>
      </c>
      <c r="F10" s="13" t="s">
        <v>63</v>
      </c>
      <c r="G10" s="1"/>
      <c r="H10" s="1"/>
      <c r="I10" s="1"/>
      <c r="J10" s="1"/>
    </row>
    <row r="11" spans="1:10" ht="28.5">
      <c r="A11" s="10" t="s">
        <v>86</v>
      </c>
      <c r="B11" s="16">
        <v>0.21149999999999999</v>
      </c>
      <c r="C11" s="7" t="s">
        <v>87</v>
      </c>
      <c r="D11" s="10" t="s">
        <v>253</v>
      </c>
      <c r="E11" s="10" t="s">
        <v>88</v>
      </c>
      <c r="F11" s="13" t="s">
        <v>63</v>
      </c>
      <c r="G11" s="1"/>
      <c r="H11" s="1"/>
      <c r="I11" s="1"/>
      <c r="J11" s="1"/>
    </row>
    <row r="12" spans="1:10" ht="28.5">
      <c r="A12" s="10" t="s">
        <v>89</v>
      </c>
      <c r="B12" s="16">
        <v>0.55000000000000004</v>
      </c>
      <c r="C12" s="7" t="s">
        <v>87</v>
      </c>
      <c r="D12" s="10" t="s">
        <v>289</v>
      </c>
      <c r="E12" s="10" t="s">
        <v>90</v>
      </c>
      <c r="F12" s="13" t="s">
        <v>63</v>
      </c>
      <c r="G12" s="1"/>
      <c r="H12" s="1"/>
      <c r="I12" s="1"/>
      <c r="J12" s="1"/>
    </row>
    <row r="13" spans="1:10" ht="14.25">
      <c r="A13" s="10" t="s">
        <v>91</v>
      </c>
      <c r="B13" s="23">
        <v>46298</v>
      </c>
      <c r="C13" s="7" t="s">
        <v>92</v>
      </c>
      <c r="D13" s="7" t="s">
        <v>62</v>
      </c>
      <c r="E13" s="10" t="s">
        <v>93</v>
      </c>
      <c r="F13" s="13" t="s">
        <v>63</v>
      </c>
      <c r="G13" s="1"/>
      <c r="H13" s="1"/>
      <c r="I13" s="1"/>
      <c r="J13" s="1"/>
    </row>
    <row r="14" spans="1:10" ht="14.25">
      <c r="A14" s="2" t="s">
        <v>94</v>
      </c>
      <c r="B14" s="2" t="s">
        <v>254</v>
      </c>
      <c r="C14" s="2" t="s">
        <v>95</v>
      </c>
      <c r="D14" s="2" t="s">
        <v>96</v>
      </c>
      <c r="E14" s="2" t="s">
        <v>97</v>
      </c>
      <c r="F14" s="6" t="s">
        <v>255</v>
      </c>
      <c r="G14" s="1"/>
      <c r="H14" s="1"/>
      <c r="I14" s="1"/>
      <c r="J14" s="1"/>
    </row>
    <row r="15" spans="1:10" ht="14.25">
      <c r="A15" s="10" t="s">
        <v>99</v>
      </c>
      <c r="B15" s="25">
        <v>5.0000000000000001E-3</v>
      </c>
      <c r="C15" s="25">
        <v>0.02</v>
      </c>
      <c r="D15" s="25">
        <v>0.03</v>
      </c>
      <c r="E15" s="27">
        <f>B9</f>
        <v>17.27</v>
      </c>
      <c r="F15" s="31">
        <v>3.1199999999999997</v>
      </c>
      <c r="G15" s="1"/>
      <c r="H15" s="1"/>
      <c r="I15" s="1"/>
      <c r="J15" s="1"/>
    </row>
    <row r="16" spans="1:10" ht="14.25">
      <c r="A16" s="10" t="s">
        <v>100</v>
      </c>
      <c r="B16" s="25">
        <v>1.4999999999999999E-2</v>
      </c>
      <c r="C16" s="25">
        <v>0.04</v>
      </c>
      <c r="D16" s="25">
        <v>0.05</v>
      </c>
      <c r="E16" s="27">
        <f>B8</f>
        <v>19.43</v>
      </c>
      <c r="F16" s="31">
        <v>5.1749999999999998</v>
      </c>
      <c r="G16" s="1"/>
      <c r="H16" s="1"/>
      <c r="I16" s="1"/>
      <c r="J16" s="1"/>
    </row>
    <row r="17" spans="1:10" ht="14.25">
      <c r="A17" s="11" t="s">
        <v>101</v>
      </c>
      <c r="B17" s="26">
        <v>0.04</v>
      </c>
      <c r="C17" s="26">
        <v>7.0000000000000007E-2</v>
      </c>
      <c r="D17" s="26">
        <v>0.08</v>
      </c>
      <c r="E17" s="28">
        <f>B10</f>
        <v>20.29</v>
      </c>
      <c r="F17" s="30">
        <v>7.35</v>
      </c>
      <c r="G17" s="1"/>
      <c r="H17" s="1"/>
      <c r="I17" s="1"/>
      <c r="J17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defaultRowHeight="13.5"/>
  <cols>
    <col min="1" max="1" width="34" customWidth="1"/>
    <col min="2" max="2" width="47.6875" customWidth="1"/>
    <col min="3" max="3" width="41.375" customWidth="1"/>
    <col min="4" max="4" width="26.6875" customWidth="1"/>
    <col min="5" max="5" width="38.1875" customWidth="1"/>
    <col min="6" max="6" width="52.5625" customWidth="1"/>
    <col min="7" max="7" width="25.625" customWidth="1"/>
    <col min="8" max="8" width="19.3125" customWidth="1"/>
    <col min="9" max="9" width="52.5625" customWidth="1"/>
    <col min="10" max="10" width="10.5625" customWidth="1"/>
  </cols>
  <sheetData>
    <row r="1" spans="1:10" ht="20" customHeight="1">
      <c r="A1" s="47" t="s">
        <v>102</v>
      </c>
      <c r="B1" s="47"/>
      <c r="C1" s="47"/>
      <c r="D1" s="47"/>
      <c r="E1" s="47"/>
      <c r="F1" s="47"/>
      <c r="G1" s="47"/>
      <c r="H1" s="47"/>
      <c r="I1" s="48"/>
      <c r="J1" s="1"/>
    </row>
    <row r="2" spans="1:10" ht="14.25">
      <c r="A2" s="2" t="s">
        <v>103</v>
      </c>
      <c r="B2" s="2" t="s">
        <v>104</v>
      </c>
      <c r="C2" s="2" t="s">
        <v>260</v>
      </c>
      <c r="D2" s="2" t="s">
        <v>131</v>
      </c>
      <c r="E2" s="2" t="s">
        <v>105</v>
      </c>
      <c r="F2" s="2" t="s">
        <v>261</v>
      </c>
      <c r="G2" s="2" t="s">
        <v>106</v>
      </c>
      <c r="H2" s="2" t="s">
        <v>107</v>
      </c>
      <c r="I2" s="6" t="s">
        <v>44</v>
      </c>
      <c r="J2" s="1"/>
    </row>
    <row r="3" spans="1:10" ht="28.5">
      <c r="A3" s="10" t="s">
        <v>113</v>
      </c>
      <c r="B3" s="7" t="s">
        <v>240</v>
      </c>
      <c r="C3" s="19">
        <v>742391</v>
      </c>
      <c r="D3" s="19">
        <v>0.25650000000000001</v>
      </c>
      <c r="E3" s="27">
        <f t="shared" ref="E3:E9" si="0">C3*D3</f>
        <v>190423.29149999999</v>
      </c>
      <c r="F3" s="19">
        <v>0.19600000000000001</v>
      </c>
      <c r="G3" s="27">
        <f t="shared" ref="G3:G9" si="1">E3*F3</f>
        <v>37322.965133999998</v>
      </c>
      <c r="H3" s="7" t="s">
        <v>109</v>
      </c>
      <c r="I3" s="14" t="s">
        <v>256</v>
      </c>
      <c r="J3" s="1"/>
    </row>
    <row r="4" spans="1:10" ht="28.5">
      <c r="A4" s="10" t="s">
        <v>108</v>
      </c>
      <c r="B4" s="10" t="s">
        <v>257</v>
      </c>
      <c r="C4" s="19">
        <v>864031</v>
      </c>
      <c r="D4" s="19">
        <v>0.1527</v>
      </c>
      <c r="E4" s="27">
        <f t="shared" si="0"/>
        <v>131937.5337</v>
      </c>
      <c r="F4" s="19">
        <v>0.22220000000000001</v>
      </c>
      <c r="G4" s="27">
        <f t="shared" si="1"/>
        <v>29316.51998814</v>
      </c>
      <c r="H4" s="7" t="s">
        <v>109</v>
      </c>
      <c r="I4" s="14" t="s">
        <v>256</v>
      </c>
      <c r="J4" s="1"/>
    </row>
    <row r="5" spans="1:10" ht="28.5">
      <c r="A5" s="10" t="s">
        <v>110</v>
      </c>
      <c r="B5" s="7" t="s">
        <v>240</v>
      </c>
      <c r="C5" s="19">
        <v>73495</v>
      </c>
      <c r="D5" s="19">
        <v>0.34439999999999998</v>
      </c>
      <c r="E5" s="27">
        <f t="shared" si="0"/>
        <v>25311.678</v>
      </c>
      <c r="F5" s="19">
        <v>0.15160000000000001</v>
      </c>
      <c r="G5" s="27">
        <f t="shared" si="1"/>
        <v>3837.2503848000001</v>
      </c>
      <c r="H5" s="7" t="s">
        <v>109</v>
      </c>
      <c r="I5" s="14" t="s">
        <v>256</v>
      </c>
      <c r="J5" s="1"/>
    </row>
    <row r="6" spans="1:10" ht="28.5">
      <c r="A6" s="10" t="s">
        <v>112</v>
      </c>
      <c r="B6" s="10" t="s">
        <v>290</v>
      </c>
      <c r="C6" s="19">
        <v>153183</v>
      </c>
      <c r="D6" s="19">
        <v>0.15909999999999999</v>
      </c>
      <c r="E6" s="27">
        <f t="shared" si="0"/>
        <v>24371.415299999997</v>
      </c>
      <c r="F6" s="19">
        <v>0.2467</v>
      </c>
      <c r="G6" s="27">
        <f t="shared" si="1"/>
        <v>6012.4281545099993</v>
      </c>
      <c r="H6" s="7" t="s">
        <v>109</v>
      </c>
      <c r="I6" s="14" t="s">
        <v>256</v>
      </c>
      <c r="J6" s="1"/>
    </row>
    <row r="7" spans="1:10" ht="28.5">
      <c r="A7" s="10" t="s">
        <v>111</v>
      </c>
      <c r="B7" s="10" t="s">
        <v>291</v>
      </c>
      <c r="C7" s="19">
        <v>57025</v>
      </c>
      <c r="D7" s="19">
        <v>0.30180000000000001</v>
      </c>
      <c r="E7" s="27">
        <f t="shared" si="0"/>
        <v>17210.145</v>
      </c>
      <c r="F7" s="19">
        <v>0.22969999999999999</v>
      </c>
      <c r="G7" s="27">
        <f t="shared" si="1"/>
        <v>3953.1703064999997</v>
      </c>
      <c r="H7" s="7" t="s">
        <v>109</v>
      </c>
      <c r="I7" s="14" t="s">
        <v>256</v>
      </c>
      <c r="J7" s="1"/>
    </row>
    <row r="8" spans="1:10" ht="28.5">
      <c r="A8" s="10" t="s">
        <v>258</v>
      </c>
      <c r="B8" s="7" t="s">
        <v>240</v>
      </c>
      <c r="C8" s="19">
        <v>51165</v>
      </c>
      <c r="D8" s="19">
        <v>0.34260000000000002</v>
      </c>
      <c r="E8" s="27">
        <f t="shared" si="0"/>
        <v>17529.129000000001</v>
      </c>
      <c r="F8" s="19">
        <v>0.22090000000000001</v>
      </c>
      <c r="G8" s="27">
        <f t="shared" si="1"/>
        <v>3872.1845961000004</v>
      </c>
      <c r="H8" s="7" t="s">
        <v>109</v>
      </c>
      <c r="I8" s="14" t="s">
        <v>256</v>
      </c>
      <c r="J8" s="1"/>
    </row>
    <row r="9" spans="1:10" ht="28.5">
      <c r="A9" s="10" t="s">
        <v>259</v>
      </c>
      <c r="B9" s="10" t="s">
        <v>292</v>
      </c>
      <c r="C9" s="19">
        <v>64643</v>
      </c>
      <c r="D9" s="19">
        <v>0.22389999999999999</v>
      </c>
      <c r="E9" s="27">
        <f t="shared" si="0"/>
        <v>14473.5677</v>
      </c>
      <c r="F9" s="19">
        <v>0.19839999999999999</v>
      </c>
      <c r="G9" s="28">
        <f t="shared" si="1"/>
        <v>2871.5558316799998</v>
      </c>
      <c r="H9" s="8" t="s">
        <v>109</v>
      </c>
      <c r="I9" s="12" t="s">
        <v>256</v>
      </c>
      <c r="J9" s="1"/>
    </row>
    <row r="10" spans="1:10" ht="14.25">
      <c r="A10" s="2" t="s">
        <v>7</v>
      </c>
      <c r="B10" s="2" t="s">
        <v>114</v>
      </c>
      <c r="C10" s="33" t="s">
        <v>42</v>
      </c>
      <c r="D10" s="33" t="s">
        <v>57</v>
      </c>
      <c r="E10" s="33" t="s">
        <v>44</v>
      </c>
      <c r="F10" s="39" t="s">
        <v>115</v>
      </c>
      <c r="G10" s="32"/>
      <c r="H10" s="1"/>
      <c r="I10" s="1"/>
      <c r="J10" s="1"/>
    </row>
    <row r="11" spans="1:10" ht="14.25">
      <c r="A11" s="10" t="s">
        <v>116</v>
      </c>
      <c r="B11" s="7" t="s">
        <v>117</v>
      </c>
      <c r="C11" s="27">
        <f>SUM(E3:E9)</f>
        <v>421256.76020000002</v>
      </c>
      <c r="D11" s="34" t="s">
        <v>118</v>
      </c>
      <c r="E11" s="37" t="s">
        <v>119</v>
      </c>
      <c r="F11" s="40" t="s">
        <v>120</v>
      </c>
      <c r="G11" s="32"/>
      <c r="H11" s="1"/>
      <c r="I11" s="1"/>
      <c r="J11" s="1"/>
    </row>
    <row r="12" spans="1:10" ht="14.25">
      <c r="A12" s="10" t="s">
        <v>121</v>
      </c>
      <c r="B12" s="7" t="s">
        <v>122</v>
      </c>
      <c r="C12" s="27">
        <f>SUM(G3:G9)</f>
        <v>87186.074395730015</v>
      </c>
      <c r="D12" s="34" t="s">
        <v>118</v>
      </c>
      <c r="E12" s="34" t="s">
        <v>123</v>
      </c>
      <c r="F12" s="40" t="s">
        <v>120</v>
      </c>
      <c r="G12" s="32"/>
      <c r="H12" s="1"/>
      <c r="I12" s="1"/>
      <c r="J12" s="1"/>
    </row>
    <row r="13" spans="1:10" ht="14.25">
      <c r="A13" s="11" t="s">
        <v>124</v>
      </c>
      <c r="B13" s="8" t="s">
        <v>125</v>
      </c>
      <c r="C13" s="28">
        <f>C12*12</f>
        <v>1046232.8927487602</v>
      </c>
      <c r="D13" s="35" t="s">
        <v>118</v>
      </c>
      <c r="E13" s="35" t="s">
        <v>126</v>
      </c>
      <c r="F13" s="36" t="s">
        <v>120</v>
      </c>
      <c r="G13" s="32"/>
      <c r="H13" s="1"/>
      <c r="I13" s="1"/>
      <c r="J13" s="1"/>
    </row>
  </sheetData>
  <mergeCells count="1">
    <mergeCell ref="A1:I1"/>
  </mergeCells>
  <dataValidations count="1">
    <dataValidation type="list" sqref="H3:H9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/>
  </sheetViews>
  <sheetFormatPr defaultRowHeight="13.5"/>
  <cols>
    <col min="1" max="1" width="50.8125" customWidth="1"/>
    <col min="2" max="3" width="36.125" customWidth="1"/>
    <col min="4" max="4" width="52.5625" customWidth="1"/>
    <col min="5" max="5" width="30.875" customWidth="1"/>
    <col min="6" max="6" width="25.625" customWidth="1"/>
    <col min="7" max="7" width="34" customWidth="1"/>
    <col min="8" max="8" width="15.125" customWidth="1"/>
    <col min="9" max="9" width="29.8125" customWidth="1"/>
    <col min="10" max="10" width="52.5625" customWidth="1"/>
  </cols>
  <sheetData>
    <row r="1" spans="1:10" ht="20" customHeight="1">
      <c r="A1" s="47" t="s">
        <v>127</v>
      </c>
      <c r="B1" s="47"/>
      <c r="C1" s="47"/>
      <c r="D1" s="47"/>
      <c r="E1" s="47"/>
      <c r="F1" s="47"/>
      <c r="G1" s="47"/>
      <c r="H1" s="47"/>
      <c r="I1" s="47"/>
      <c r="J1" s="48"/>
    </row>
    <row r="2" spans="1:10" ht="14.25">
      <c r="A2" s="2" t="s">
        <v>128</v>
      </c>
      <c r="B2" s="2" t="s">
        <v>129</v>
      </c>
      <c r="C2" s="2" t="s">
        <v>130</v>
      </c>
      <c r="D2" s="2" t="s">
        <v>131</v>
      </c>
      <c r="E2" s="2" t="s">
        <v>132</v>
      </c>
      <c r="F2" s="2" t="s">
        <v>106</v>
      </c>
      <c r="G2" s="2" t="s">
        <v>133</v>
      </c>
      <c r="H2" s="2" t="s">
        <v>97</v>
      </c>
      <c r="I2" s="2" t="s">
        <v>134</v>
      </c>
      <c r="J2" s="6" t="s">
        <v>44</v>
      </c>
    </row>
    <row r="3" spans="1:10" ht="14.25">
      <c r="A3" s="15" t="s">
        <v>262</v>
      </c>
      <c r="B3" s="16" t="s">
        <v>263</v>
      </c>
      <c r="C3" s="19">
        <v>154111</v>
      </c>
      <c r="D3" s="21">
        <v>0.26539999999999997</v>
      </c>
      <c r="E3" s="21">
        <v>0.29749999999999999</v>
      </c>
      <c r="F3" s="27">
        <f t="shared" ref="F3:F14" si="0">C3*D3*E3</f>
        <v>12168.065171499999</v>
      </c>
      <c r="G3" s="25">
        <v>2E-3</v>
      </c>
      <c r="H3" s="19">
        <v>100.58</v>
      </c>
      <c r="I3" s="27">
        <f t="shared" ref="I3:I14" si="1">F3*G3*H3</f>
        <v>2447.7279898989395</v>
      </c>
      <c r="J3" s="14" t="s">
        <v>264</v>
      </c>
    </row>
    <row r="4" spans="1:10" ht="14.25">
      <c r="A4" s="15" t="s">
        <v>265</v>
      </c>
      <c r="B4" s="16" t="s">
        <v>266</v>
      </c>
      <c r="C4" s="19">
        <v>35325</v>
      </c>
      <c r="D4" s="21">
        <v>0.4395</v>
      </c>
      <c r="E4" s="21">
        <v>0.68</v>
      </c>
      <c r="F4" s="27">
        <f t="shared" si="0"/>
        <v>10557.229500000001</v>
      </c>
      <c r="G4" s="25">
        <v>2E-3</v>
      </c>
      <c r="H4" s="19">
        <v>100.58</v>
      </c>
      <c r="I4" s="27">
        <f t="shared" si="1"/>
        <v>2123.6922862200004</v>
      </c>
      <c r="J4" s="14" t="s">
        <v>264</v>
      </c>
    </row>
    <row r="5" spans="1:10" ht="14.25">
      <c r="A5" s="15" t="s">
        <v>267</v>
      </c>
      <c r="B5" s="16" t="s">
        <v>268</v>
      </c>
      <c r="C5" s="19">
        <v>241737</v>
      </c>
      <c r="D5" s="21">
        <v>0.1091</v>
      </c>
      <c r="E5" s="21">
        <v>0.1275</v>
      </c>
      <c r="F5" s="27">
        <f t="shared" si="0"/>
        <v>3362.6221042500001</v>
      </c>
      <c r="G5" s="25">
        <v>2E-3</v>
      </c>
      <c r="H5" s="19">
        <v>100.58</v>
      </c>
      <c r="I5" s="27">
        <f t="shared" si="1"/>
        <v>676.42506249093003</v>
      </c>
      <c r="J5" s="14" t="s">
        <v>264</v>
      </c>
    </row>
    <row r="6" spans="1:10" ht="14.25">
      <c r="A6" s="15" t="s">
        <v>269</v>
      </c>
      <c r="B6" s="16" t="s">
        <v>268</v>
      </c>
      <c r="C6" s="19">
        <v>202178</v>
      </c>
      <c r="D6" s="21">
        <v>0.16220000000000001</v>
      </c>
      <c r="E6" s="21">
        <v>0.255</v>
      </c>
      <c r="F6" s="27">
        <f t="shared" si="0"/>
        <v>8362.2842579999997</v>
      </c>
      <c r="G6" s="25">
        <v>2E-3</v>
      </c>
      <c r="H6" s="19">
        <v>100.58</v>
      </c>
      <c r="I6" s="27">
        <f t="shared" si="1"/>
        <v>1682.1571013392797</v>
      </c>
      <c r="J6" s="14" t="s">
        <v>264</v>
      </c>
    </row>
    <row r="7" spans="1:10" ht="14.25">
      <c r="A7" s="15" t="s">
        <v>270</v>
      </c>
      <c r="B7" s="16" t="s">
        <v>266</v>
      </c>
      <c r="C7" s="19">
        <v>14688</v>
      </c>
      <c r="D7" s="21">
        <v>0.95979999999999999</v>
      </c>
      <c r="E7" s="21">
        <v>0.4</v>
      </c>
      <c r="F7" s="27">
        <f t="shared" si="0"/>
        <v>5639.0169600000008</v>
      </c>
      <c r="G7" s="25">
        <v>2E-3</v>
      </c>
      <c r="H7" s="19">
        <v>100.58</v>
      </c>
      <c r="I7" s="27">
        <f t="shared" si="1"/>
        <v>1134.3446516736003</v>
      </c>
      <c r="J7" s="14" t="s">
        <v>264</v>
      </c>
    </row>
    <row r="8" spans="1:10" ht="14.25">
      <c r="A8" s="15" t="s">
        <v>271</v>
      </c>
      <c r="B8" s="16" t="s">
        <v>266</v>
      </c>
      <c r="C8" s="19">
        <v>17824</v>
      </c>
      <c r="D8" s="21">
        <v>0.58709999999999996</v>
      </c>
      <c r="E8" s="21">
        <v>0.64</v>
      </c>
      <c r="F8" s="27">
        <f t="shared" si="0"/>
        <v>6697.2610559999994</v>
      </c>
      <c r="G8" s="25">
        <v>2E-3</v>
      </c>
      <c r="H8" s="19">
        <v>100.58</v>
      </c>
      <c r="I8" s="27">
        <f t="shared" si="1"/>
        <v>1347.2210340249599</v>
      </c>
      <c r="J8" s="14" t="s">
        <v>264</v>
      </c>
    </row>
    <row r="9" spans="1:10" ht="14.25">
      <c r="A9" s="15" t="s">
        <v>272</v>
      </c>
      <c r="B9" s="16" t="s">
        <v>268</v>
      </c>
      <c r="C9" s="19">
        <v>292214</v>
      </c>
      <c r="D9" s="21">
        <v>9.6499999999999989E-2</v>
      </c>
      <c r="E9" s="21">
        <v>0.24</v>
      </c>
      <c r="F9" s="27">
        <f t="shared" si="0"/>
        <v>6767.6762399999989</v>
      </c>
      <c r="G9" s="25">
        <v>2E-3</v>
      </c>
      <c r="H9" s="19">
        <v>100.58</v>
      </c>
      <c r="I9" s="27">
        <f t="shared" si="1"/>
        <v>1361.3857524383998</v>
      </c>
      <c r="J9" s="14" t="s">
        <v>264</v>
      </c>
    </row>
    <row r="10" spans="1:10" ht="14.25">
      <c r="A10" s="15" t="s">
        <v>273</v>
      </c>
      <c r="B10" s="16" t="s">
        <v>268</v>
      </c>
      <c r="C10" s="19">
        <v>116617</v>
      </c>
      <c r="D10" s="21">
        <v>0.18229999999999999</v>
      </c>
      <c r="E10" s="21">
        <v>0.21249999999999999</v>
      </c>
      <c r="F10" s="27">
        <f t="shared" si="0"/>
        <v>4517.5968087499996</v>
      </c>
      <c r="G10" s="25">
        <v>2E-3</v>
      </c>
      <c r="H10" s="19">
        <v>100.58</v>
      </c>
      <c r="I10" s="27">
        <f t="shared" si="1"/>
        <v>908.75977404814989</v>
      </c>
      <c r="J10" s="14" t="s">
        <v>264</v>
      </c>
    </row>
    <row r="11" spans="1:10" ht="14.25">
      <c r="A11" s="15" t="s">
        <v>274</v>
      </c>
      <c r="B11" s="16" t="s">
        <v>268</v>
      </c>
      <c r="C11" s="19">
        <v>222359</v>
      </c>
      <c r="D11" s="21">
        <v>0.76359999999999995</v>
      </c>
      <c r="E11" s="21">
        <v>0.13500000000000001</v>
      </c>
      <c r="F11" s="27">
        <f t="shared" si="0"/>
        <v>22922.099874</v>
      </c>
      <c r="G11" s="25">
        <v>2E-3</v>
      </c>
      <c r="H11" s="19">
        <v>100.58</v>
      </c>
      <c r="I11" s="27">
        <f t="shared" si="1"/>
        <v>4611.0096106538404</v>
      </c>
      <c r="J11" s="14" t="s">
        <v>264</v>
      </c>
    </row>
    <row r="12" spans="1:10" ht="14.25">
      <c r="A12" s="15" t="s">
        <v>275</v>
      </c>
      <c r="B12" s="16" t="s">
        <v>268</v>
      </c>
      <c r="C12" s="19">
        <v>701540</v>
      </c>
      <c r="D12" s="21">
        <v>8.199999999999999E-2</v>
      </c>
      <c r="E12" s="21">
        <v>8.5000000000000006E-2</v>
      </c>
      <c r="F12" s="27">
        <f t="shared" si="0"/>
        <v>4889.7338</v>
      </c>
      <c r="G12" s="25">
        <v>2E-3</v>
      </c>
      <c r="H12" s="19">
        <v>100.58</v>
      </c>
      <c r="I12" s="27">
        <f t="shared" si="1"/>
        <v>983.61885120800002</v>
      </c>
      <c r="J12" s="14" t="s">
        <v>264</v>
      </c>
    </row>
    <row r="13" spans="1:10" ht="14.25">
      <c r="A13" s="15" t="s">
        <v>276</v>
      </c>
      <c r="B13" s="16" t="s">
        <v>266</v>
      </c>
      <c r="C13" s="19">
        <v>1935</v>
      </c>
      <c r="D13" s="21">
        <v>0.89460000000000006</v>
      </c>
      <c r="E13" s="21">
        <v>0.48</v>
      </c>
      <c r="F13" s="27">
        <f t="shared" si="0"/>
        <v>830.90448000000004</v>
      </c>
      <c r="G13" s="25">
        <v>2E-3</v>
      </c>
      <c r="H13" s="19">
        <v>100.58</v>
      </c>
      <c r="I13" s="27">
        <f t="shared" si="1"/>
        <v>167.14474519680002</v>
      </c>
      <c r="J13" s="14" t="s">
        <v>264</v>
      </c>
    </row>
    <row r="14" spans="1:10" ht="14.25">
      <c r="A14" s="15" t="s">
        <v>277</v>
      </c>
      <c r="B14" s="16" t="s">
        <v>263</v>
      </c>
      <c r="C14" s="19">
        <v>5522</v>
      </c>
      <c r="D14" s="21">
        <v>0.47520000000000001</v>
      </c>
      <c r="E14" s="22">
        <v>0.18</v>
      </c>
      <c r="F14" s="28">
        <f t="shared" si="0"/>
        <v>472.329792</v>
      </c>
      <c r="G14" s="26">
        <v>2E-3</v>
      </c>
      <c r="H14" s="20">
        <v>100.58</v>
      </c>
      <c r="I14" s="28">
        <f t="shared" si="1"/>
        <v>95.013860958720002</v>
      </c>
      <c r="J14" s="12" t="s">
        <v>264</v>
      </c>
    </row>
    <row r="15" spans="1:10" ht="14.25">
      <c r="A15" s="2" t="s">
        <v>135</v>
      </c>
      <c r="B15" s="2" t="s">
        <v>114</v>
      </c>
      <c r="C15" s="33" t="s">
        <v>42</v>
      </c>
      <c r="D15" s="6" t="s">
        <v>44</v>
      </c>
      <c r="E15" s="1"/>
      <c r="F15" s="32"/>
      <c r="G15" s="1"/>
      <c r="H15" s="32"/>
      <c r="I15" s="32"/>
      <c r="J15" s="1"/>
    </row>
    <row r="16" spans="1:10" ht="14.25">
      <c r="A16" s="10" t="s">
        <v>136</v>
      </c>
      <c r="B16" s="7" t="s">
        <v>137</v>
      </c>
      <c r="C16" s="27">
        <f>SUM(F3:F14)</f>
        <v>87186.820044499997</v>
      </c>
      <c r="D16" s="14" t="s">
        <v>138</v>
      </c>
      <c r="E16" s="1"/>
      <c r="F16" s="32"/>
      <c r="G16" s="1"/>
      <c r="H16" s="32"/>
      <c r="I16" s="32"/>
      <c r="J16" s="1"/>
    </row>
    <row r="17" spans="1:10" ht="14.25">
      <c r="A17" s="10" t="s">
        <v>139</v>
      </c>
      <c r="B17" s="7" t="s">
        <v>140</v>
      </c>
      <c r="C17" s="27">
        <f>C16/'01_Параметры'!B12</f>
        <v>158521.49098999999</v>
      </c>
      <c r="D17" s="14" t="s">
        <v>141</v>
      </c>
      <c r="E17" s="1"/>
      <c r="F17" s="32"/>
      <c r="G17" s="1"/>
      <c r="H17" s="32"/>
      <c r="I17" s="32"/>
      <c r="J17" s="1"/>
    </row>
    <row r="18" spans="1:10" ht="14.25">
      <c r="A18" s="10" t="s">
        <v>142</v>
      </c>
      <c r="B18" s="7" t="s">
        <v>143</v>
      </c>
      <c r="C18" s="27">
        <f>SUM(I3:I14)</f>
        <v>17538.50072015162</v>
      </c>
      <c r="D18" s="14" t="s">
        <v>144</v>
      </c>
      <c r="E18" s="1"/>
      <c r="F18" s="32"/>
      <c r="G18" s="1"/>
      <c r="H18" s="32"/>
      <c r="I18" s="32"/>
      <c r="J18" s="1"/>
    </row>
    <row r="19" spans="1:10" ht="14.25">
      <c r="A19" s="11" t="s">
        <v>145</v>
      </c>
      <c r="B19" s="11" t="s">
        <v>146</v>
      </c>
      <c r="C19" s="28">
        <f>C18/'01_Параметры'!B12*12</f>
        <v>382658.19753058074</v>
      </c>
      <c r="D19" s="12" t="s">
        <v>147</v>
      </c>
      <c r="E19" s="1"/>
      <c r="F19" s="32"/>
      <c r="G19" s="1"/>
      <c r="H19" s="32"/>
      <c r="I19" s="32"/>
      <c r="J19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2"/>
  <sheetViews>
    <sheetView workbookViewId="0"/>
  </sheetViews>
  <sheetFormatPr defaultRowHeight="13.5"/>
  <cols>
    <col min="1" max="1" width="52.5625" customWidth="1"/>
    <col min="2" max="2" width="14.0625" customWidth="1"/>
    <col min="3" max="3" width="10.9375" customWidth="1"/>
    <col min="4" max="4" width="17.1875" customWidth="1"/>
    <col min="5" max="5" width="52.5625" customWidth="1"/>
    <col min="6" max="10" width="10.5625" customWidth="1"/>
  </cols>
  <sheetData>
    <row r="1" spans="1:10" ht="20" customHeight="1">
      <c r="A1" s="47" t="s">
        <v>148</v>
      </c>
      <c r="B1" s="47"/>
      <c r="C1" s="47"/>
      <c r="D1" s="47"/>
      <c r="E1" s="48"/>
      <c r="F1" s="1"/>
      <c r="G1" s="1"/>
      <c r="H1" s="1"/>
      <c r="I1" s="1"/>
      <c r="J1" s="1"/>
    </row>
    <row r="2" spans="1:10" ht="14.25">
      <c r="A2" s="2" t="s">
        <v>135</v>
      </c>
      <c r="B2" s="2" t="s">
        <v>99</v>
      </c>
      <c r="C2" s="2" t="s">
        <v>100</v>
      </c>
      <c r="D2" s="2" t="s">
        <v>101</v>
      </c>
      <c r="E2" s="6" t="s">
        <v>44</v>
      </c>
      <c r="F2" s="1"/>
      <c r="G2" s="1"/>
      <c r="H2" s="1"/>
      <c r="I2" s="1"/>
      <c r="J2" s="1"/>
    </row>
    <row r="3" spans="1:10" ht="28.5">
      <c r="A3" s="10" t="s">
        <v>278</v>
      </c>
      <c r="B3" s="27">
        <f>'03_Конкуренты_SW'!C17</f>
        <v>158521.49098999999</v>
      </c>
      <c r="C3" s="27">
        <f>'03_Конкуренты_SW'!C17</f>
        <v>158521.49098999999</v>
      </c>
      <c r="D3" s="27">
        <f>'03_Конкуренты_SW'!C17</f>
        <v>158521.49098999999</v>
      </c>
      <c r="E3" s="14" t="s">
        <v>293</v>
      </c>
      <c r="F3" s="1"/>
      <c r="G3" s="1"/>
      <c r="H3" s="1"/>
      <c r="I3" s="1"/>
      <c r="J3" s="1"/>
    </row>
    <row r="4" spans="1:10" ht="14.25">
      <c r="A4" s="10" t="s">
        <v>149</v>
      </c>
      <c r="B4" s="41">
        <f>'01_Параметры'!B15</f>
        <v>5.0000000000000001E-3</v>
      </c>
      <c r="C4" s="41">
        <f>'01_Параметры'!B16</f>
        <v>1.4999999999999999E-2</v>
      </c>
      <c r="D4" s="41">
        <f>'01_Параметры'!B17</f>
        <v>0.04</v>
      </c>
      <c r="E4" s="13" t="s">
        <v>150</v>
      </c>
      <c r="F4" s="1"/>
      <c r="G4" s="1"/>
      <c r="H4" s="1"/>
      <c r="I4" s="1"/>
      <c r="J4" s="1"/>
    </row>
    <row r="5" spans="1:10" ht="14.25">
      <c r="A5" s="10" t="s">
        <v>151</v>
      </c>
      <c r="B5" s="27">
        <f>B3*B4</f>
        <v>792.60745494999992</v>
      </c>
      <c r="C5" s="27">
        <f>C3*C4</f>
        <v>2377.8223648499998</v>
      </c>
      <c r="D5" s="27">
        <f>D3*D4</f>
        <v>6340.8596395999994</v>
      </c>
      <c r="E5" s="14" t="s">
        <v>152</v>
      </c>
      <c r="F5" s="1"/>
      <c r="G5" s="1"/>
      <c r="H5" s="1"/>
      <c r="I5" s="1"/>
      <c r="J5" s="1"/>
    </row>
    <row r="6" spans="1:10" ht="14.25">
      <c r="A6" s="10" t="s">
        <v>95</v>
      </c>
      <c r="B6" s="42">
        <f>'01_Параметры'!C15</f>
        <v>0.02</v>
      </c>
      <c r="C6" s="42">
        <f>'01_Параметры'!C16</f>
        <v>0.04</v>
      </c>
      <c r="D6" s="42">
        <f>'01_Параметры'!C17</f>
        <v>7.0000000000000007E-2</v>
      </c>
      <c r="E6" s="13" t="s">
        <v>150</v>
      </c>
      <c r="F6" s="1"/>
      <c r="G6" s="1"/>
      <c r="H6" s="1"/>
      <c r="I6" s="1"/>
      <c r="J6" s="1"/>
    </row>
    <row r="7" spans="1:10" ht="14.25">
      <c r="A7" s="10" t="s">
        <v>153</v>
      </c>
      <c r="B7" s="27">
        <f>B5*B6</f>
        <v>15.852149098999998</v>
      </c>
      <c r="C7" s="27">
        <f>C5*C6</f>
        <v>95.112894593999997</v>
      </c>
      <c r="D7" s="27">
        <f>D5*D6</f>
        <v>443.86017477199999</v>
      </c>
      <c r="E7" s="14" t="s">
        <v>154</v>
      </c>
      <c r="F7" s="1"/>
      <c r="G7" s="1"/>
      <c r="H7" s="1"/>
      <c r="I7" s="1"/>
      <c r="J7" s="1"/>
    </row>
    <row r="8" spans="1:10" ht="14.25">
      <c r="A8" s="10" t="s">
        <v>96</v>
      </c>
      <c r="B8" s="42">
        <f>'01_Параметры'!D15</f>
        <v>0.03</v>
      </c>
      <c r="C8" s="42">
        <f>'01_Параметры'!D16</f>
        <v>0.05</v>
      </c>
      <c r="D8" s="42">
        <f>'01_Параметры'!D17</f>
        <v>0.08</v>
      </c>
      <c r="E8" s="13" t="s">
        <v>150</v>
      </c>
      <c r="F8" s="1"/>
      <c r="G8" s="1"/>
      <c r="H8" s="1"/>
      <c r="I8" s="1"/>
      <c r="J8" s="1"/>
    </row>
    <row r="9" spans="1:10" ht="14.25">
      <c r="A9" s="10" t="s">
        <v>155</v>
      </c>
      <c r="B9" s="27">
        <f>B7*B8</f>
        <v>0.47556447296999993</v>
      </c>
      <c r="C9" s="27">
        <f>C7*C8</f>
        <v>4.7556447297000002</v>
      </c>
      <c r="D9" s="27">
        <f>D7*D8</f>
        <v>35.508813981759999</v>
      </c>
      <c r="E9" s="14" t="s">
        <v>156</v>
      </c>
      <c r="F9" s="1"/>
      <c r="G9" s="1"/>
      <c r="H9" s="1"/>
      <c r="I9" s="1"/>
      <c r="J9" s="1"/>
    </row>
    <row r="10" spans="1:10" ht="14.25">
      <c r="A10" s="10" t="s">
        <v>97</v>
      </c>
      <c r="B10" s="27">
        <f>'01_Параметры'!E15</f>
        <v>17.27</v>
      </c>
      <c r="C10" s="27">
        <f>'01_Параметры'!E16</f>
        <v>19.43</v>
      </c>
      <c r="D10" s="27">
        <f>'01_Параметры'!E17</f>
        <v>20.29</v>
      </c>
      <c r="E10" s="13" t="s">
        <v>157</v>
      </c>
      <c r="F10" s="1"/>
      <c r="G10" s="1"/>
      <c r="H10" s="1"/>
      <c r="I10" s="1"/>
      <c r="J10" s="1"/>
    </row>
    <row r="11" spans="1:10" ht="14.25">
      <c r="A11" s="10" t="s">
        <v>158</v>
      </c>
      <c r="B11" s="27">
        <f>B9*B10</f>
        <v>8.2129984481918985</v>
      </c>
      <c r="C11" s="27">
        <f>C9*C10</f>
        <v>92.402177098071007</v>
      </c>
      <c r="D11" s="27">
        <f>D9*D10</f>
        <v>720.4738356899104</v>
      </c>
      <c r="E11" s="13" t="s">
        <v>159</v>
      </c>
      <c r="F11" s="1"/>
      <c r="G11" s="1"/>
      <c r="H11" s="1"/>
      <c r="I11" s="1"/>
      <c r="J11" s="1"/>
    </row>
    <row r="12" spans="1:10" ht="14.25">
      <c r="A12" s="11" t="s">
        <v>160</v>
      </c>
      <c r="B12" s="28">
        <f>B11*12</f>
        <v>98.555981378302789</v>
      </c>
      <c r="C12" s="28">
        <f>C11*12</f>
        <v>1108.8261251768522</v>
      </c>
      <c r="D12" s="28">
        <f>D11*12</f>
        <v>8645.6860282789239</v>
      </c>
      <c r="E12" s="9" t="s">
        <v>161</v>
      </c>
      <c r="F12" s="1"/>
      <c r="G12" s="1"/>
      <c r="H12" s="1"/>
      <c r="I12" s="1"/>
      <c r="J12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workbookViewId="0"/>
  </sheetViews>
  <sheetFormatPr defaultRowHeight="13.5"/>
  <cols>
    <col min="1" max="1" width="32.9375" customWidth="1"/>
    <col min="2" max="2" width="29.8125" customWidth="1"/>
    <col min="3" max="3" width="15.125" customWidth="1"/>
    <col min="4" max="4" width="42.4375" customWidth="1"/>
    <col min="5" max="5" width="16.1875" customWidth="1"/>
    <col min="6" max="6" width="15.125" customWidth="1"/>
    <col min="7" max="7" width="52.5625" customWidth="1"/>
    <col min="8" max="10" width="10.5625" customWidth="1"/>
  </cols>
  <sheetData>
    <row r="1" spans="1:10" ht="20" customHeight="1">
      <c r="A1" s="47" t="s">
        <v>162</v>
      </c>
      <c r="B1" s="47"/>
      <c r="C1" s="47"/>
      <c r="D1" s="47"/>
      <c r="E1" s="47"/>
      <c r="F1" s="47"/>
      <c r="G1" s="48"/>
      <c r="H1" s="1"/>
      <c r="I1" s="1"/>
      <c r="J1" s="1"/>
    </row>
    <row r="2" spans="1:10" ht="14.25">
      <c r="A2" s="2" t="s">
        <v>94</v>
      </c>
      <c r="B2" s="2" t="s">
        <v>163</v>
      </c>
      <c r="C2" s="2" t="s">
        <v>164</v>
      </c>
      <c r="D2" s="2" t="s">
        <v>165</v>
      </c>
      <c r="E2" s="2" t="s">
        <v>166</v>
      </c>
      <c r="F2" s="2" t="s">
        <v>167</v>
      </c>
      <c r="G2" s="6" t="s">
        <v>168</v>
      </c>
      <c r="H2" s="1"/>
      <c r="I2" s="1"/>
      <c r="J2" s="1"/>
    </row>
    <row r="3" spans="1:10" ht="14.25">
      <c r="A3" s="10" t="s">
        <v>99</v>
      </c>
      <c r="B3" s="27">
        <f>'04_Воронка'!B5</f>
        <v>792.60745494999992</v>
      </c>
      <c r="C3" s="27">
        <f>'04_Воронка'!B7</f>
        <v>15.852149098999998</v>
      </c>
      <c r="D3" s="27">
        <f>'04_Воронка'!B9</f>
        <v>0.47556447296999993</v>
      </c>
      <c r="E3" s="27">
        <f>'04_Воронка'!B11</f>
        <v>8.2129984481918985</v>
      </c>
      <c r="F3" s="27">
        <f>'04_Воронка'!B12</f>
        <v>98.555981378302789</v>
      </c>
      <c r="G3" s="43" t="s">
        <v>169</v>
      </c>
      <c r="H3" s="1"/>
      <c r="I3" s="1"/>
      <c r="J3" s="1"/>
    </row>
    <row r="4" spans="1:10" ht="28.5">
      <c r="A4" s="10" t="s">
        <v>100</v>
      </c>
      <c r="B4" s="27">
        <f>'04_Воронка'!C5</f>
        <v>2377.8223648499998</v>
      </c>
      <c r="C4" s="27">
        <f>'04_Воронка'!C7</f>
        <v>95.112894593999997</v>
      </c>
      <c r="D4" s="27">
        <f>'04_Воронка'!C9</f>
        <v>4.7556447297000002</v>
      </c>
      <c r="E4" s="27">
        <f>'04_Воронка'!C11</f>
        <v>92.402177098071007</v>
      </c>
      <c r="F4" s="27">
        <f>'04_Воронка'!C12</f>
        <v>1108.8261251768522</v>
      </c>
      <c r="G4" s="43" t="s">
        <v>170</v>
      </c>
      <c r="H4" s="1"/>
      <c r="I4" s="1"/>
      <c r="J4" s="1"/>
    </row>
    <row r="5" spans="1:10" ht="14.25">
      <c r="A5" s="10" t="s">
        <v>101</v>
      </c>
      <c r="B5" s="27">
        <f>'04_Воронка'!D5</f>
        <v>6340.8596395999994</v>
      </c>
      <c r="C5" s="27">
        <f>'04_Воронка'!D7</f>
        <v>443.86017477199999</v>
      </c>
      <c r="D5" s="27">
        <f>'04_Воронка'!D9</f>
        <v>35.508813981759999</v>
      </c>
      <c r="E5" s="28">
        <f>'04_Воронка'!D11</f>
        <v>720.4738356899104</v>
      </c>
      <c r="F5" s="28">
        <f>'04_Воронка'!D12</f>
        <v>8645.6860282789239</v>
      </c>
      <c r="G5" s="5" t="s">
        <v>171</v>
      </c>
      <c r="H5" s="1"/>
      <c r="I5" s="1"/>
      <c r="J5" s="1"/>
    </row>
    <row r="6" spans="1:10" ht="14.25">
      <c r="A6" s="2" t="s">
        <v>135</v>
      </c>
      <c r="B6" s="33" t="s">
        <v>114</v>
      </c>
      <c r="C6" s="33" t="s">
        <v>42</v>
      </c>
      <c r="D6" s="39" t="s">
        <v>44</v>
      </c>
      <c r="E6" s="32"/>
      <c r="F6" s="32"/>
      <c r="G6" s="1"/>
      <c r="H6" s="1"/>
      <c r="I6" s="1"/>
      <c r="J6" s="1"/>
    </row>
    <row r="7" spans="1:10" ht="14.25">
      <c r="A7" s="10" t="s">
        <v>172</v>
      </c>
      <c r="B7" s="34" t="s">
        <v>173</v>
      </c>
      <c r="C7" s="27">
        <f>MIN(F3:F5)</f>
        <v>98.555981378302789</v>
      </c>
      <c r="D7" s="44" t="s">
        <v>174</v>
      </c>
      <c r="E7" s="32"/>
      <c r="F7" s="32"/>
      <c r="G7" s="1"/>
      <c r="H7" s="1"/>
      <c r="I7" s="1"/>
      <c r="J7" s="1"/>
    </row>
    <row r="8" spans="1:10" ht="14.25">
      <c r="A8" s="10" t="s">
        <v>175</v>
      </c>
      <c r="B8" s="34" t="s">
        <v>176</v>
      </c>
      <c r="C8" s="27">
        <f>F4</f>
        <v>1108.8261251768522</v>
      </c>
      <c r="D8" s="44" t="s">
        <v>177</v>
      </c>
      <c r="E8" s="32"/>
      <c r="F8" s="32"/>
      <c r="G8" s="1"/>
      <c r="H8" s="1"/>
      <c r="I8" s="1"/>
      <c r="J8" s="1"/>
    </row>
    <row r="9" spans="1:10" ht="14.25">
      <c r="A9" s="10" t="s">
        <v>178</v>
      </c>
      <c r="B9" s="34" t="s">
        <v>179</v>
      </c>
      <c r="C9" s="27">
        <f>MAX(F3:F5)</f>
        <v>8645.6860282789239</v>
      </c>
      <c r="D9" s="44" t="s">
        <v>180</v>
      </c>
      <c r="E9" s="32"/>
      <c r="F9" s="32"/>
      <c r="G9" s="1"/>
      <c r="H9" s="1"/>
      <c r="I9" s="1"/>
      <c r="J9" s="1"/>
    </row>
    <row r="10" spans="1:10" ht="14.25">
      <c r="A10" s="11" t="s">
        <v>181</v>
      </c>
      <c r="B10" s="35" t="s">
        <v>182</v>
      </c>
      <c r="C10" s="28">
        <f>C9-C7</f>
        <v>8547.1300469006219</v>
      </c>
      <c r="D10" s="38" t="s">
        <v>183</v>
      </c>
      <c r="E10" s="32"/>
      <c r="F10" s="32"/>
      <c r="G10" s="1"/>
      <c r="H10" s="1"/>
      <c r="I10" s="1"/>
      <c r="J10" s="1"/>
    </row>
  </sheetData>
  <mergeCells count="1">
    <mergeCell ref="A1:G1"/>
  </mergeCells>
  <conditionalFormatting sqref="F3:F5">
    <cfRule type="dataBar" priority="1">
      <dataBar>
        <cfvo type="min"/>
        <cfvo type="max"/>
        <color rgb="FF5B9BD5"/>
      </dataBar>
    </cfRule>
  </conditionalFormatting>
  <conditionalFormatting sqref="F3:F5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F3:F5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"/>
  <sheetViews>
    <sheetView workbookViewId="0"/>
  </sheetViews>
  <sheetFormatPr defaultRowHeight="13.5"/>
  <cols>
    <col min="1" max="1" width="39.25" customWidth="1"/>
    <col min="2" max="2" width="16.1875" customWidth="1"/>
    <col min="3" max="3" width="15.125" customWidth="1"/>
    <col min="4" max="4" width="27.6875" customWidth="1"/>
    <col min="5" max="5" width="38.1875" customWidth="1"/>
    <col min="6" max="6" width="36.125" customWidth="1"/>
    <col min="7" max="7" width="52.5625" customWidth="1"/>
    <col min="8" max="10" width="10.5625" customWidth="1"/>
  </cols>
  <sheetData>
    <row r="1" spans="1:10" ht="20" customHeight="1">
      <c r="A1" s="47" t="s">
        <v>184</v>
      </c>
      <c r="B1" s="47"/>
      <c r="C1" s="47"/>
      <c r="D1" s="47"/>
      <c r="E1" s="47"/>
      <c r="F1" s="47"/>
      <c r="G1" s="48"/>
      <c r="H1" s="1"/>
      <c r="I1" s="1"/>
      <c r="J1" s="1"/>
    </row>
    <row r="2" spans="1:10" ht="14.25">
      <c r="A2" s="2" t="s">
        <v>94</v>
      </c>
      <c r="B2" s="2" t="s">
        <v>165</v>
      </c>
      <c r="C2" s="2" t="s">
        <v>97</v>
      </c>
      <c r="D2" s="2" t="s">
        <v>98</v>
      </c>
      <c r="E2" s="2" t="s">
        <v>185</v>
      </c>
      <c r="F2" s="2" t="s">
        <v>186</v>
      </c>
      <c r="G2" s="6" t="s">
        <v>44</v>
      </c>
      <c r="H2" s="1"/>
      <c r="I2" s="1"/>
      <c r="J2" s="1"/>
    </row>
    <row r="3" spans="1:10" ht="14.25">
      <c r="A3" s="10" t="s">
        <v>99</v>
      </c>
      <c r="B3" s="27">
        <f>'04_Воронка'!B9</f>
        <v>0.47556447296999993</v>
      </c>
      <c r="C3" s="27">
        <f>'04_Воронка'!B10</f>
        <v>17.27</v>
      </c>
      <c r="D3" s="27">
        <f>'01_Параметры'!F15</f>
        <v>3.1199999999999997</v>
      </c>
      <c r="E3" s="27">
        <f>B3*C3*D3*12</f>
        <v>307.49466190030466</v>
      </c>
      <c r="F3" s="27">
        <f>C3*D3</f>
        <v>53.88239999999999</v>
      </c>
      <c r="G3" s="43" t="s">
        <v>187</v>
      </c>
      <c r="H3" s="1"/>
      <c r="I3" s="1"/>
      <c r="J3" s="1"/>
    </row>
    <row r="4" spans="1:10" ht="14.25">
      <c r="A4" s="10" t="s">
        <v>100</v>
      </c>
      <c r="B4" s="27">
        <f>'04_Воронка'!C9</f>
        <v>4.7556447297000002</v>
      </c>
      <c r="C4" s="27">
        <f>'04_Воронка'!C10</f>
        <v>19.43</v>
      </c>
      <c r="D4" s="27">
        <f>'01_Параметры'!F16</f>
        <v>5.1749999999999998</v>
      </c>
      <c r="E4" s="27">
        <f>B4*C4*D4*12</f>
        <v>5738.1751977902095</v>
      </c>
      <c r="F4" s="27">
        <f>C4*D4</f>
        <v>100.55024999999999</v>
      </c>
      <c r="G4" s="43" t="s">
        <v>188</v>
      </c>
      <c r="H4" s="1"/>
      <c r="I4" s="1"/>
      <c r="J4" s="1"/>
    </row>
    <row r="5" spans="1:10" ht="14.25">
      <c r="A5" s="10" t="s">
        <v>101</v>
      </c>
      <c r="B5" s="27">
        <f>'04_Воронка'!D9</f>
        <v>35.508813981759999</v>
      </c>
      <c r="C5" s="27">
        <f>'04_Воронка'!D10</f>
        <v>20.29</v>
      </c>
      <c r="D5" s="27">
        <f>'01_Параметры'!F17</f>
        <v>7.35</v>
      </c>
      <c r="E5" s="28">
        <f>B5*C5*D5*12</f>
        <v>63545.79230785009</v>
      </c>
      <c r="F5" s="28">
        <f>C5*D5</f>
        <v>149.13149999999999</v>
      </c>
      <c r="G5" s="5" t="s">
        <v>189</v>
      </c>
      <c r="H5" s="1"/>
      <c r="I5" s="1"/>
      <c r="J5" s="1"/>
    </row>
    <row r="6" spans="1:10" ht="14.25">
      <c r="A6" s="2" t="s">
        <v>135</v>
      </c>
      <c r="B6" s="33" t="s">
        <v>99</v>
      </c>
      <c r="C6" s="33" t="s">
        <v>100</v>
      </c>
      <c r="D6" s="39" t="s">
        <v>101</v>
      </c>
      <c r="E6" s="32"/>
      <c r="F6" s="32"/>
      <c r="G6" s="1"/>
      <c r="H6" s="1"/>
      <c r="I6" s="1"/>
      <c r="J6" s="1"/>
    </row>
    <row r="7" spans="1:10" ht="14.25">
      <c r="A7" s="10" t="s">
        <v>190</v>
      </c>
      <c r="B7" s="27">
        <f>'04_Воронка'!B12</f>
        <v>98.555981378302789</v>
      </c>
      <c r="C7" s="27">
        <f>'04_Воронка'!C12</f>
        <v>1108.8261251768522</v>
      </c>
      <c r="D7" s="45">
        <f>'04_Воронка'!D12</f>
        <v>8645.6860282789239</v>
      </c>
      <c r="E7" s="32"/>
      <c r="F7" s="32"/>
      <c r="G7" s="1"/>
      <c r="H7" s="1"/>
      <c r="I7" s="1"/>
      <c r="J7" s="1"/>
    </row>
    <row r="8" spans="1:10" ht="14.25">
      <c r="A8" s="11" t="s">
        <v>185</v>
      </c>
      <c r="B8" s="28">
        <f>E3</f>
        <v>307.49466190030466</v>
      </c>
      <c r="C8" s="28">
        <f>E4</f>
        <v>5738.1751977902095</v>
      </c>
      <c r="D8" s="29">
        <f>E5</f>
        <v>63545.79230785009</v>
      </c>
      <c r="E8" s="32"/>
      <c r="F8" s="32"/>
      <c r="G8" s="1"/>
      <c r="H8" s="1"/>
      <c r="I8" s="1"/>
      <c r="J8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8"/>
  <sheetViews>
    <sheetView workbookViewId="0"/>
  </sheetViews>
  <sheetFormatPr defaultRowHeight="13.5"/>
  <cols>
    <col min="1" max="1" width="44.5" customWidth="1"/>
    <col min="2" max="2" width="14.0625" customWidth="1"/>
    <col min="3" max="3" width="10.9375" customWidth="1"/>
    <col min="4" max="4" width="17.1875" customWidth="1"/>
    <col min="5" max="5" width="10.9375" customWidth="1"/>
    <col min="6" max="6" width="52.5625" customWidth="1"/>
    <col min="7" max="7" width="44.5" customWidth="1"/>
    <col min="8" max="10" width="10.5625" customWidth="1"/>
  </cols>
  <sheetData>
    <row r="1" spans="1:10" ht="20" customHeight="1">
      <c r="A1" s="47" t="s">
        <v>294</v>
      </c>
      <c r="B1" s="47"/>
      <c r="C1" s="47"/>
      <c r="D1" s="47"/>
      <c r="E1" s="47"/>
      <c r="F1" s="47"/>
      <c r="G1" s="47"/>
      <c r="H1" s="48"/>
      <c r="I1" s="1"/>
      <c r="J1" s="1"/>
    </row>
    <row r="2" spans="1:10" ht="14.25">
      <c r="A2" s="2" t="s">
        <v>56</v>
      </c>
      <c r="B2" s="2" t="s">
        <v>99</v>
      </c>
      <c r="C2" s="2" t="s">
        <v>100</v>
      </c>
      <c r="D2" s="2" t="s">
        <v>101</v>
      </c>
      <c r="E2" s="2" t="s">
        <v>57</v>
      </c>
      <c r="F2" s="2" t="s">
        <v>58</v>
      </c>
      <c r="G2" s="2" t="s">
        <v>44</v>
      </c>
      <c r="H2" s="6" t="s">
        <v>191</v>
      </c>
      <c r="I2" s="1"/>
      <c r="J2" s="1"/>
    </row>
    <row r="3" spans="1:10" ht="28.5">
      <c r="A3" s="10" t="s">
        <v>192</v>
      </c>
      <c r="B3" s="19">
        <v>2</v>
      </c>
      <c r="C3" s="19">
        <v>8</v>
      </c>
      <c r="D3" s="19">
        <v>20</v>
      </c>
      <c r="E3" s="7" t="s">
        <v>193</v>
      </c>
      <c r="F3" s="10" t="s">
        <v>295</v>
      </c>
      <c r="G3" s="10" t="s">
        <v>194</v>
      </c>
      <c r="H3" s="13" t="s">
        <v>63</v>
      </c>
      <c r="I3" s="1"/>
      <c r="J3" s="1"/>
    </row>
    <row r="4" spans="1:10" ht="14.25">
      <c r="A4" s="10" t="s">
        <v>195</v>
      </c>
      <c r="B4" s="19">
        <v>17.27</v>
      </c>
      <c r="C4" s="19">
        <v>19.43</v>
      </c>
      <c r="D4" s="19">
        <v>20.29</v>
      </c>
      <c r="E4" s="7" t="s">
        <v>286</v>
      </c>
      <c r="F4" s="7" t="s">
        <v>196</v>
      </c>
      <c r="G4" s="10" t="s">
        <v>197</v>
      </c>
      <c r="H4" s="13" t="s">
        <v>63</v>
      </c>
      <c r="I4" s="1"/>
      <c r="J4" s="1"/>
    </row>
    <row r="5" spans="1:10" ht="14.25">
      <c r="A5" s="10" t="s">
        <v>198</v>
      </c>
      <c r="B5" s="27">
        <f>B3*B4</f>
        <v>34.54</v>
      </c>
      <c r="C5" s="27">
        <f>C3*C4</f>
        <v>155.44</v>
      </c>
      <c r="D5" s="27">
        <f>D3*D4</f>
        <v>405.79999999999995</v>
      </c>
      <c r="E5" s="7" t="s">
        <v>286</v>
      </c>
      <c r="F5" s="7" t="s">
        <v>199</v>
      </c>
      <c r="G5" s="10" t="s">
        <v>200</v>
      </c>
      <c r="H5" s="13" t="s">
        <v>199</v>
      </c>
      <c r="I5" s="1"/>
      <c r="J5" s="1"/>
    </row>
    <row r="6" spans="1:10" ht="14.25">
      <c r="A6" s="10" t="s">
        <v>279</v>
      </c>
      <c r="B6" s="21">
        <v>0.03</v>
      </c>
      <c r="C6" s="21">
        <v>0.03</v>
      </c>
      <c r="D6" s="21">
        <v>0.03</v>
      </c>
      <c r="E6" s="7" t="s">
        <v>87</v>
      </c>
      <c r="F6" s="7" t="s">
        <v>201</v>
      </c>
      <c r="G6" s="7" t="s">
        <v>202</v>
      </c>
      <c r="H6" s="13" t="s">
        <v>63</v>
      </c>
      <c r="I6" s="1"/>
      <c r="J6" s="1"/>
    </row>
    <row r="7" spans="1:10" ht="14.25">
      <c r="A7" s="10" t="s">
        <v>280</v>
      </c>
      <c r="B7" s="27">
        <f>B5*B6</f>
        <v>1.0362</v>
      </c>
      <c r="C7" s="27">
        <f>C5*C6</f>
        <v>4.6631999999999998</v>
      </c>
      <c r="D7" s="27">
        <f>D5*D6</f>
        <v>12.173999999999998</v>
      </c>
      <c r="E7" s="7" t="s">
        <v>286</v>
      </c>
      <c r="F7" s="7" t="s">
        <v>199</v>
      </c>
      <c r="G7" s="7" t="s">
        <v>203</v>
      </c>
      <c r="H7" s="13" t="s">
        <v>199</v>
      </c>
      <c r="I7" s="1"/>
      <c r="J7" s="1"/>
    </row>
    <row r="8" spans="1:10" ht="14.25">
      <c r="A8" s="11" t="s">
        <v>281</v>
      </c>
      <c r="B8" s="28">
        <f>B7*12</f>
        <v>12.4344</v>
      </c>
      <c r="C8" s="28">
        <f>C7*12</f>
        <v>55.958399999999997</v>
      </c>
      <c r="D8" s="28">
        <f>D7*12</f>
        <v>146.08799999999997</v>
      </c>
      <c r="E8" s="8" t="s">
        <v>286</v>
      </c>
      <c r="F8" s="8" t="s">
        <v>199</v>
      </c>
      <c r="G8" s="11" t="s">
        <v>204</v>
      </c>
      <c r="H8" s="9" t="s">
        <v>199</v>
      </c>
      <c r="I8" s="1"/>
      <c r="J8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4"/>
  <sheetViews>
    <sheetView workbookViewId="0"/>
  </sheetViews>
  <sheetFormatPr defaultRowHeight="13.5"/>
  <cols>
    <col min="1" max="1" width="52.5625" customWidth="1"/>
    <col min="2" max="2" width="13" customWidth="1"/>
    <col min="3" max="3" width="18.25" customWidth="1"/>
    <col min="4" max="4" width="52.5625" customWidth="1"/>
    <col min="5" max="10" width="10.5625" customWidth="1"/>
  </cols>
  <sheetData>
    <row r="1" spans="1:10" ht="20" customHeight="1">
      <c r="A1" s="47" t="s">
        <v>205</v>
      </c>
      <c r="B1" s="47"/>
      <c r="C1" s="47"/>
      <c r="D1" s="47"/>
      <c r="E1" s="49"/>
      <c r="F1" s="49"/>
      <c r="G1" s="49"/>
      <c r="H1" s="50"/>
      <c r="I1" s="1"/>
      <c r="J1" s="1"/>
    </row>
    <row r="2" spans="1:10" ht="14.25">
      <c r="A2" s="2" t="s">
        <v>206</v>
      </c>
      <c r="B2" s="2" t="s">
        <v>42</v>
      </c>
      <c r="C2" s="2" t="s">
        <v>57</v>
      </c>
      <c r="D2" s="6" t="s">
        <v>44</v>
      </c>
      <c r="E2" s="1"/>
      <c r="F2" s="1"/>
      <c r="G2" s="1"/>
      <c r="H2" s="1"/>
      <c r="I2" s="1"/>
      <c r="J2" s="1"/>
    </row>
    <row r="3" spans="1:10" ht="14.25">
      <c r="A3" s="10" t="s">
        <v>121</v>
      </c>
      <c r="B3" s="27">
        <f>'02_Трафик_охват'!C12</f>
        <v>87186.074395730015</v>
      </c>
      <c r="C3" s="7" t="s">
        <v>118</v>
      </c>
      <c r="D3" s="13" t="s">
        <v>207</v>
      </c>
      <c r="E3" s="1"/>
      <c r="F3" s="1"/>
      <c r="G3" s="1"/>
      <c r="H3" s="1"/>
      <c r="I3" s="1"/>
      <c r="J3" s="1"/>
    </row>
    <row r="4" spans="1:10" ht="14.25">
      <c r="A4" s="10" t="s">
        <v>124</v>
      </c>
      <c r="B4" s="27">
        <f>'02_Трафик_охват'!C13</f>
        <v>1046232.8927487602</v>
      </c>
      <c r="C4" s="7" t="s">
        <v>118</v>
      </c>
      <c r="D4" s="13" t="s">
        <v>208</v>
      </c>
      <c r="E4" s="1"/>
      <c r="F4" s="1"/>
      <c r="G4" s="1"/>
      <c r="H4" s="1"/>
      <c r="I4" s="1"/>
      <c r="J4" s="1"/>
    </row>
    <row r="5" spans="1:10" ht="14.25">
      <c r="A5" s="10" t="s">
        <v>209</v>
      </c>
      <c r="B5" s="27">
        <f>'03_Конкуренты_SW'!C17</f>
        <v>158521.49098999999</v>
      </c>
      <c r="C5" s="7" t="s">
        <v>210</v>
      </c>
      <c r="D5" s="14" t="s">
        <v>211</v>
      </c>
      <c r="E5" s="1"/>
      <c r="F5" s="1"/>
      <c r="G5" s="1"/>
      <c r="H5" s="1"/>
      <c r="I5" s="1"/>
      <c r="J5" s="1"/>
    </row>
    <row r="6" spans="1:10" ht="14.25">
      <c r="A6" s="10" t="s">
        <v>296</v>
      </c>
      <c r="B6" s="27">
        <f>'05_Сценарии'!C7</f>
        <v>98.555981378302789</v>
      </c>
      <c r="C6" s="7" t="s">
        <v>297</v>
      </c>
      <c r="D6" s="13" t="s">
        <v>212</v>
      </c>
      <c r="E6" s="1"/>
      <c r="F6" s="1"/>
      <c r="G6" s="1"/>
      <c r="H6" s="1"/>
      <c r="I6" s="1"/>
      <c r="J6" s="1"/>
    </row>
    <row r="7" spans="1:10" ht="14.25">
      <c r="A7" s="10" t="s">
        <v>298</v>
      </c>
      <c r="B7" s="27">
        <f>'05_Сценарии'!C8</f>
        <v>1108.8261251768522</v>
      </c>
      <c r="C7" s="7" t="s">
        <v>297</v>
      </c>
      <c r="D7" s="13" t="s">
        <v>213</v>
      </c>
      <c r="E7" s="1"/>
      <c r="F7" s="1"/>
      <c r="G7" s="1"/>
      <c r="H7" s="1"/>
      <c r="I7" s="1"/>
      <c r="J7" s="1"/>
    </row>
    <row r="8" spans="1:10" ht="14.25">
      <c r="A8" s="10" t="s">
        <v>299</v>
      </c>
      <c r="B8" s="27">
        <f>'05_Сценарии'!C9</f>
        <v>8645.6860282789239</v>
      </c>
      <c r="C8" s="7" t="s">
        <v>297</v>
      </c>
      <c r="D8" s="13" t="s">
        <v>214</v>
      </c>
      <c r="E8" s="1"/>
      <c r="F8" s="1"/>
      <c r="G8" s="1"/>
      <c r="H8" s="1"/>
      <c r="I8" s="1"/>
      <c r="J8" s="1"/>
    </row>
    <row r="9" spans="1:10" ht="14.25">
      <c r="A9" s="10" t="s">
        <v>300</v>
      </c>
      <c r="B9" s="27">
        <f>'06_Повторы_LTV'!C8</f>
        <v>5738.1751977902095</v>
      </c>
      <c r="C9" s="7" t="s">
        <v>297</v>
      </c>
      <c r="D9" s="13" t="s">
        <v>215</v>
      </c>
      <c r="E9" s="1"/>
      <c r="F9" s="1"/>
      <c r="G9" s="1"/>
      <c r="H9" s="1"/>
      <c r="I9" s="1"/>
      <c r="J9" s="1"/>
    </row>
    <row r="10" spans="1:10" ht="14.25">
      <c r="A10" s="10" t="s">
        <v>301</v>
      </c>
      <c r="B10" s="27">
        <f>'07_Платформа_GMV'!C5*12</f>
        <v>1865.28</v>
      </c>
      <c r="C10" s="7" t="s">
        <v>297</v>
      </c>
      <c r="D10" s="14" t="s">
        <v>216</v>
      </c>
      <c r="E10" s="1"/>
      <c r="F10" s="1"/>
      <c r="G10" s="1"/>
      <c r="H10" s="1"/>
      <c r="I10" s="1"/>
      <c r="J10" s="1"/>
    </row>
    <row r="11" spans="1:10" ht="14.25">
      <c r="A11" s="11" t="s">
        <v>302</v>
      </c>
      <c r="B11" s="28">
        <f>'07_Платформа_GMV'!C8</f>
        <v>55.958399999999997</v>
      </c>
      <c r="C11" s="8" t="s">
        <v>297</v>
      </c>
      <c r="D11" s="12" t="s">
        <v>217</v>
      </c>
      <c r="E11" s="1"/>
      <c r="F11" s="1"/>
      <c r="G11" s="1"/>
      <c r="H11" s="1"/>
      <c r="I11" s="1"/>
      <c r="J11" s="1"/>
    </row>
    <row r="12" spans="1:10" ht="14.2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14.25">
      <c r="A13" s="2" t="s">
        <v>218</v>
      </c>
      <c r="B13" s="2"/>
      <c r="C13" s="2"/>
      <c r="D13" s="2"/>
      <c r="E13" s="2"/>
      <c r="F13" s="2"/>
      <c r="G13" s="2"/>
      <c r="H13" s="6"/>
      <c r="I13" s="1"/>
      <c r="J13" s="1"/>
    </row>
    <row r="14" spans="1:10" ht="52.05" customHeight="1">
      <c r="A14" s="51" t="s">
        <v>303</v>
      </c>
      <c r="B14" s="51"/>
      <c r="C14" s="51"/>
      <c r="D14" s="51"/>
      <c r="E14" s="51"/>
      <c r="F14" s="51"/>
      <c r="G14" s="51"/>
      <c r="H14" s="52"/>
      <c r="I14" s="1"/>
      <c r="J14" s="1"/>
    </row>
  </sheetData>
  <mergeCells count="2">
    <mergeCell ref="A1:H1"/>
    <mergeCell ref="A14:H14"/>
  </mergeCells>
  <conditionalFormatting sqref="B6:B8">
    <cfRule type="dataBar" priority="1">
      <dataBar>
        <cfvo type="min"/>
        <cfvo type="max"/>
        <color rgb="FF5B9BD5"/>
      </dataBar>
    </cfRule>
  </conditionalFormatting>
  <conditionalFormatting sqref="B6:B8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B6:B8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9"/>
  <sheetViews>
    <sheetView workbookViewId="0"/>
  </sheetViews>
  <sheetFormatPr defaultRowHeight="13.5"/>
  <cols>
    <col min="1" max="1" width="40.3125" customWidth="1"/>
    <col min="2" max="2" width="48.6875" customWidth="1"/>
    <col min="3" max="3" width="52.5625" customWidth="1"/>
    <col min="4" max="4" width="18.25" customWidth="1"/>
    <col min="5" max="5" width="11.9375" customWidth="1"/>
    <col min="6" max="6" width="52.5625" customWidth="1"/>
    <col min="7" max="10" width="10.5625" customWidth="1"/>
  </cols>
  <sheetData>
    <row r="1" spans="1:10" ht="20" customHeight="1">
      <c r="A1" s="47" t="s">
        <v>219</v>
      </c>
      <c r="B1" s="47"/>
      <c r="C1" s="47"/>
      <c r="D1" s="47"/>
      <c r="E1" s="47"/>
      <c r="F1" s="48"/>
      <c r="G1" s="1"/>
      <c r="H1" s="1"/>
      <c r="I1" s="1"/>
      <c r="J1" s="1"/>
    </row>
    <row r="2" spans="1:10" ht="14.25">
      <c r="A2" s="2" t="s">
        <v>220</v>
      </c>
      <c r="B2" s="2" t="s">
        <v>221</v>
      </c>
      <c r="C2" s="2" t="s">
        <v>222</v>
      </c>
      <c r="D2" s="2" t="s">
        <v>223</v>
      </c>
      <c r="E2" s="2" t="s">
        <v>224</v>
      </c>
      <c r="F2" s="6" t="s">
        <v>44</v>
      </c>
      <c r="G2" s="1"/>
      <c r="H2" s="1"/>
      <c r="I2" s="1"/>
      <c r="J2" s="1"/>
    </row>
    <row r="3" spans="1:10" ht="28.5">
      <c r="A3" s="10" t="s">
        <v>225</v>
      </c>
      <c r="B3" s="10" t="s">
        <v>226</v>
      </c>
      <c r="C3" s="10" t="s">
        <v>227</v>
      </c>
      <c r="D3" s="46">
        <v>46298</v>
      </c>
      <c r="E3" s="7" t="s">
        <v>228</v>
      </c>
      <c r="F3" s="14" t="s">
        <v>304</v>
      </c>
      <c r="G3" s="1"/>
      <c r="H3" s="1"/>
      <c r="I3" s="1"/>
      <c r="J3" s="1"/>
    </row>
    <row r="4" spans="1:10" ht="28.5">
      <c r="A4" s="10" t="s">
        <v>229</v>
      </c>
      <c r="B4" s="10" t="s">
        <v>230</v>
      </c>
      <c r="C4" s="10" t="s">
        <v>231</v>
      </c>
      <c r="D4" s="46">
        <v>46298</v>
      </c>
      <c r="E4" s="7" t="s">
        <v>228</v>
      </c>
      <c r="F4" s="14" t="s">
        <v>305</v>
      </c>
      <c r="G4" s="1"/>
      <c r="H4" s="1"/>
      <c r="I4" s="1"/>
      <c r="J4" s="1"/>
    </row>
    <row r="5" spans="1:10" ht="14.25">
      <c r="A5" s="10" t="s">
        <v>232</v>
      </c>
      <c r="B5" s="10" t="s">
        <v>233</v>
      </c>
      <c r="C5" s="10" t="s">
        <v>234</v>
      </c>
      <c r="D5" s="46">
        <v>46298</v>
      </c>
      <c r="E5" s="7" t="s">
        <v>109</v>
      </c>
      <c r="F5" s="13" t="s">
        <v>235</v>
      </c>
      <c r="G5" s="1"/>
      <c r="H5" s="1"/>
      <c r="I5" s="1"/>
      <c r="J5" s="1"/>
    </row>
    <row r="6" spans="1:10" ht="14.25">
      <c r="A6" s="10" t="s">
        <v>236</v>
      </c>
      <c r="B6" s="10" t="s">
        <v>237</v>
      </c>
      <c r="C6" s="10" t="s">
        <v>238</v>
      </c>
      <c r="D6" s="46">
        <v>46298</v>
      </c>
      <c r="E6" s="7" t="s">
        <v>109</v>
      </c>
      <c r="F6" s="14" t="s">
        <v>239</v>
      </c>
      <c r="G6" s="1"/>
      <c r="H6" s="1"/>
      <c r="I6" s="1"/>
      <c r="J6" s="1"/>
    </row>
    <row r="7" spans="1:10" ht="14.25">
      <c r="A7" s="10" t="s">
        <v>240</v>
      </c>
      <c r="B7" s="10" t="s">
        <v>241</v>
      </c>
      <c r="C7" s="10" t="s">
        <v>242</v>
      </c>
      <c r="D7" s="46">
        <v>46298</v>
      </c>
      <c r="E7" s="7" t="s">
        <v>109</v>
      </c>
      <c r="F7" s="14" t="s">
        <v>243</v>
      </c>
      <c r="G7" s="1"/>
      <c r="H7" s="1"/>
      <c r="I7" s="1"/>
      <c r="J7" s="1"/>
    </row>
    <row r="8" spans="1:10" ht="14.25">
      <c r="A8" s="10" t="s">
        <v>244</v>
      </c>
      <c r="B8" s="7" t="s">
        <v>245</v>
      </c>
      <c r="C8" s="16" t="s">
        <v>307</v>
      </c>
      <c r="D8" s="23">
        <v>46298</v>
      </c>
      <c r="E8" s="7" t="s">
        <v>109</v>
      </c>
      <c r="F8" s="14" t="s">
        <v>246</v>
      </c>
      <c r="G8" s="1"/>
      <c r="H8" s="1"/>
      <c r="I8" s="1"/>
      <c r="J8" s="1"/>
    </row>
    <row r="9" spans="1:10" ht="14.25">
      <c r="A9" s="11" t="s">
        <v>247</v>
      </c>
      <c r="B9" s="11" t="s">
        <v>248</v>
      </c>
      <c r="C9" s="17" t="s">
        <v>307</v>
      </c>
      <c r="D9" s="24">
        <v>46298</v>
      </c>
      <c r="E9" s="8" t="s">
        <v>109</v>
      </c>
      <c r="F9" s="12" t="s">
        <v>249</v>
      </c>
      <c r="G9" s="1"/>
      <c r="H9" s="1"/>
      <c r="I9" s="1"/>
      <c r="J9" s="1"/>
    </row>
  </sheetData>
  <mergeCells count="1">
    <mergeCell ref="A1:F1"/>
  </mergeCells>
  <dataValidations count="1">
    <dataValidation type="list" sqref="E3:E9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2026-10-06T21:30:05Z</dcterms:modified>
</cp:coreProperties>
</file>