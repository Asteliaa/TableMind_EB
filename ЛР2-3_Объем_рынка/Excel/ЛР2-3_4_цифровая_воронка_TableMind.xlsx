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2-3_Объем_рынка\Excel\"/>
    </mc:Choice>
  </mc:AlternateContent>
  <xr:revisionPtr revIDLastSave="0" documentId="13_ncr:1_{E718596F-2D74-4595-AF00-18C1939B101A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Трафик_охват" sheetId="3" r:id="rId3"/>
    <sheet name="03_Конкуренты_SW" sheetId="4" r:id="rId4"/>
    <sheet name="04_Воронка" sheetId="5" r:id="rId5"/>
    <sheet name="05_Сценарии" sheetId="6" r:id="rId6"/>
    <sheet name="06_Повторы_LTV" sheetId="7" r:id="rId7"/>
    <sheet name="07_Платформа_GMV" sheetId="8" r:id="rId8"/>
    <sheet name="08_Дашборд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4" l="1"/>
  <c r="I12" i="4" s="1"/>
  <c r="F11" i="4"/>
  <c r="I11" i="4" s="1"/>
  <c r="F10" i="4"/>
  <c r="I10" i="4" s="1"/>
  <c r="F9" i="4"/>
  <c r="I9" i="4" s="1"/>
  <c r="F8" i="4"/>
  <c r="I8" i="4" s="1"/>
  <c r="F7" i="4"/>
  <c r="I7" i="4" s="1"/>
  <c r="F6" i="4"/>
  <c r="I6" i="4" s="1"/>
  <c r="D6" i="8"/>
  <c r="D8" i="8" s="1"/>
  <c r="D9" i="8" s="1"/>
  <c r="C6" i="8"/>
  <c r="B11" i="9" s="1"/>
  <c r="B6" i="8"/>
  <c r="B8" i="8" s="1"/>
  <c r="B9" i="8" s="1"/>
  <c r="D6" i="7"/>
  <c r="D5" i="7"/>
  <c r="D4" i="7"/>
  <c r="D9" i="5"/>
  <c r="C9" i="5"/>
  <c r="B9" i="5"/>
  <c r="D7" i="5"/>
  <c r="C7" i="5"/>
  <c r="B7" i="5"/>
  <c r="D5" i="5"/>
  <c r="C5" i="5"/>
  <c r="B5" i="5"/>
  <c r="F15" i="4"/>
  <c r="I15" i="4" s="1"/>
  <c r="F14" i="4"/>
  <c r="I14" i="4" s="1"/>
  <c r="F13" i="4"/>
  <c r="I13" i="4" s="1"/>
  <c r="F5" i="4"/>
  <c r="I5" i="4" s="1"/>
  <c r="F4" i="4"/>
  <c r="I4" i="4" s="1"/>
  <c r="E10" i="3"/>
  <c r="G10" i="3" s="1"/>
  <c r="E9" i="3"/>
  <c r="G9" i="3" s="1"/>
  <c r="E8" i="3"/>
  <c r="E7" i="3"/>
  <c r="G7" i="3" s="1"/>
  <c r="E6" i="3"/>
  <c r="G6" i="3" s="1"/>
  <c r="E5" i="3"/>
  <c r="G5" i="3" s="1"/>
  <c r="E4" i="3"/>
  <c r="G4" i="3" s="1"/>
  <c r="E19" i="2"/>
  <c r="D11" i="5" s="1"/>
  <c r="C6" i="7" s="1"/>
  <c r="E18" i="2"/>
  <c r="C11" i="5" s="1"/>
  <c r="C5" i="7" s="1"/>
  <c r="E17" i="2"/>
  <c r="B11" i="5" s="1"/>
  <c r="C4" i="7" s="1"/>
  <c r="F5" i="7" l="1"/>
  <c r="F6" i="7"/>
  <c r="C8" i="8"/>
  <c r="C9" i="8" s="1"/>
  <c r="B12" i="9" s="1"/>
  <c r="C20" i="4"/>
  <c r="C21" i="4" s="1"/>
  <c r="C13" i="3"/>
  <c r="F4" i="7"/>
  <c r="G8" i="3"/>
  <c r="C14" i="3" s="1"/>
  <c r="C18" i="4"/>
  <c r="C19" i="4" l="1"/>
  <c r="C15" i="3"/>
  <c r="B5" i="9" s="1"/>
  <c r="B4" i="9"/>
  <c r="D4" i="5" l="1"/>
  <c r="D6" i="5" s="1"/>
  <c r="C4" i="5"/>
  <c r="C6" i="5" s="1"/>
  <c r="B4" i="5"/>
  <c r="B6" i="5" s="1"/>
  <c r="B6" i="9"/>
  <c r="B8" i="5"/>
  <c r="B4" i="6"/>
  <c r="B5" i="6"/>
  <c r="C8" i="5"/>
  <c r="D8" i="5"/>
  <c r="B6" i="6"/>
  <c r="C6" i="6" l="1"/>
  <c r="D10" i="5"/>
  <c r="C10" i="5"/>
  <c r="C5" i="6"/>
  <c r="B10" i="5"/>
  <c r="C4" i="6"/>
  <c r="B12" i="5" l="1"/>
  <c r="B4" i="7"/>
  <c r="E4" i="7" s="1"/>
  <c r="B10" i="7" s="1"/>
  <c r="D4" i="6"/>
  <c r="C12" i="5"/>
  <c r="B5" i="7"/>
  <c r="E5" i="7" s="1"/>
  <c r="C10" i="7" s="1"/>
  <c r="B10" i="9" s="1"/>
  <c r="D5" i="6"/>
  <c r="D6" i="6"/>
  <c r="D12" i="5"/>
  <c r="B6" i="7"/>
  <c r="E6" i="7" s="1"/>
  <c r="D10" i="7" s="1"/>
  <c r="D13" i="5" l="1"/>
  <c r="E6" i="6"/>
  <c r="E5" i="6"/>
  <c r="C13" i="5"/>
  <c r="E4" i="6"/>
  <c r="B13" i="5"/>
  <c r="F4" i="6" l="1"/>
  <c r="B9" i="7"/>
  <c r="F5" i="6"/>
  <c r="C10" i="6" s="1"/>
  <c r="B8" i="9" s="1"/>
  <c r="C9" i="7"/>
  <c r="F6" i="6"/>
  <c r="D9" i="7"/>
  <c r="C11" i="6" l="1"/>
  <c r="C9" i="6"/>
  <c r="B7" i="9" s="1"/>
  <c r="B9" i="9" l="1"/>
  <c r="C12" i="6"/>
</calcChain>
</file>

<file path=xl/sharedStrings.xml><?xml version="1.0" encoding="utf-8"?>
<sst xmlns="http://schemas.openxmlformats.org/spreadsheetml/2006/main" count="450" uniqueCount="310">
  <si>
    <t>Excel-шаблон оценки рынка через цифровую воронку</t>
  </si>
  <si>
    <t>Назначение файла</t>
  </si>
  <si>
    <t>Как использовать</t>
  </si>
  <si>
    <t>Основная формула</t>
  </si>
  <si>
    <t>Что является входом</t>
  </si>
  <si>
    <t>Что является расчетом</t>
  </si>
  <si>
    <t>Что проверять</t>
  </si>
  <si>
    <t>Ограничения</t>
  </si>
  <si>
    <t>Итог</t>
  </si>
  <si>
    <t>Оценить потенциальный объем рынка электронного бизнеса через охват, трафик, заявки, продажи, средний чек, повторные покупки и платформенную модель.</t>
  </si>
  <si>
    <t>Заполнить желтые ячейки на листах 01–03, затем проверить расчеты на листах 04–08.</t>
  </si>
  <si>
    <t>Выручка = релевантные посещения × конверсия в заявку × конверсия в продажу × средний чек × повторные покупки.</t>
  </si>
  <si>
    <t>Данные Google Trends, Яндекс Вордстат, Similarweb, рекламных кабинетов, аналитики сайта и экспертных допущений.</t>
  </si>
  <si>
    <t>Зеленые ячейки содержат формулы и автоматически пересчитывают заявки, продажи, выручку, GMV и рыночный диапазон.</t>
  </si>
  <si>
    <t>Согласованность допущений, реалистичность конверсий, различие между интересом аудитории и платежеспособным спросом.</t>
  </si>
  <si>
    <t>Все расчеты являются оценочными; цифровая воронка не заменяет анализ конкурентов, цен, платежеспособности и фактических продаж.</t>
  </si>
  <si>
    <t>Сценарный диапазон объема рынка и достижимой выручки.</t>
  </si>
  <si>
    <t>Этап</t>
  </si>
  <si>
    <t>Действие</t>
  </si>
  <si>
    <t>Где заполнять</t>
  </si>
  <si>
    <t>Результат</t>
  </si>
  <si>
    <t>Зафиксировать географию, продуктовую категорию и период расчета.</t>
  </si>
  <si>
    <t>01_Параметры</t>
  </si>
  <si>
    <t>Единая база исследования.</t>
  </si>
  <si>
    <t>Собрать исходные данные об охвате и трафике по каналам.</t>
  </si>
  <si>
    <t>02_Трафик_охват</t>
  </si>
  <si>
    <t>Релевантные посещения рынка.</t>
  </si>
  <si>
    <t>Зафиксировать данные конкурентов из Similarweb и других открытых источников.</t>
  </si>
  <si>
    <t>03_Конкуренты_SW</t>
  </si>
  <si>
    <t>Оценка видимого цифрового объема сегмента.</t>
  </si>
  <si>
    <t>Задать конверсии в заявку и продажу по трем сценариям.</t>
  </si>
  <si>
    <t>04_Воронка</t>
  </si>
  <si>
    <t>Расчет заявок, продаж и выручки.</t>
  </si>
  <si>
    <t>Сравнить осторожный, базовый и оптимистичный сценарии.</t>
  </si>
  <si>
    <t>05_Сценарии</t>
  </si>
  <si>
    <t>Диапазон возможного объема рынка.</t>
  </si>
  <si>
    <t>Учесть повторные покупки и жизненную ценность клиента.</t>
  </si>
  <si>
    <t>06_Повторы_LTV</t>
  </si>
  <si>
    <t>Годовая и расширенная оценка выручки.</t>
  </si>
  <si>
    <t>Если бизнес является платформой, рассчитать GMV и комиссионную выручку.</t>
  </si>
  <si>
    <t>07_Платформа_GMV</t>
  </si>
  <si>
    <t>Разделение оборота платформы и собственной выручки.</t>
  </si>
  <si>
    <t>Проверить итоговую панель и сформулировать вывод.</t>
  </si>
  <si>
    <t>08_Дашборд</t>
  </si>
  <si>
    <t>Готовые показатели для отчета.</t>
  </si>
  <si>
    <t>Цвет ячеек</t>
  </si>
  <si>
    <t>Значение</t>
  </si>
  <si>
    <t>Можно изменять?</t>
  </si>
  <si>
    <t>Комментарий</t>
  </si>
  <si>
    <t>Желтый</t>
  </si>
  <si>
    <t>Исходные данные / допущения</t>
  </si>
  <si>
    <t>Да</t>
  </si>
  <si>
    <t>Заполняются пользователем.</t>
  </si>
  <si>
    <t>Зеленый</t>
  </si>
  <si>
    <t>Расчетные ячейки</t>
  </si>
  <si>
    <t>Нет</t>
  </si>
  <si>
    <t>Содержат формулы.</t>
  </si>
  <si>
    <t>Серый</t>
  </si>
  <si>
    <t>Пояснения и методические комментарии</t>
  </si>
  <si>
    <t>Можно адаптировать под отчет.</t>
  </si>
  <si>
    <t>01. Исходные параметры оценки рынка</t>
  </si>
  <si>
    <t>Параметр</t>
  </si>
  <si>
    <t>Единица</t>
  </si>
  <si>
    <t>Источник/обоснование</t>
  </si>
  <si>
    <t>Статус</t>
  </si>
  <si>
    <t>Название бизнес-идеи</t>
  </si>
  <si>
    <t>текст</t>
  </si>
  <si>
    <t>Пользователь</t>
  </si>
  <si>
    <t>Можно заменить на любую бизнес-идею.</t>
  </si>
  <si>
    <t>ввод</t>
  </si>
  <si>
    <t>Географические границы</t>
  </si>
  <si>
    <t>территория</t>
  </si>
  <si>
    <t>Ранее зафиксированные границы рынка</t>
  </si>
  <si>
    <t>При необходимости указать город или регион.</t>
  </si>
  <si>
    <t>Период расчета</t>
  </si>
  <si>
    <t>месяц / год</t>
  </si>
  <si>
    <t>период</t>
  </si>
  <si>
    <t>Методика</t>
  </si>
  <si>
    <t>Для рынка услуг удобно считать месяц и год.</t>
  </si>
  <si>
    <t>Валюта расчета</t>
  </si>
  <si>
    <t>валюта</t>
  </si>
  <si>
    <t>Можно заменить на RUB, USD, EUR.</t>
  </si>
  <si>
    <t>Целевой клиент</t>
  </si>
  <si>
    <t>сегмент</t>
  </si>
  <si>
    <t>Границы рынка</t>
  </si>
  <si>
    <t>Кто потенциально покупает услугу.</t>
  </si>
  <si>
    <t>Средний чек базовый</t>
  </si>
  <si>
    <t>Оценка конкурентов/экспертно</t>
  </si>
  <si>
    <t>Используется в базовом сценарии.</t>
  </si>
  <si>
    <t>Средний чек осторожный</t>
  </si>
  <si>
    <t>Нижняя граница чека.</t>
  </si>
  <si>
    <t>Средний чек оптимистичный</t>
  </si>
  <si>
    <t>Верхняя граница чека.</t>
  </si>
  <si>
    <t>Целевая доля релевантного трафика</t>
  </si>
  <si>
    <t>доля</t>
  </si>
  <si>
    <t>Какая часть собранного трафика относится к анализируемому рынку.</t>
  </si>
  <si>
    <t>Коэффициент покрытия конкурентов</t>
  </si>
  <si>
    <t>Доля рынка, представленная найденными сайтами конкурентов.</t>
  </si>
  <si>
    <t>Дата обновления файла</t>
  </si>
  <si>
    <t>дата</t>
  </si>
  <si>
    <t>Обновлять при новой выгрузке данных.</t>
  </si>
  <si>
    <t>Сценарий</t>
  </si>
  <si>
    <t>Конверсия посещение → заявка</t>
  </si>
  <si>
    <t>Конверсия заявка → продажа</t>
  </si>
  <si>
    <t>Средний чек</t>
  </si>
  <si>
    <t>Повторных покупок в год</t>
  </si>
  <si>
    <t>Осторожный</t>
  </si>
  <si>
    <t>Базовый</t>
  </si>
  <si>
    <t>Оптимистичный</t>
  </si>
  <si>
    <t>02. Охват и трафик по цифровым каналам</t>
  </si>
  <si>
    <t>Канал</t>
  </si>
  <si>
    <t>Источник данных</t>
  </si>
  <si>
    <t>Посещения в месяц</t>
  </si>
  <si>
    <t>Релевантные посещения</t>
  </si>
  <si>
    <t>Качество данных</t>
  </si>
  <si>
    <t>Органический поиск</t>
  </si>
  <si>
    <t>среднее</t>
  </si>
  <si>
    <t>Платный поиск</t>
  </si>
  <si>
    <t>Социальные сети</t>
  </si>
  <si>
    <t>Реферальные площадки</t>
  </si>
  <si>
    <t>Прямой трафик</t>
  </si>
  <si>
    <t>Формула</t>
  </si>
  <si>
    <t>Используется далее</t>
  </si>
  <si>
    <t>Общие посещения в месяц</t>
  </si>
  <si>
    <t>SUM(E4:E10)</t>
  </si>
  <si>
    <t>посещений</t>
  </si>
  <si>
    <t>Оценка всех переходов по каналам.</t>
  </si>
  <si>
    <t>да</t>
  </si>
  <si>
    <t>Релевантные посещения в месяц</t>
  </si>
  <si>
    <t>SUM(G4:G10)</t>
  </si>
  <si>
    <t>Трафик, относящийся к рынку.</t>
  </si>
  <si>
    <t>Релевантные посещения в год</t>
  </si>
  <si>
    <t>C14*12</t>
  </si>
  <si>
    <t>Годовая база для сценариев.</t>
  </si>
  <si>
    <t>03. Данные Similarweb и конкурентов</t>
  </si>
  <si>
    <t>Конкурент / сайт</t>
  </si>
  <si>
    <t>Тип игрока</t>
  </si>
  <si>
    <t>Посещения в месяц по Similarweb</t>
  </si>
  <si>
    <t>Доля целевой географии</t>
  </si>
  <si>
    <t>Доля релевантной категории</t>
  </si>
  <si>
    <t>Оценочная конверсия в продажу</t>
  </si>
  <si>
    <t>Оценочная выручка в месяц</t>
  </si>
  <si>
    <t>Показатель</t>
  </si>
  <si>
    <t>Суммарные релевантные посещения конкурентов</t>
  </si>
  <si>
    <t>SUM(F4:F8)</t>
  </si>
  <si>
    <t>Видимый объем цифрового сегмента по найденным сайтам.</t>
  </si>
  <si>
    <t>Оценка полного трафика сегмента</t>
  </si>
  <si>
    <t>B11 / коэффициент покрытия</t>
  </si>
  <si>
    <t>Корректировка на неполный список конкурентов.</t>
  </si>
  <si>
    <t>Оценочная выручка видимых конкурентов в месяц</t>
  </si>
  <si>
    <t>SUM(I4:I8)</t>
  </si>
  <si>
    <t>Ориентировочная оценка по конверсии и среднему чеку.</t>
  </si>
  <si>
    <t>Оценочная выручка сегмента в год</t>
  </si>
  <si>
    <t>C13 / коэффициент покрытия * 12</t>
  </si>
  <si>
    <t>Оценочный денежный объем по конкурентному подходу.</t>
  </si>
  <si>
    <t>04. Расчет цифровой воронки по сценариям</t>
  </si>
  <si>
    <t>Достижимая доля трафика</t>
  </si>
  <si>
    <t>Сценарное допущение.</t>
  </si>
  <si>
    <t>Достижимые посещения в месяц</t>
  </si>
  <si>
    <t>Релевантные посещения × достижимая доля.</t>
  </si>
  <si>
    <t>Заявки в месяц</t>
  </si>
  <si>
    <t>Достижимые посещения × конверсия в заявку.</t>
  </si>
  <si>
    <t>Продажи в месяц</t>
  </si>
  <si>
    <t>Заявки × конверсия в продажу.</t>
  </si>
  <si>
    <t>Сценарный средний чек.</t>
  </si>
  <si>
    <t>Выручка в месяц</t>
  </si>
  <si>
    <t>Продажи × средний чек.</t>
  </si>
  <si>
    <t>Выручка в год</t>
  </si>
  <si>
    <t>Месячная выручка × 12.</t>
  </si>
  <si>
    <t>05. Сценарная оценка объема рынка</t>
  </si>
  <si>
    <t>Достижимые посещения/мес.</t>
  </si>
  <si>
    <t>Заявки/мес.</t>
  </si>
  <si>
    <t>Продажи/мес.</t>
  </si>
  <si>
    <t>Выручка/мес.</t>
  </si>
  <si>
    <t>Выручка/год</t>
  </si>
  <si>
    <t>Интерпретация</t>
  </si>
  <si>
    <t>Нижняя граница при слабом охвате и низких конверсиях.</t>
  </si>
  <si>
    <t>Наиболее реалистичный сценарий при умеренной эффективности.</t>
  </si>
  <si>
    <t>Верхняя граница при высокой эффективности каналов.</t>
  </si>
  <si>
    <t>Минимальная годовая выручка</t>
  </si>
  <si>
    <t>MIN(F4:F6)</t>
  </si>
  <si>
    <t>Нижняя граница расчетного диапазона.</t>
  </si>
  <si>
    <t>Базовая годовая выручка</t>
  </si>
  <si>
    <t>F5</t>
  </si>
  <si>
    <t>Основной ориентир для отчета.</t>
  </si>
  <si>
    <t>Максимальная годовая выручка</t>
  </si>
  <si>
    <t>MAX(F4:F6)</t>
  </si>
  <si>
    <t>Верхняя граница расчетного диапазона.</t>
  </si>
  <si>
    <t>Размах оценки</t>
  </si>
  <si>
    <t>C11-C9</t>
  </si>
  <si>
    <t>Показывает неопределенность оценки.</t>
  </si>
  <si>
    <t>06. Повторные покупки и жизненная ценность клиента</t>
  </si>
  <si>
    <t>Годовая выручка с учетом повторов</t>
  </si>
  <si>
    <t>Средняя ценность клиента за год</t>
  </si>
  <si>
    <t>Разовые или редкие повторные покупки.</t>
  </si>
  <si>
    <t>Умеренная повторяемость заказов.</t>
  </si>
  <si>
    <t>Регулярное сопровождение или подписочная модель.</t>
  </si>
  <si>
    <t>Годовая выручка без учета повторов</t>
  </si>
  <si>
    <t>07. Платформенная модель: GMV и выручка платформы</t>
  </si>
  <si>
    <t>Тип</t>
  </si>
  <si>
    <t>Количество сделок в месяц</t>
  </si>
  <si>
    <t>сделок</t>
  </si>
  <si>
    <t>Для маркетплейса услуг или платформы.</t>
  </si>
  <si>
    <t>Средняя сумма сделки</t>
  </si>
  <si>
    <t>Цены конкурентов / экспертно</t>
  </si>
  <si>
    <t>Стоимость одной сделки между сторонами.</t>
  </si>
  <si>
    <t>GMV в месяц</t>
  </si>
  <si>
    <t>расчет</t>
  </si>
  <si>
    <t>Общий объем сделок на платформе.</t>
  </si>
  <si>
    <t>Бизнес-модель</t>
  </si>
  <si>
    <t>Собственная доля платформы.</t>
  </si>
  <si>
    <t>Доход платформы от комиссии.</t>
  </si>
  <si>
    <t>Годовая комиссионная выручка.</t>
  </si>
  <si>
    <t>08. Итоговая панель оценки рынка через цифровую воронку</t>
  </si>
  <si>
    <t>Ключевой показатель</t>
  </si>
  <si>
    <t>База для расчета воронки.</t>
  </si>
  <si>
    <t>Годовая база трафика.</t>
  </si>
  <si>
    <t>Оценка полного трафика сегмента по Similarweb</t>
  </si>
  <si>
    <t>посещений/мес.</t>
  </si>
  <si>
    <t>Оценка через конкурентов и коэффициент покрытия.</t>
  </si>
  <si>
    <t>Годовая выручка — осторожный сценарий</t>
  </si>
  <si>
    <t>Нижняя граница.</t>
  </si>
  <si>
    <t>Годовая выручка — базовый сценарий</t>
  </si>
  <si>
    <t>Основной ориентир.</t>
  </si>
  <si>
    <t>Годовая выручка — оптимистичный сценарий</t>
  </si>
  <si>
    <t>Верхняя граница.</t>
  </si>
  <si>
    <t>Годовая выручка с учетом повторов — базовый сценарий</t>
  </si>
  <si>
    <t>Учитывает повторные покупки.</t>
  </si>
  <si>
    <t>GMV платформы — базовый сценарий</t>
  </si>
  <si>
    <t>Использовать только для платформенной модели.</t>
  </si>
  <si>
    <t>Комиссионная выручка платформы — базовый сценарий</t>
  </si>
  <si>
    <t>Собственная выручка платформы, если применимо.</t>
  </si>
  <si>
    <t>Итоговый вывод для отчета</t>
  </si>
  <si>
    <t>На основе цифровой воронки рынок оценивается через последовательность: релевантный охват → посещения → заявки → продажи → средний чек → повторные покупки. Базовый сценарий следует использовать как основной ориентир, а осторожный и оптимистичный сценарии — как нижнюю и верхнюю границы оценки. Расчет необходимо сопоставить с данными Similarweb, поискового спроса, конкурентного анализа и фактическими продажами при их наличии.</t>
  </si>
  <si>
    <t>09. Источники данных и журнал фиксации</t>
  </si>
  <si>
    <t>Источник</t>
  </si>
  <si>
    <t>Что брать</t>
  </si>
  <si>
    <t>Ссылка / место хранения</t>
  </si>
  <si>
    <t>Дата обращения</t>
  </si>
  <si>
    <t>Качество</t>
  </si>
  <si>
    <t>Google Analytics</t>
  </si>
  <si>
    <t>трафик, источники, конверсии, события</t>
  </si>
  <si>
    <t>https://support.google.com/analytics/answer/12923437</t>
  </si>
  <si>
    <t>высокое</t>
  </si>
  <si>
    <t>Google Ads</t>
  </si>
  <si>
    <t>показы, клики, стоимость, конверсии</t>
  </si>
  <si>
    <t>https://support.google.com/google-ads/</t>
  </si>
  <si>
    <t>Яндекс Вордстат</t>
  </si>
  <si>
    <t>частотность запросов, регионы, динамика</t>
  </si>
  <si>
    <t>https://yandex.ru/support2/wordstat/ru/</t>
  </si>
  <si>
    <t>Отражает аудиторию Яндекса.</t>
  </si>
  <si>
    <t>Google Trends</t>
  </si>
  <si>
    <t>относительная динамика интереса</t>
  </si>
  <si>
    <t>https://support.google.com/trends/answer/4365533</t>
  </si>
  <si>
    <t>Индекс 0–100, не абсолютное число запросов.</t>
  </si>
  <si>
    <t>Similarweb</t>
  </si>
  <si>
    <t>посещаемость конкурентов, каналы, география</t>
  </si>
  <si>
    <t>https://www.similarweb.com/website/</t>
  </si>
  <si>
    <t>Оценочные данные, особенно осторожно для малых сайтов.</t>
  </si>
  <si>
    <t>Рекламные кабинеты социальных сетей</t>
  </si>
  <si>
    <t>оценка охвата, клики, заявки</t>
  </si>
  <si>
    <t>заполнить</t>
  </si>
  <si>
    <t>Фиксировать настройки аудитории.</t>
  </si>
  <si>
    <t>Сайты конкурентов</t>
  </si>
  <si>
    <t>цены, услуги, офферы, формы заявки</t>
  </si>
  <si>
    <t>Использовать для среднего чека и структуры предложения.</t>
  </si>
  <si>
    <t>EUR</t>
  </si>
  <si>
    <t>EUR/год</t>
  </si>
  <si>
    <t>TableMind: онлайн-проверка Excel-моделей</t>
  </si>
  <si>
    <t>Англоязычные страны и ЕС-27</t>
  </si>
  <si>
    <t>финансовые аналитики, бухгалтеры, консультанты, МСП</t>
  </si>
  <si>
    <t>EUR/платеж</t>
  </si>
  <si>
    <t>Структура платящих (Д-09) и тарифы ПЗ1</t>
  </si>
  <si>
    <t>Средневзвешенная по визитам доля релевантного трафика 12 сайтов (inputs.SITES)</t>
  </si>
  <si>
    <t>Допущение Д-13: 12 сайтов покрывают около 55 % трафика сегмента</t>
  </si>
  <si>
    <t>Достижимая доля трафика сегмента</t>
  </si>
  <si>
    <t>Платежей в год на платящего</t>
  </si>
  <si>
    <t>Сумма по 12 сайтам; D - доля целевой географии; F - релевантность x качество</t>
  </si>
  <si>
    <t>Similarweb; Google Trends и Вордстат (ЛР1)</t>
  </si>
  <si>
    <t>Similarweb: каталоги, партнеры, AppSource</t>
  </si>
  <si>
    <t>Similarweb: органические и платные</t>
  </si>
  <si>
    <t>Медийная реклама и email</t>
  </si>
  <si>
    <t>AI-поиск и партнерские сети</t>
  </si>
  <si>
    <t>Similarweb: Gen AI и affiliates</t>
  </si>
  <si>
    <t>Визиты по каналу в месяц (12 сайтов)</t>
  </si>
  <si>
    <t>Доля релевантной аудитории (релевантность x качество)</t>
  </si>
  <si>
    <t>shortcut.ai</t>
  </si>
  <si>
    <t>частичный</t>
  </si>
  <si>
    <t>Similarweb Pro, 06-08.2026; E = релевантность x качество</t>
  </si>
  <si>
    <t>perfectxl.com</t>
  </si>
  <si>
    <t>прямой</t>
  </si>
  <si>
    <t>rows.com</t>
  </si>
  <si>
    <t>заменитель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</si>
  <si>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</si>
  <si>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</si>
  <si>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</si>
  <si>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</si>
  <si>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</si>
  <si>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</si>
  <si>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</si>
  <si>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</si>
  <si>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</si>
  <si>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Релевантные посещения сегмента в месяц (оценка полного трафика)</t>
  </si>
  <si>
    <t>Берется с листа 03_Конкуренты_SW: релевантные посещения 12 сайтов / покрытие.</t>
  </si>
  <si>
    <t>Комиссия магазина надстроек (AppSource)</t>
  </si>
  <si>
    <t>Удержание магазином надстроек в месяц</t>
  </si>
  <si>
    <t>Удержание магазином надстроек в год</t>
  </si>
  <si>
    <t>Допущение Д-14: оплаты через AppSource; ДОСНЯТЬ условия Microsoft</t>
  </si>
  <si>
    <t>Своего сайта пока нет: ДОСНЯТЬ после запуска MVP (31.03.2027)</t>
  </si>
  <si>
    <t>Рекламных кабинетов нет: ДОСНЯТЬ тестовые кампании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</si>
</sst>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0" fillId="0" borderId="0" xfId="1" applyFont="1" applyAlignment="1">
      <alignment vertical="top" wrapText="1"/>
    </xf>
    <xf numFmtId="0" fontId="2" fillId="3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  <xf numFmtId="0" fontId="0" fillId="5" borderId="0" xfId="1" applyFont="1" applyFill="1" applyAlignment="1">
      <alignment vertical="top" wrapText="1"/>
    </xf>
    <xf numFmtId="0" fontId="0" fillId="6" borderId="0" xfId="1" applyFont="1" applyFill="1" applyAlignment="1">
      <alignment vertical="top" wrapText="1"/>
    </xf>
    <xf numFmtId="3" fontId="0" fillId="5" borderId="0" xfId="1" applyNumberFormat="1" applyFont="1" applyFill="1" applyAlignment="1">
      <alignment vertical="top" wrapText="1"/>
    </xf>
    <xf numFmtId="9" fontId="0" fillId="5" borderId="0" xfId="1" applyNumberFormat="1" applyFont="1" applyFill="1" applyAlignment="1">
      <alignment vertical="top" wrapText="1"/>
    </xf>
    <xf numFmtId="164" fontId="0" fillId="5" borderId="0" xfId="1" applyNumberFormat="1" applyFont="1" applyFill="1" applyAlignment="1">
      <alignment vertical="top" wrapText="1"/>
    </xf>
    <xf numFmtId="10" fontId="0" fillId="5" borderId="0" xfId="1" applyNumberFormat="1" applyFont="1" applyFill="1" applyAlignment="1">
      <alignment vertical="top" wrapText="1"/>
    </xf>
    <xf numFmtId="3" fontId="0" fillId="6" borderId="0" xfId="1" applyNumberFormat="1" applyFont="1" applyFill="1" applyAlignment="1">
      <alignment vertical="top" wrapText="1"/>
    </xf>
    <xf numFmtId="1" fontId="0" fillId="5" borderId="0" xfId="1" applyNumberFormat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3" fontId="2" fillId="3" borderId="0" xfId="1" applyNumberFormat="1" applyFont="1" applyFill="1" applyAlignment="1">
      <alignment horizontal="center" vertical="top" wrapText="1"/>
    </xf>
    <xf numFmtId="9" fontId="0" fillId="6" borderId="0" xfId="1" applyNumberFormat="1" applyFont="1" applyFill="1" applyAlignment="1">
      <alignment vertical="top" wrapText="1"/>
    </xf>
    <xf numFmtId="10" fontId="0" fillId="6" borderId="0" xfId="1" applyNumberFormat="1" applyFont="1" applyFill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Значение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'08_Дашборд'!$B$4:$B$6</c:f>
              <c:numCache>
                <c:formatCode>#,##0</c:formatCode>
                <c:ptCount val="3"/>
                <c:pt idx="0">
                  <c:v>87186.074395730015</c:v>
                </c:pt>
                <c:pt idx="1">
                  <c:v>1046232.8927487602</c:v>
                </c:pt>
                <c:pt idx="2">
                  <c:v>158521.49098999999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77-49A0-B48F-B900D83603D4}"/>
            </c:ext>
          </c:extLst>
        </c:ser>
        <c:ser>
          <c:idx val="1"/>
          <c:order val="1"/>
          <c:tx>
            <c:v>Единица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'08_Дашборд'!$C$4:$C$6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77-49A0-B48F-B900D83603D4}"/>
            </c:ext>
          </c:extLst>
        </c:ser>
        <c:ser>
          <c:idx val="2"/>
          <c:order val="2"/>
          <c:tx>
            <c:v>Комментарий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77-49A0-B48F-B900D83603D4}"/>
            </c:ext>
          </c:extLst>
        </c:ser>
        <c:ser>
          <c:idx val="3"/>
          <c:order val="3"/>
          <c:tx>
            <c:v>Series 4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DA77-49A0-B48F-B900D83603D4}"/>
            </c:ext>
          </c:extLst>
        </c:ser>
        <c:ser>
          <c:idx val="4"/>
          <c:order val="4"/>
          <c:tx>
            <c:v>Series 5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'08_Дашборд'!$F$4:$F$6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DA77-49A0-B48F-B900D8360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8</xdr:col>
      <xdr:colOff>0</xdr:colOff>
      <xdr:row>12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fficSourcesTable" displayName="TrafficSourcesTable" ref="A3:I10">
  <tableColumns count="9">
    <tableColumn id="1" xr3:uid="{00000000-0010-0000-0000-000001000000}" name="Канал"/>
    <tableColumn id="2" xr3:uid="{00000000-0010-0000-0000-000002000000}" name="Источник данных"/>
    <tableColumn id="3" xr3:uid="{00000000-0010-0000-0000-000003000000}" name="Визиты по каналу в месяц (12 сайтов)"/>
    <tableColumn id="4" xr3:uid="{00000000-0010-0000-0000-000004000000}" name="Доля целевой географии"/>
    <tableColumn id="5" xr3:uid="{00000000-0010-0000-0000-000005000000}" name="Посещения в месяц"/>
    <tableColumn id="6" xr3:uid="{00000000-0010-0000-0000-000006000000}" name="Доля релевантной аудитории (релевантность x качество)"/>
    <tableColumn id="7" xr3:uid="{00000000-0010-0000-0000-000007000000}" name="Релевантные посещения"/>
    <tableColumn id="8" xr3:uid="{00000000-0010-0000-0000-000008000000}" name="Качество данных"/>
    <tableColumn id="9" xr3:uid="{00000000-0010-0000-0000-000009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SWTable" displayName="CompetitorsSWTable" ref="A3:J15">
  <tableColumns count="10">
    <tableColumn id="1" xr3:uid="{00000000-0010-0000-0100-000001000000}" name="Конкурент / сайт"/>
    <tableColumn id="2" xr3:uid="{00000000-0010-0000-0100-000002000000}" name="Тип игрока"/>
    <tableColumn id="3" xr3:uid="{00000000-0010-0000-0100-000003000000}" name="Посещения в месяц по Similarweb"/>
    <tableColumn id="4" xr3:uid="{00000000-0010-0000-0100-000004000000}" name="Доля целевой географии"/>
    <tableColumn id="5" xr3:uid="{00000000-0010-0000-0100-000005000000}" name="Доля релевантной категории"/>
    <tableColumn id="6" xr3:uid="{00000000-0010-0000-0100-000006000000}" name="Релевантные посещения"/>
    <tableColumn id="7" xr3:uid="{00000000-0010-0000-0100-000007000000}" name="Оценочная конверсия в продажу"/>
    <tableColumn id="8" xr3:uid="{00000000-0010-0000-0100-000008000000}" name="Средний чек"/>
    <tableColumn id="9" xr3:uid="{00000000-0010-0000-0100-000009000000}" name="Оценочная выручка в месяц"/>
    <tableColumn id="10" xr3:uid="{00000000-0010-0000-0100-00000A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Table" displayName="FunnelScenarioTable" ref="A3:E13">
  <tableColumns count="5">
    <tableColumn id="1" xr3:uid="{00000000-0010-0000-0200-000001000000}" name="Показатель"/>
    <tableColumn id="2" xr3:uid="{00000000-0010-0000-0200-000002000000}" name="Осторожный"/>
    <tableColumn id="3" xr3:uid="{00000000-0010-0000-0200-000003000000}" name="Базовый"/>
    <tableColumn id="4" xr3:uid="{00000000-0010-0000-0200-000004000000}" name="Оптимистичный"/>
    <tableColumn id="5" xr3:uid="{00000000-0010-0000-0200-000005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enarioSummaryTable" displayName="ScenarioSummaryTable" ref="A3:G6">
  <tableColumns count="7">
    <tableColumn id="1" xr3:uid="{00000000-0010-0000-0300-000001000000}" name="Сценарий"/>
    <tableColumn id="2" xr3:uid="{00000000-0010-0000-0300-000002000000}" name="Достижимые посещения/мес."/>
    <tableColumn id="3" xr3:uid="{00000000-0010-0000-0300-000003000000}" name="Заявки/мес."/>
    <tableColumn id="4" xr3:uid="{00000000-0010-0000-0300-000004000000}" name="Продажи/мес."/>
    <tableColumn id="5" xr3:uid="{00000000-0010-0000-0300-000005000000}" name="Выручка/мес."/>
    <tableColumn id="6" xr3:uid="{00000000-0010-0000-0300-000006000000}" name="Выручка/год"/>
    <tableColumn id="7" xr3:uid="{00000000-0010-0000-0300-000007000000}" name="Интерпретаци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urcesLogTable" displayName="SourcesLogTable" ref="A3:F10">
  <tableColumns count="6">
    <tableColumn id="1" xr3:uid="{00000000-0010-0000-0400-000001000000}" name="Источник"/>
    <tableColumn id="2" xr3:uid="{00000000-0010-0000-0400-000002000000}" name="Что брать"/>
    <tableColumn id="3" xr3:uid="{00000000-0010-0000-0400-000003000000}" name="Ссылка / место хранения"/>
    <tableColumn id="4" xr3:uid="{00000000-0010-0000-0400-000004000000}" name="Дата обращения"/>
    <tableColumn id="5" xr3:uid="{00000000-0010-0000-0400-000005000000}" name="Качество"/>
    <tableColumn id="6" xr3:uid="{00000000-0010-0000-0400-000006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selection sqref="A1:H1"/>
    </sheetView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0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1"/>
      <c r="J3" s="1"/>
    </row>
    <row r="4" spans="1:10" ht="108">
      <c r="A4" s="3" t="s">
        <v>9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1"/>
      <c r="J4" s="1"/>
    </row>
    <row r="5" spans="1:10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3.9">
      <c r="A6" s="2" t="s">
        <v>17</v>
      </c>
      <c r="B6" s="2" t="s">
        <v>18</v>
      </c>
      <c r="C6" s="2" t="s">
        <v>19</v>
      </c>
      <c r="D6" s="2" t="s">
        <v>20</v>
      </c>
      <c r="E6" s="1"/>
      <c r="F6" s="1"/>
      <c r="G6" s="1"/>
      <c r="H6" s="1"/>
      <c r="I6" s="1"/>
      <c r="J6" s="1"/>
    </row>
    <row r="7" spans="1:10" ht="67.5">
      <c r="A7" s="1">
        <v>1</v>
      </c>
      <c r="B7" s="1" t="s">
        <v>21</v>
      </c>
      <c r="C7" s="1" t="s">
        <v>22</v>
      </c>
      <c r="D7" s="1" t="s">
        <v>23</v>
      </c>
      <c r="E7" s="1"/>
      <c r="F7" s="1"/>
      <c r="G7" s="1"/>
      <c r="H7" s="1"/>
      <c r="I7" s="1"/>
      <c r="J7" s="1"/>
    </row>
    <row r="8" spans="1:10" ht="40.5">
      <c r="A8" s="1">
        <v>2</v>
      </c>
      <c r="B8" s="1" t="s">
        <v>24</v>
      </c>
      <c r="C8" s="1" t="s">
        <v>25</v>
      </c>
      <c r="D8" s="1" t="s">
        <v>26</v>
      </c>
      <c r="E8" s="1"/>
      <c r="F8" s="1"/>
      <c r="G8" s="1"/>
      <c r="H8" s="1"/>
      <c r="I8" s="1"/>
      <c r="J8" s="1"/>
    </row>
    <row r="9" spans="1:10" ht="54">
      <c r="A9" s="1">
        <v>3</v>
      </c>
      <c r="B9" s="1" t="s">
        <v>27</v>
      </c>
      <c r="C9" s="1" t="s">
        <v>28</v>
      </c>
      <c r="D9" s="1" t="s">
        <v>29</v>
      </c>
      <c r="E9" s="1"/>
      <c r="F9" s="1"/>
      <c r="G9" s="1"/>
      <c r="H9" s="1"/>
      <c r="I9" s="1"/>
      <c r="J9" s="1"/>
    </row>
    <row r="10" spans="1:10" ht="40.5">
      <c r="A10" s="1">
        <v>4</v>
      </c>
      <c r="B10" s="1" t="s">
        <v>30</v>
      </c>
      <c r="C10" s="1" t="s">
        <v>31</v>
      </c>
      <c r="D10" s="1" t="s">
        <v>32</v>
      </c>
      <c r="E10" s="1"/>
      <c r="F10" s="1"/>
      <c r="G10" s="1"/>
      <c r="H10" s="1"/>
      <c r="I10" s="1"/>
      <c r="J10" s="1"/>
    </row>
    <row r="11" spans="1:10" ht="54">
      <c r="A11" s="1">
        <v>5</v>
      </c>
      <c r="B11" s="1" t="s">
        <v>33</v>
      </c>
      <c r="C11" s="1" t="s">
        <v>34</v>
      </c>
      <c r="D11" s="1" t="s">
        <v>35</v>
      </c>
      <c r="E11" s="1"/>
      <c r="F11" s="1"/>
      <c r="G11" s="1"/>
      <c r="H11" s="1"/>
      <c r="I11" s="1"/>
      <c r="J11" s="1"/>
    </row>
    <row r="12" spans="1:10" ht="40.5">
      <c r="A12" s="1">
        <v>6</v>
      </c>
      <c r="B12" s="1" t="s">
        <v>36</v>
      </c>
      <c r="C12" s="1" t="s">
        <v>37</v>
      </c>
      <c r="D12" s="1" t="s">
        <v>38</v>
      </c>
      <c r="E12" s="1"/>
      <c r="F12" s="1"/>
      <c r="G12" s="1"/>
      <c r="H12" s="1"/>
      <c r="I12" s="1"/>
      <c r="J12" s="1"/>
    </row>
    <row r="13" spans="1:10" ht="67.5">
      <c r="A13" s="1">
        <v>7</v>
      </c>
      <c r="B13" s="1" t="s">
        <v>39</v>
      </c>
      <c r="C13" s="1" t="s">
        <v>40</v>
      </c>
      <c r="D13" s="1" t="s">
        <v>41</v>
      </c>
      <c r="E13" s="1"/>
      <c r="F13" s="1"/>
      <c r="G13" s="1"/>
      <c r="H13" s="1"/>
      <c r="I13" s="1"/>
      <c r="J13" s="1"/>
    </row>
    <row r="14" spans="1:10" ht="54">
      <c r="A14" s="1">
        <v>8</v>
      </c>
      <c r="B14" s="1" t="s">
        <v>42</v>
      </c>
      <c r="C14" s="1" t="s">
        <v>43</v>
      </c>
      <c r="D14" s="1" t="s">
        <v>44</v>
      </c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13.9">
      <c r="A16" s="2" t="s">
        <v>45</v>
      </c>
      <c r="B16" s="2" t="s">
        <v>46</v>
      </c>
      <c r="C16" s="2" t="s">
        <v>47</v>
      </c>
      <c r="D16" s="2" t="s">
        <v>48</v>
      </c>
      <c r="E16" s="1"/>
      <c r="F16" s="1"/>
      <c r="G16" s="1"/>
      <c r="H16" s="1"/>
      <c r="I16" s="1"/>
      <c r="J16" s="1"/>
    </row>
    <row r="17" spans="1:10" ht="27">
      <c r="A17" s="4" t="s">
        <v>49</v>
      </c>
      <c r="B17" s="1" t="s">
        <v>50</v>
      </c>
      <c r="C17" s="1" t="s">
        <v>51</v>
      </c>
      <c r="D17" s="1" t="s">
        <v>52</v>
      </c>
      <c r="E17" s="1"/>
      <c r="F17" s="1"/>
      <c r="G17" s="1"/>
      <c r="H17" s="1"/>
      <c r="I17" s="1"/>
      <c r="J17" s="1"/>
    </row>
    <row r="18" spans="1:10">
      <c r="A18" s="5" t="s">
        <v>53</v>
      </c>
      <c r="B18" s="1" t="s">
        <v>54</v>
      </c>
      <c r="C18" s="1" t="s">
        <v>55</v>
      </c>
      <c r="D18" s="1" t="s">
        <v>56</v>
      </c>
      <c r="E18" s="1"/>
      <c r="F18" s="1"/>
      <c r="G18" s="1"/>
      <c r="H18" s="1"/>
      <c r="I18" s="1"/>
      <c r="J18" s="1"/>
    </row>
    <row r="19" spans="1:10" ht="40.5">
      <c r="A19" s="3" t="s">
        <v>57</v>
      </c>
      <c r="B19" s="1" t="s">
        <v>58</v>
      </c>
      <c r="C19" s="1" t="s">
        <v>51</v>
      </c>
      <c r="D19" s="1" t="s">
        <v>59</v>
      </c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60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61</v>
      </c>
      <c r="B3" s="2" t="s">
        <v>46</v>
      </c>
      <c r="C3" s="2" t="s">
        <v>62</v>
      </c>
      <c r="D3" s="2" t="s">
        <v>63</v>
      </c>
      <c r="E3" s="2" t="s">
        <v>48</v>
      </c>
      <c r="F3" s="2" t="s">
        <v>64</v>
      </c>
      <c r="G3" s="1"/>
      <c r="H3" s="1"/>
      <c r="I3" s="1"/>
      <c r="J3" s="1"/>
    </row>
    <row r="4" spans="1:10" ht="40.5">
      <c r="A4" s="1" t="s">
        <v>65</v>
      </c>
      <c r="B4" s="4" t="s">
        <v>268</v>
      </c>
      <c r="C4" s="1" t="s">
        <v>66</v>
      </c>
      <c r="D4" s="1" t="s">
        <v>67</v>
      </c>
      <c r="E4" s="1" t="s">
        <v>68</v>
      </c>
      <c r="F4" s="1" t="s">
        <v>69</v>
      </c>
      <c r="G4" s="1"/>
      <c r="H4" s="1"/>
      <c r="I4" s="1"/>
      <c r="J4" s="1"/>
    </row>
    <row r="5" spans="1:10" ht="40.5">
      <c r="A5" s="1" t="s">
        <v>70</v>
      </c>
      <c r="B5" s="4" t="s">
        <v>269</v>
      </c>
      <c r="C5" s="1" t="s">
        <v>71</v>
      </c>
      <c r="D5" s="1" t="s">
        <v>72</v>
      </c>
      <c r="E5" s="1" t="s">
        <v>73</v>
      </c>
      <c r="F5" s="1" t="s">
        <v>69</v>
      </c>
      <c r="G5" s="1"/>
      <c r="H5" s="1"/>
      <c r="I5" s="1"/>
      <c r="J5" s="1"/>
    </row>
    <row r="6" spans="1:10" ht="40.5">
      <c r="A6" s="1" t="s">
        <v>74</v>
      </c>
      <c r="B6" s="4" t="s">
        <v>75</v>
      </c>
      <c r="C6" s="1" t="s">
        <v>76</v>
      </c>
      <c r="D6" s="1" t="s">
        <v>77</v>
      </c>
      <c r="E6" s="1" t="s">
        <v>78</v>
      </c>
      <c r="F6" s="1" t="s">
        <v>69</v>
      </c>
      <c r="G6" s="1"/>
      <c r="H6" s="1"/>
      <c r="I6" s="1"/>
      <c r="J6" s="1"/>
    </row>
    <row r="7" spans="1:10" ht="27">
      <c r="A7" s="1" t="s">
        <v>79</v>
      </c>
      <c r="B7" s="4" t="s">
        <v>266</v>
      </c>
      <c r="C7" s="1" t="s">
        <v>80</v>
      </c>
      <c r="D7" s="1" t="s">
        <v>67</v>
      </c>
      <c r="E7" s="1" t="s">
        <v>81</v>
      </c>
      <c r="F7" s="1" t="s">
        <v>69</v>
      </c>
      <c r="G7" s="1"/>
      <c r="H7" s="1"/>
      <c r="I7" s="1"/>
      <c r="J7" s="1"/>
    </row>
    <row r="8" spans="1:10" ht="54">
      <c r="A8" s="1" t="s">
        <v>82</v>
      </c>
      <c r="B8" s="6" t="s">
        <v>270</v>
      </c>
      <c r="C8" s="1" t="s">
        <v>83</v>
      </c>
      <c r="D8" s="1" t="s">
        <v>84</v>
      </c>
      <c r="E8" s="1" t="s">
        <v>85</v>
      </c>
      <c r="F8" s="1" t="s">
        <v>69</v>
      </c>
      <c r="G8" s="1"/>
      <c r="H8" s="1"/>
      <c r="I8" s="1"/>
      <c r="J8" s="1"/>
    </row>
    <row r="9" spans="1:10" ht="27">
      <c r="A9" s="1" t="s">
        <v>86</v>
      </c>
      <c r="B9" s="6">
        <v>19.43</v>
      </c>
      <c r="C9" s="1" t="s">
        <v>271</v>
      </c>
      <c r="D9" s="1" t="s">
        <v>272</v>
      </c>
      <c r="E9" s="1" t="s">
        <v>88</v>
      </c>
      <c r="F9" s="1" t="s">
        <v>69</v>
      </c>
      <c r="G9" s="1"/>
      <c r="H9" s="1"/>
      <c r="I9" s="1"/>
      <c r="J9" s="1"/>
    </row>
    <row r="10" spans="1:10" ht="27">
      <c r="A10" s="1" t="s">
        <v>89</v>
      </c>
      <c r="B10" s="6">
        <v>17.27</v>
      </c>
      <c r="C10" s="1" t="s">
        <v>271</v>
      </c>
      <c r="D10" s="1" t="s">
        <v>87</v>
      </c>
      <c r="E10" s="1" t="s">
        <v>90</v>
      </c>
      <c r="F10" s="1" t="s">
        <v>69</v>
      </c>
      <c r="G10" s="1"/>
      <c r="H10" s="1"/>
      <c r="I10" s="1"/>
      <c r="J10" s="1"/>
    </row>
    <row r="11" spans="1:10" ht="27">
      <c r="A11" s="1" t="s">
        <v>91</v>
      </c>
      <c r="B11" s="7">
        <v>20.29</v>
      </c>
      <c r="C11" s="1" t="s">
        <v>271</v>
      </c>
      <c r="D11" s="1" t="s">
        <v>87</v>
      </c>
      <c r="E11" s="1" t="s">
        <v>92</v>
      </c>
      <c r="F11" s="1" t="s">
        <v>69</v>
      </c>
      <c r="G11" s="1"/>
      <c r="H11" s="1"/>
      <c r="I11" s="1"/>
      <c r="J11" s="1"/>
    </row>
    <row r="12" spans="1:10" ht="67.5">
      <c r="A12" s="1" t="s">
        <v>93</v>
      </c>
      <c r="B12" s="4">
        <v>0.21149999999999999</v>
      </c>
      <c r="C12" s="1" t="s">
        <v>94</v>
      </c>
      <c r="D12" s="1" t="s">
        <v>273</v>
      </c>
      <c r="E12" s="1" t="s">
        <v>95</v>
      </c>
      <c r="F12" s="1" t="s">
        <v>69</v>
      </c>
      <c r="G12" s="1"/>
      <c r="H12" s="1"/>
      <c r="I12" s="1"/>
      <c r="J12" s="1"/>
    </row>
    <row r="13" spans="1:10" ht="54">
      <c r="A13" s="1" t="s">
        <v>96</v>
      </c>
      <c r="B13" s="4">
        <v>0.55000000000000004</v>
      </c>
      <c r="C13" s="1" t="s">
        <v>94</v>
      </c>
      <c r="D13" s="1" t="s">
        <v>274</v>
      </c>
      <c r="E13" s="1" t="s">
        <v>97</v>
      </c>
      <c r="F13" s="1" t="s">
        <v>69</v>
      </c>
      <c r="G13" s="1"/>
      <c r="H13" s="1"/>
      <c r="I13" s="1"/>
      <c r="J13" s="1"/>
    </row>
    <row r="14" spans="1:10" ht="27">
      <c r="A14" s="1" t="s">
        <v>98</v>
      </c>
      <c r="B14" s="8">
        <v>46298</v>
      </c>
      <c r="C14" s="1" t="s">
        <v>99</v>
      </c>
      <c r="D14" s="1" t="s">
        <v>67</v>
      </c>
      <c r="E14" s="1" t="s">
        <v>100</v>
      </c>
      <c r="F14" s="1" t="s">
        <v>69</v>
      </c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75">
      <c r="A16" s="2" t="s">
        <v>101</v>
      </c>
      <c r="B16" s="2" t="s">
        <v>275</v>
      </c>
      <c r="C16" s="2" t="s">
        <v>102</v>
      </c>
      <c r="D16" s="2" t="s">
        <v>103</v>
      </c>
      <c r="E16" s="2" t="s">
        <v>104</v>
      </c>
      <c r="F16" s="2" t="s">
        <v>276</v>
      </c>
      <c r="G16" s="1"/>
      <c r="H16" s="1"/>
      <c r="I16" s="1"/>
      <c r="J16" s="1"/>
    </row>
    <row r="17" spans="1:10">
      <c r="A17" s="1" t="s">
        <v>106</v>
      </c>
      <c r="B17" s="9">
        <v>5.0000000000000001E-3</v>
      </c>
      <c r="C17" s="9">
        <v>0.02</v>
      </c>
      <c r="D17" s="9">
        <v>0.03</v>
      </c>
      <c r="E17" s="10">
        <f>B10</f>
        <v>17.27</v>
      </c>
      <c r="F17" s="11">
        <v>3.1199999999999997</v>
      </c>
      <c r="G17" s="1"/>
      <c r="H17" s="1"/>
      <c r="I17" s="1"/>
      <c r="J17" s="1"/>
    </row>
    <row r="18" spans="1:10">
      <c r="A18" s="1" t="s">
        <v>107</v>
      </c>
      <c r="B18" s="9">
        <v>1.4999999999999999E-2</v>
      </c>
      <c r="C18" s="9">
        <v>0.04</v>
      </c>
      <c r="D18" s="9">
        <v>0.05</v>
      </c>
      <c r="E18" s="10">
        <f>B9</f>
        <v>19.43</v>
      </c>
      <c r="F18" s="11">
        <v>5.1749999999999998</v>
      </c>
      <c r="G18" s="1"/>
      <c r="H18" s="1"/>
      <c r="I18" s="1"/>
      <c r="J18" s="1"/>
    </row>
    <row r="19" spans="1:10">
      <c r="A19" s="1" t="s">
        <v>108</v>
      </c>
      <c r="B19" s="9">
        <v>0.04</v>
      </c>
      <c r="C19" s="9">
        <v>7.0000000000000007E-2</v>
      </c>
      <c r="D19" s="9">
        <v>0.08</v>
      </c>
      <c r="E19" s="10">
        <f>B11</f>
        <v>20.29</v>
      </c>
      <c r="F19" s="11">
        <v>7.35</v>
      </c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109</v>
      </c>
      <c r="B1" s="17"/>
      <c r="C1" s="17"/>
      <c r="D1" s="17"/>
      <c r="E1" s="17"/>
      <c r="F1" s="17"/>
      <c r="G1" s="17"/>
      <c r="H1" s="17"/>
      <c r="I1" s="17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55.5">
      <c r="A3" s="2" t="s">
        <v>110</v>
      </c>
      <c r="B3" s="2" t="s">
        <v>111</v>
      </c>
      <c r="C3" s="2" t="s">
        <v>284</v>
      </c>
      <c r="D3" s="2" t="s">
        <v>138</v>
      </c>
      <c r="E3" s="2" t="s">
        <v>112</v>
      </c>
      <c r="F3" s="2" t="s">
        <v>285</v>
      </c>
      <c r="G3" s="2" t="s">
        <v>113</v>
      </c>
      <c r="H3" s="2" t="s">
        <v>114</v>
      </c>
      <c r="I3" s="2" t="s">
        <v>48</v>
      </c>
      <c r="J3" s="1"/>
    </row>
    <row r="4" spans="1:10" ht="40.5">
      <c r="A4" s="1" t="s">
        <v>120</v>
      </c>
      <c r="B4" s="1" t="s">
        <v>255</v>
      </c>
      <c r="C4" s="6">
        <v>742391</v>
      </c>
      <c r="D4" s="6">
        <v>0.25650000000000001</v>
      </c>
      <c r="E4" s="10">
        <f t="shared" ref="E4:E10" si="0">C4*D4</f>
        <v>190423.29149999999</v>
      </c>
      <c r="F4" s="6">
        <v>0.19600000000000001</v>
      </c>
      <c r="G4" s="10">
        <f t="shared" ref="G4:G10" si="1">E4*F4</f>
        <v>37322.965133999998</v>
      </c>
      <c r="H4" s="1" t="s">
        <v>116</v>
      </c>
      <c r="I4" s="1" t="s">
        <v>277</v>
      </c>
      <c r="J4" s="1"/>
    </row>
    <row r="5" spans="1:10" ht="40.5">
      <c r="A5" s="1" t="s">
        <v>115</v>
      </c>
      <c r="B5" s="1" t="s">
        <v>278</v>
      </c>
      <c r="C5" s="6">
        <v>864031</v>
      </c>
      <c r="D5" s="6">
        <v>0.1527</v>
      </c>
      <c r="E5" s="10">
        <f t="shared" si="0"/>
        <v>131937.5337</v>
      </c>
      <c r="F5" s="6">
        <v>0.22220000000000001</v>
      </c>
      <c r="G5" s="10">
        <f t="shared" si="1"/>
        <v>29316.51998814</v>
      </c>
      <c r="H5" s="1" t="s">
        <v>116</v>
      </c>
      <c r="I5" s="1" t="s">
        <v>277</v>
      </c>
      <c r="J5" s="1"/>
    </row>
    <row r="6" spans="1:10" ht="40.5">
      <c r="A6" s="1" t="s">
        <v>117</v>
      </c>
      <c r="B6" s="1" t="s">
        <v>255</v>
      </c>
      <c r="C6" s="6">
        <v>73495</v>
      </c>
      <c r="D6" s="6">
        <v>0.34439999999999998</v>
      </c>
      <c r="E6" s="10">
        <f t="shared" si="0"/>
        <v>25311.678</v>
      </c>
      <c r="F6" s="6">
        <v>0.15160000000000001</v>
      </c>
      <c r="G6" s="10">
        <f t="shared" si="1"/>
        <v>3837.2503848000001</v>
      </c>
      <c r="H6" s="1" t="s">
        <v>116</v>
      </c>
      <c r="I6" s="1" t="s">
        <v>277</v>
      </c>
      <c r="J6" s="1"/>
    </row>
    <row r="7" spans="1:10" ht="40.5">
      <c r="A7" s="1" t="s">
        <v>119</v>
      </c>
      <c r="B7" s="1" t="s">
        <v>279</v>
      </c>
      <c r="C7" s="6">
        <v>153183</v>
      </c>
      <c r="D7" s="6">
        <v>0.15909999999999999</v>
      </c>
      <c r="E7" s="10">
        <f t="shared" si="0"/>
        <v>24371.415299999997</v>
      </c>
      <c r="F7" s="6">
        <v>0.2467</v>
      </c>
      <c r="G7" s="10">
        <f t="shared" si="1"/>
        <v>6012.4281545099993</v>
      </c>
      <c r="H7" s="1" t="s">
        <v>116</v>
      </c>
      <c r="I7" s="1" t="s">
        <v>277</v>
      </c>
      <c r="J7" s="1"/>
    </row>
    <row r="8" spans="1:10" ht="40.5">
      <c r="A8" s="1" t="s">
        <v>118</v>
      </c>
      <c r="B8" s="1" t="s">
        <v>280</v>
      </c>
      <c r="C8" s="6">
        <v>57025</v>
      </c>
      <c r="D8" s="6">
        <v>0.30180000000000001</v>
      </c>
      <c r="E8" s="10">
        <f t="shared" si="0"/>
        <v>17210.145</v>
      </c>
      <c r="F8" s="6">
        <v>0.22969999999999999</v>
      </c>
      <c r="G8" s="10">
        <f t="shared" si="1"/>
        <v>3953.1703064999997</v>
      </c>
      <c r="H8" s="1" t="s">
        <v>116</v>
      </c>
      <c r="I8" s="1" t="s">
        <v>277</v>
      </c>
      <c r="J8" s="1"/>
    </row>
    <row r="9" spans="1:10" ht="40.5">
      <c r="A9" s="1" t="s">
        <v>281</v>
      </c>
      <c r="B9" s="1" t="s">
        <v>255</v>
      </c>
      <c r="C9" s="6">
        <v>51165</v>
      </c>
      <c r="D9" s="6">
        <v>0.34260000000000002</v>
      </c>
      <c r="E9" s="10">
        <f t="shared" si="0"/>
        <v>17529.129000000001</v>
      </c>
      <c r="F9" s="6">
        <v>0.22090000000000001</v>
      </c>
      <c r="G9" s="10">
        <f t="shared" si="1"/>
        <v>3872.1845961000004</v>
      </c>
      <c r="H9" s="1" t="s">
        <v>116</v>
      </c>
      <c r="I9" s="1" t="s">
        <v>277</v>
      </c>
      <c r="J9" s="1"/>
    </row>
    <row r="10" spans="1:10" ht="40.5">
      <c r="A10" s="1" t="s">
        <v>282</v>
      </c>
      <c r="B10" s="1" t="s">
        <v>283</v>
      </c>
      <c r="C10" s="6">
        <v>64643</v>
      </c>
      <c r="D10" s="6">
        <v>0.22389999999999999</v>
      </c>
      <c r="E10" s="10">
        <f t="shared" si="0"/>
        <v>14473.5677</v>
      </c>
      <c r="F10" s="6">
        <v>0.19839999999999999</v>
      </c>
      <c r="G10" s="10">
        <f t="shared" si="1"/>
        <v>2871.5558316799998</v>
      </c>
      <c r="H10" s="1" t="s">
        <v>116</v>
      </c>
      <c r="I10" s="1" t="s">
        <v>277</v>
      </c>
      <c r="J10" s="1"/>
    </row>
    <row r="11" spans="1:10">
      <c r="A11" s="1"/>
      <c r="B11" s="1"/>
      <c r="C11" s="12"/>
      <c r="D11" s="12"/>
      <c r="E11" s="12"/>
      <c r="F11" s="12"/>
      <c r="G11" s="12"/>
      <c r="H11" s="1"/>
      <c r="I11" s="1"/>
      <c r="J11" s="1"/>
    </row>
    <row r="12" spans="1:10" ht="13.9">
      <c r="A12" s="2" t="s">
        <v>8</v>
      </c>
      <c r="B12" s="2" t="s">
        <v>121</v>
      </c>
      <c r="C12" s="13" t="s">
        <v>46</v>
      </c>
      <c r="D12" s="13" t="s">
        <v>62</v>
      </c>
      <c r="E12" s="13" t="s">
        <v>48</v>
      </c>
      <c r="F12" s="13" t="s">
        <v>122</v>
      </c>
      <c r="G12" s="12"/>
      <c r="H12" s="1"/>
      <c r="I12" s="1"/>
      <c r="J12" s="1"/>
    </row>
    <row r="13" spans="1:10" ht="40.5">
      <c r="A13" s="1" t="s">
        <v>123</v>
      </c>
      <c r="B13" s="1" t="s">
        <v>124</v>
      </c>
      <c r="C13" s="10">
        <f>SUM(E4:E10)</f>
        <v>421256.76020000002</v>
      </c>
      <c r="D13" s="12" t="s">
        <v>125</v>
      </c>
      <c r="E13" s="12" t="s">
        <v>126</v>
      </c>
      <c r="F13" s="12" t="s">
        <v>127</v>
      </c>
      <c r="G13" s="12"/>
      <c r="H13" s="1"/>
      <c r="I13" s="1"/>
      <c r="J13" s="1"/>
    </row>
    <row r="14" spans="1:10" ht="27">
      <c r="A14" s="1" t="s">
        <v>128</v>
      </c>
      <c r="B14" s="1" t="s">
        <v>129</v>
      </c>
      <c r="C14" s="10">
        <f>SUM(G4:G10)</f>
        <v>87186.074395730015</v>
      </c>
      <c r="D14" s="12" t="s">
        <v>125</v>
      </c>
      <c r="E14" s="12" t="s">
        <v>130</v>
      </c>
      <c r="F14" s="12" t="s">
        <v>127</v>
      </c>
      <c r="G14" s="12"/>
      <c r="H14" s="1"/>
      <c r="I14" s="1"/>
      <c r="J14" s="1"/>
    </row>
    <row r="15" spans="1:10" ht="27">
      <c r="A15" s="1" t="s">
        <v>131</v>
      </c>
      <c r="B15" s="1" t="s">
        <v>132</v>
      </c>
      <c r="C15" s="10">
        <f>C14*12</f>
        <v>1046232.8927487602</v>
      </c>
      <c r="D15" s="12" t="s">
        <v>125</v>
      </c>
      <c r="E15" s="12" t="s">
        <v>133</v>
      </c>
      <c r="F15" s="12" t="s">
        <v>127</v>
      </c>
      <c r="G15" s="12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I1"/>
  </mergeCells>
  <dataValidations count="1">
    <dataValidation type="list" sqref="H4:H10" xr:uid="{00000000-0002-0000-02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134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135</v>
      </c>
      <c r="B3" s="2" t="s">
        <v>136</v>
      </c>
      <c r="C3" s="2" t="s">
        <v>137</v>
      </c>
      <c r="D3" s="2" t="s">
        <v>138</v>
      </c>
      <c r="E3" s="2" t="s">
        <v>139</v>
      </c>
      <c r="F3" s="2" t="s">
        <v>113</v>
      </c>
      <c r="G3" s="2" t="s">
        <v>140</v>
      </c>
      <c r="H3" s="2" t="s">
        <v>104</v>
      </c>
      <c r="I3" s="2" t="s">
        <v>141</v>
      </c>
      <c r="J3" s="2" t="s">
        <v>48</v>
      </c>
    </row>
    <row r="4" spans="1:10" ht="27">
      <c r="A4" s="4" t="s">
        <v>286</v>
      </c>
      <c r="B4" s="4" t="s">
        <v>287</v>
      </c>
      <c r="C4" s="6">
        <v>154111</v>
      </c>
      <c r="D4" s="7">
        <v>0.26539999999999997</v>
      </c>
      <c r="E4" s="7">
        <v>0.29749999999999999</v>
      </c>
      <c r="F4" s="10">
        <f>C4*D4*E4</f>
        <v>12168.065171499999</v>
      </c>
      <c r="G4" s="9">
        <v>2E-3</v>
      </c>
      <c r="H4" s="6">
        <v>100.58</v>
      </c>
      <c r="I4" s="10">
        <f>F4*G4*H4</f>
        <v>2447.7279898989395</v>
      </c>
      <c r="J4" s="1" t="s">
        <v>288</v>
      </c>
    </row>
    <row r="5" spans="1:10" ht="27">
      <c r="A5" s="4" t="s">
        <v>289</v>
      </c>
      <c r="B5" s="4" t="s">
        <v>290</v>
      </c>
      <c r="C5" s="6">
        <v>35325</v>
      </c>
      <c r="D5" s="7">
        <v>0.4395</v>
      </c>
      <c r="E5" s="7">
        <v>0.68</v>
      </c>
      <c r="F5" s="10">
        <f>C5*D5*E5</f>
        <v>10557.229500000001</v>
      </c>
      <c r="G5" s="9">
        <v>2E-3</v>
      </c>
      <c r="H5" s="6">
        <v>100.58</v>
      </c>
      <c r="I5" s="10">
        <f>F5*G5*H5</f>
        <v>2123.6922862200004</v>
      </c>
      <c r="J5" s="1" t="s">
        <v>288</v>
      </c>
    </row>
    <row r="6" spans="1:10" ht="27">
      <c r="A6" s="4" t="s">
        <v>291</v>
      </c>
      <c r="B6" s="4" t="s">
        <v>292</v>
      </c>
      <c r="C6" s="6">
        <v>241737</v>
      </c>
      <c r="D6" s="7">
        <v>0.1091</v>
      </c>
      <c r="E6" s="7">
        <v>0.1275</v>
      </c>
      <c r="F6" s="10">
        <f>C6*D6*E6</f>
        <v>3362.6221042500001</v>
      </c>
      <c r="G6" s="9">
        <v>2E-3</v>
      </c>
      <c r="H6" s="6">
        <v>100.58</v>
      </c>
      <c r="I6" s="10">
        <f>F6*G6*H6</f>
        <v>676.42506249093003</v>
      </c>
      <c r="J6" s="1" t="s">
        <v>288</v>
      </c>
    </row>
    <row r="7" spans="1:10" ht="27">
      <c r="A7" s="4" t="s">
        <v>293</v>
      </c>
      <c r="B7" s="4" t="s">
        <v>292</v>
      </c>
      <c r="C7" s="6">
        <v>202178</v>
      </c>
      <c r="D7" s="7">
        <v>0.16220000000000001</v>
      </c>
      <c r="E7" s="7">
        <v>0.255</v>
      </c>
      <c r="F7" s="10">
        <f>C7*D7*E7</f>
        <v>8362.2842579999997</v>
      </c>
      <c r="G7" s="9">
        <v>2E-3</v>
      </c>
      <c r="H7" s="6">
        <v>100.58</v>
      </c>
      <c r="I7" s="10">
        <f>F7*G7*H7</f>
        <v>1682.1571013392797</v>
      </c>
      <c r="J7" s="1" t="s">
        <v>288</v>
      </c>
    </row>
    <row r="8" spans="1:10" ht="27">
      <c r="A8" s="4" t="s">
        <v>294</v>
      </c>
      <c r="B8" s="4" t="s">
        <v>290</v>
      </c>
      <c r="C8" s="6">
        <v>14688</v>
      </c>
      <c r="D8" s="7">
        <v>0.95979999999999999</v>
      </c>
      <c r="E8" s="7">
        <v>0.4</v>
      </c>
      <c r="F8" s="10">
        <f>C8*D8*E8</f>
        <v>5639.0169600000008</v>
      </c>
      <c r="G8" s="9">
        <v>2E-3</v>
      </c>
      <c r="H8" s="6">
        <v>100.58</v>
      </c>
      <c r="I8" s="10">
        <f>F8*G8*H8</f>
        <v>1134.3446516736003</v>
      </c>
      <c r="J8" s="1" t="s">
        <v>288</v>
      </c>
    </row>
    <row r="9" spans="1:10" ht="27">
      <c r="A9" s="4" t="s">
        <v>295</v>
      </c>
      <c r="B9" s="4" t="s">
        <v>290</v>
      </c>
      <c r="C9" s="6">
        <v>17824</v>
      </c>
      <c r="D9" s="7">
        <v>0.58709999999999996</v>
      </c>
      <c r="E9" s="7">
        <v>0.64</v>
      </c>
      <c r="F9" s="10">
        <f>C9*D9*E9</f>
        <v>6697.2610559999994</v>
      </c>
      <c r="G9" s="9">
        <v>2E-3</v>
      </c>
      <c r="H9" s="6">
        <v>100.58</v>
      </c>
      <c r="I9" s="10">
        <f>F9*G9*H9</f>
        <v>1347.2210340249599</v>
      </c>
      <c r="J9" s="1" t="s">
        <v>288</v>
      </c>
    </row>
    <row r="10" spans="1:10" ht="27">
      <c r="A10" s="4" t="s">
        <v>296</v>
      </c>
      <c r="B10" s="4" t="s">
        <v>292</v>
      </c>
      <c r="C10" s="6">
        <v>292214</v>
      </c>
      <c r="D10" s="7">
        <v>9.6499999999999989E-2</v>
      </c>
      <c r="E10" s="7">
        <v>0.24</v>
      </c>
      <c r="F10" s="10">
        <f>C10*D10*E10</f>
        <v>6767.6762399999989</v>
      </c>
      <c r="G10" s="9">
        <v>2E-3</v>
      </c>
      <c r="H10" s="6">
        <v>100.58</v>
      </c>
      <c r="I10" s="10">
        <f>F10*G10*H10</f>
        <v>1361.3857524383998</v>
      </c>
      <c r="J10" s="1" t="s">
        <v>288</v>
      </c>
    </row>
    <row r="11" spans="1:10" ht="27">
      <c r="A11" s="4" t="s">
        <v>297</v>
      </c>
      <c r="B11" s="4" t="s">
        <v>292</v>
      </c>
      <c r="C11" s="6">
        <v>116617</v>
      </c>
      <c r="D11" s="7">
        <v>0.18229999999999999</v>
      </c>
      <c r="E11" s="7">
        <v>0.21249999999999999</v>
      </c>
      <c r="F11" s="10">
        <f>C11*D11*E11</f>
        <v>4517.5968087499996</v>
      </c>
      <c r="G11" s="9">
        <v>2E-3</v>
      </c>
      <c r="H11" s="6">
        <v>100.58</v>
      </c>
      <c r="I11" s="10">
        <f>F11*G11*H11</f>
        <v>908.75977404814989</v>
      </c>
      <c r="J11" s="1" t="s">
        <v>288</v>
      </c>
    </row>
    <row r="12" spans="1:10" ht="27">
      <c r="A12" s="4" t="s">
        <v>298</v>
      </c>
      <c r="B12" s="4" t="s">
        <v>292</v>
      </c>
      <c r="C12" s="6">
        <v>222359</v>
      </c>
      <c r="D12" s="7">
        <v>0.76359999999999995</v>
      </c>
      <c r="E12" s="7">
        <v>0.13500000000000001</v>
      </c>
      <c r="F12" s="10">
        <f>C12*D12*E12</f>
        <v>22922.099874</v>
      </c>
      <c r="G12" s="9">
        <v>2E-3</v>
      </c>
      <c r="H12" s="6">
        <v>100.58</v>
      </c>
      <c r="I12" s="10">
        <f>F12*G12*H12</f>
        <v>4611.0096106538404</v>
      </c>
      <c r="J12" s="1" t="s">
        <v>288</v>
      </c>
    </row>
    <row r="13" spans="1:10" ht="27">
      <c r="A13" s="4" t="s">
        <v>299</v>
      </c>
      <c r="B13" s="4" t="s">
        <v>292</v>
      </c>
      <c r="C13" s="6">
        <v>701540</v>
      </c>
      <c r="D13" s="7">
        <v>8.199999999999999E-2</v>
      </c>
      <c r="E13" s="7">
        <v>8.5000000000000006E-2</v>
      </c>
      <c r="F13" s="10">
        <f>C13*D13*E13</f>
        <v>4889.7338</v>
      </c>
      <c r="G13" s="9">
        <v>2E-3</v>
      </c>
      <c r="H13" s="6">
        <v>100.58</v>
      </c>
      <c r="I13" s="10">
        <f>F13*G13*H13</f>
        <v>983.61885120800002</v>
      </c>
      <c r="J13" s="1" t="s">
        <v>288</v>
      </c>
    </row>
    <row r="14" spans="1:10" ht="27">
      <c r="A14" s="4" t="s">
        <v>300</v>
      </c>
      <c r="B14" s="4" t="s">
        <v>290</v>
      </c>
      <c r="C14" s="6">
        <v>1935</v>
      </c>
      <c r="D14" s="7">
        <v>0.89460000000000006</v>
      </c>
      <c r="E14" s="7">
        <v>0.48</v>
      </c>
      <c r="F14" s="10">
        <f>C14*D14*E14</f>
        <v>830.90448000000004</v>
      </c>
      <c r="G14" s="9">
        <v>2E-3</v>
      </c>
      <c r="H14" s="6">
        <v>100.58</v>
      </c>
      <c r="I14" s="10">
        <f>F14*G14*H14</f>
        <v>167.14474519680002</v>
      </c>
      <c r="J14" s="1" t="s">
        <v>288</v>
      </c>
    </row>
    <row r="15" spans="1:10" ht="27">
      <c r="A15" s="4" t="s">
        <v>301</v>
      </c>
      <c r="B15" s="4" t="s">
        <v>287</v>
      </c>
      <c r="C15" s="6">
        <v>5522</v>
      </c>
      <c r="D15" s="7">
        <v>0.47520000000000001</v>
      </c>
      <c r="E15" s="7">
        <v>0.18</v>
      </c>
      <c r="F15" s="10">
        <f>C15*D15*E15</f>
        <v>472.329792</v>
      </c>
      <c r="G15" s="9">
        <v>2E-3</v>
      </c>
      <c r="H15" s="6">
        <v>100.58</v>
      </c>
      <c r="I15" s="10">
        <f>F15*G15*H15</f>
        <v>95.013860958720002</v>
      </c>
      <c r="J15" s="1" t="s">
        <v>288</v>
      </c>
    </row>
    <row r="16" spans="1:10">
      <c r="A16" s="1"/>
      <c r="B16" s="1"/>
      <c r="C16" s="12"/>
      <c r="D16" s="1"/>
      <c r="E16" s="1"/>
      <c r="F16" s="12"/>
      <c r="G16" s="1"/>
      <c r="H16" s="12"/>
      <c r="I16" s="12"/>
      <c r="J16" s="1"/>
    </row>
    <row r="17" spans="1:10" ht="13.9">
      <c r="A17" s="2" t="s">
        <v>142</v>
      </c>
      <c r="B17" s="2" t="s">
        <v>121</v>
      </c>
      <c r="C17" s="13" t="s">
        <v>46</v>
      </c>
      <c r="D17" s="2" t="s">
        <v>48</v>
      </c>
      <c r="E17" s="1"/>
      <c r="F17" s="12"/>
      <c r="G17" s="1"/>
      <c r="H17" s="12"/>
      <c r="I17" s="12"/>
      <c r="J17" s="1"/>
    </row>
    <row r="18" spans="1:10" ht="40.5">
      <c r="A18" s="1" t="s">
        <v>143</v>
      </c>
      <c r="B18" s="1" t="s">
        <v>144</v>
      </c>
      <c r="C18" s="10">
        <f>SUM(F4:F15)</f>
        <v>87186.820044499997</v>
      </c>
      <c r="D18" s="1" t="s">
        <v>145</v>
      </c>
      <c r="E18" s="1"/>
      <c r="F18" s="12"/>
      <c r="G18" s="1"/>
      <c r="H18" s="12"/>
      <c r="I18" s="12"/>
      <c r="J18" s="1"/>
    </row>
    <row r="19" spans="1:10" ht="40.5">
      <c r="A19" s="1" t="s">
        <v>146</v>
      </c>
      <c r="B19" s="1" t="s">
        <v>147</v>
      </c>
      <c r="C19" s="10">
        <f>C18/'01_Параметры'!B13</f>
        <v>158521.49098999999</v>
      </c>
      <c r="D19" s="1" t="s">
        <v>148</v>
      </c>
      <c r="E19" s="1"/>
      <c r="F19" s="12"/>
      <c r="G19" s="1"/>
      <c r="H19" s="12"/>
      <c r="I19" s="12"/>
      <c r="J19" s="1"/>
    </row>
    <row r="20" spans="1:10" ht="40.5">
      <c r="A20" s="1" t="s">
        <v>149</v>
      </c>
      <c r="B20" s="1" t="s">
        <v>150</v>
      </c>
      <c r="C20" s="10">
        <f>SUM(I4:I15)</f>
        <v>17538.50072015162</v>
      </c>
      <c r="D20" s="1" t="s">
        <v>151</v>
      </c>
      <c r="E20" s="1"/>
      <c r="F20" s="12"/>
      <c r="G20" s="1"/>
      <c r="H20" s="12"/>
      <c r="I20" s="12"/>
      <c r="J20" s="1"/>
    </row>
    <row r="21" spans="1:10" ht="54">
      <c r="A21" s="1" t="s">
        <v>152</v>
      </c>
      <c r="B21" s="1" t="s">
        <v>153</v>
      </c>
      <c r="C21" s="10">
        <f>C20/'01_Параметры'!B13*12</f>
        <v>382658.19753058074</v>
      </c>
      <c r="D21" s="1" t="s">
        <v>154</v>
      </c>
      <c r="E21" s="1"/>
      <c r="F21" s="12"/>
      <c r="G21" s="1"/>
      <c r="H21" s="12"/>
      <c r="I21" s="12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155</v>
      </c>
      <c r="B1" s="17"/>
      <c r="C1" s="17"/>
      <c r="D1" s="17"/>
      <c r="E1" s="17"/>
      <c r="F1" s="1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142</v>
      </c>
      <c r="B3" s="2" t="s">
        <v>106</v>
      </c>
      <c r="C3" s="2" t="s">
        <v>107</v>
      </c>
      <c r="D3" s="2" t="s">
        <v>108</v>
      </c>
      <c r="E3" s="2" t="s">
        <v>48</v>
      </c>
      <c r="F3" s="1"/>
      <c r="G3" s="1"/>
      <c r="H3" s="1"/>
      <c r="I3" s="1"/>
      <c r="J3" s="1"/>
    </row>
    <row r="4" spans="1:10" ht="67.5">
      <c r="A4" s="1" t="s">
        <v>302</v>
      </c>
      <c r="B4" s="10">
        <f>'03_Конкуренты_SW'!C19</f>
        <v>158521.49098999999</v>
      </c>
      <c r="C4" s="10">
        <f>'03_Конкуренты_SW'!C19</f>
        <v>158521.49098999999</v>
      </c>
      <c r="D4" s="10">
        <f>'03_Конкуренты_SW'!C19</f>
        <v>158521.49098999999</v>
      </c>
      <c r="E4" s="1" t="s">
        <v>303</v>
      </c>
      <c r="F4" s="1"/>
      <c r="G4" s="1"/>
      <c r="H4" s="1"/>
      <c r="I4" s="1"/>
      <c r="J4" s="1"/>
    </row>
    <row r="5" spans="1:10" ht="27">
      <c r="A5" s="1" t="s">
        <v>156</v>
      </c>
      <c r="B5" s="14">
        <f>'01_Параметры'!B17</f>
        <v>5.0000000000000001E-3</v>
      </c>
      <c r="C5" s="14">
        <f>'01_Параметры'!B18</f>
        <v>1.4999999999999999E-2</v>
      </c>
      <c r="D5" s="14">
        <f>'01_Параметры'!B19</f>
        <v>0.04</v>
      </c>
      <c r="E5" s="1" t="s">
        <v>157</v>
      </c>
      <c r="F5" s="1"/>
      <c r="G5" s="1"/>
      <c r="H5" s="1"/>
      <c r="I5" s="1"/>
      <c r="J5" s="1"/>
    </row>
    <row r="6" spans="1:10" ht="40.5">
      <c r="A6" s="1" t="s">
        <v>158</v>
      </c>
      <c r="B6" s="10">
        <f>B4*B5</f>
        <v>792.60745494999992</v>
      </c>
      <c r="C6" s="10">
        <f>C4*C5</f>
        <v>2377.8223648499998</v>
      </c>
      <c r="D6" s="10">
        <f>D4*D5</f>
        <v>6340.8596395999994</v>
      </c>
      <c r="E6" s="1" t="s">
        <v>159</v>
      </c>
      <c r="F6" s="1"/>
      <c r="G6" s="1"/>
      <c r="H6" s="1"/>
      <c r="I6" s="1"/>
      <c r="J6" s="1"/>
    </row>
    <row r="7" spans="1:10" ht="27">
      <c r="A7" s="1" t="s">
        <v>102</v>
      </c>
      <c r="B7" s="15">
        <f>'01_Параметры'!C17</f>
        <v>0.02</v>
      </c>
      <c r="C7" s="15">
        <f>'01_Параметры'!C18</f>
        <v>0.04</v>
      </c>
      <c r="D7" s="15">
        <f>'01_Параметры'!C19</f>
        <v>7.0000000000000007E-2</v>
      </c>
      <c r="E7" s="1" t="s">
        <v>157</v>
      </c>
      <c r="F7" s="1"/>
      <c r="G7" s="1"/>
      <c r="H7" s="1"/>
      <c r="I7" s="1"/>
      <c r="J7" s="1"/>
    </row>
    <row r="8" spans="1:10" ht="40.5">
      <c r="A8" s="1" t="s">
        <v>160</v>
      </c>
      <c r="B8" s="10">
        <f>B6*B7</f>
        <v>15.852149098999998</v>
      </c>
      <c r="C8" s="10">
        <f>C6*C7</f>
        <v>95.112894593999997</v>
      </c>
      <c r="D8" s="10">
        <f>D6*D7</f>
        <v>443.86017477199999</v>
      </c>
      <c r="E8" s="1" t="s">
        <v>161</v>
      </c>
      <c r="F8" s="1"/>
      <c r="G8" s="1"/>
      <c r="H8" s="1"/>
      <c r="I8" s="1"/>
      <c r="J8" s="1"/>
    </row>
    <row r="9" spans="1:10" ht="27">
      <c r="A9" s="1" t="s">
        <v>103</v>
      </c>
      <c r="B9" s="15">
        <f>'01_Параметры'!D17</f>
        <v>0.03</v>
      </c>
      <c r="C9" s="15">
        <f>'01_Параметры'!D18</f>
        <v>0.05</v>
      </c>
      <c r="D9" s="15">
        <f>'01_Параметры'!D19</f>
        <v>0.08</v>
      </c>
      <c r="E9" s="1" t="s">
        <v>157</v>
      </c>
      <c r="F9" s="1"/>
      <c r="G9" s="1"/>
      <c r="H9" s="1"/>
      <c r="I9" s="1"/>
      <c r="J9" s="1"/>
    </row>
    <row r="10" spans="1:10" ht="27">
      <c r="A10" s="1" t="s">
        <v>162</v>
      </c>
      <c r="B10" s="10">
        <f>B8*B9</f>
        <v>0.47556447296999993</v>
      </c>
      <c r="C10" s="10">
        <f>C8*C9</f>
        <v>4.7556447297000002</v>
      </c>
      <c r="D10" s="10">
        <f>D8*D9</f>
        <v>35.508813981759999</v>
      </c>
      <c r="E10" s="1" t="s">
        <v>163</v>
      </c>
      <c r="F10" s="1"/>
      <c r="G10" s="1"/>
      <c r="H10" s="1"/>
      <c r="I10" s="1"/>
      <c r="J10" s="1"/>
    </row>
    <row r="11" spans="1:10" ht="27">
      <c r="A11" s="1" t="s">
        <v>104</v>
      </c>
      <c r="B11" s="10">
        <f>'01_Параметры'!E17</f>
        <v>17.27</v>
      </c>
      <c r="C11" s="10">
        <f>'01_Параметры'!E18</f>
        <v>19.43</v>
      </c>
      <c r="D11" s="10">
        <f>'01_Параметры'!E19</f>
        <v>20.29</v>
      </c>
      <c r="E11" s="1" t="s">
        <v>164</v>
      </c>
      <c r="F11" s="1"/>
      <c r="G11" s="1"/>
      <c r="H11" s="1"/>
      <c r="I11" s="1"/>
      <c r="J11" s="1"/>
    </row>
    <row r="12" spans="1:10" ht="27">
      <c r="A12" s="1" t="s">
        <v>165</v>
      </c>
      <c r="B12" s="10">
        <f>B10*B11</f>
        <v>8.2129984481918985</v>
      </c>
      <c r="C12" s="10">
        <f>C10*C11</f>
        <v>92.402177098071007</v>
      </c>
      <c r="D12" s="10">
        <f>D10*D11</f>
        <v>720.4738356899104</v>
      </c>
      <c r="E12" s="1" t="s">
        <v>166</v>
      </c>
      <c r="F12" s="1"/>
      <c r="G12" s="1"/>
      <c r="H12" s="1"/>
      <c r="I12" s="1"/>
      <c r="J12" s="1"/>
    </row>
    <row r="13" spans="1:10" ht="27">
      <c r="A13" s="1" t="s">
        <v>167</v>
      </c>
      <c r="B13" s="10">
        <f>B12*12</f>
        <v>98.555981378302789</v>
      </c>
      <c r="C13" s="10">
        <f>C12*12</f>
        <v>1108.8261251768522</v>
      </c>
      <c r="D13" s="10">
        <f>D12*12</f>
        <v>8645.6860282789239</v>
      </c>
      <c r="E13" s="1" t="s">
        <v>168</v>
      </c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169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170</v>
      </c>
      <c r="C3" s="2" t="s">
        <v>171</v>
      </c>
      <c r="D3" s="2" t="s">
        <v>172</v>
      </c>
      <c r="E3" s="2" t="s">
        <v>173</v>
      </c>
      <c r="F3" s="2" t="s">
        <v>174</v>
      </c>
      <c r="G3" s="2" t="s">
        <v>175</v>
      </c>
      <c r="H3" s="1"/>
      <c r="I3" s="1"/>
      <c r="J3" s="1"/>
    </row>
    <row r="4" spans="1:10" ht="40.5">
      <c r="A4" s="1" t="s">
        <v>106</v>
      </c>
      <c r="B4" s="10">
        <f>'04_Воронка'!B6</f>
        <v>792.60745494999992</v>
      </c>
      <c r="C4" s="10">
        <f>'04_Воронка'!B8</f>
        <v>15.852149098999998</v>
      </c>
      <c r="D4" s="10">
        <f>'04_Воронка'!B10</f>
        <v>0.47556447296999993</v>
      </c>
      <c r="E4" s="10">
        <f>'04_Воронка'!B12</f>
        <v>8.2129984481918985</v>
      </c>
      <c r="F4" s="10">
        <f>'04_Воронка'!B13</f>
        <v>98.555981378302789</v>
      </c>
      <c r="G4" s="3" t="s">
        <v>176</v>
      </c>
      <c r="H4" s="1"/>
      <c r="I4" s="1"/>
      <c r="J4" s="1"/>
    </row>
    <row r="5" spans="1:10" ht="40.5">
      <c r="A5" s="1" t="s">
        <v>107</v>
      </c>
      <c r="B5" s="10">
        <f>'04_Воронка'!C6</f>
        <v>2377.8223648499998</v>
      </c>
      <c r="C5" s="10">
        <f>'04_Воронка'!C8</f>
        <v>95.112894593999997</v>
      </c>
      <c r="D5" s="10">
        <f>'04_Воронка'!C10</f>
        <v>4.7556447297000002</v>
      </c>
      <c r="E5" s="10">
        <f>'04_Воронка'!C12</f>
        <v>92.402177098071007</v>
      </c>
      <c r="F5" s="10">
        <f>'04_Воронка'!C13</f>
        <v>1108.8261251768522</v>
      </c>
      <c r="G5" s="3" t="s">
        <v>177</v>
      </c>
      <c r="H5" s="1"/>
      <c r="I5" s="1"/>
      <c r="J5" s="1"/>
    </row>
    <row r="6" spans="1:10" ht="40.5">
      <c r="A6" s="1" t="s">
        <v>108</v>
      </c>
      <c r="B6" s="10">
        <f>'04_Воронка'!D6</f>
        <v>6340.8596395999994</v>
      </c>
      <c r="C6" s="10">
        <f>'04_Воронка'!D8</f>
        <v>443.86017477199999</v>
      </c>
      <c r="D6" s="10">
        <f>'04_Воронка'!D10</f>
        <v>35.508813981759999</v>
      </c>
      <c r="E6" s="10">
        <f>'04_Воронка'!D12</f>
        <v>720.4738356899104</v>
      </c>
      <c r="F6" s="10">
        <f>'04_Воронка'!D13</f>
        <v>8645.6860282789239</v>
      </c>
      <c r="G6" s="3" t="s">
        <v>178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121</v>
      </c>
      <c r="C8" s="13" t="s">
        <v>46</v>
      </c>
      <c r="D8" s="13" t="s">
        <v>48</v>
      </c>
      <c r="E8" s="12"/>
      <c r="F8" s="12"/>
      <c r="G8" s="1"/>
      <c r="H8" s="1"/>
      <c r="I8" s="1"/>
      <c r="J8" s="1"/>
    </row>
    <row r="9" spans="1:10" ht="40.5">
      <c r="A9" s="1" t="s">
        <v>179</v>
      </c>
      <c r="B9" s="12" t="s">
        <v>180</v>
      </c>
      <c r="C9" s="10">
        <f>MIN(F4:F6)</f>
        <v>98.555981378302789</v>
      </c>
      <c r="D9" s="12" t="s">
        <v>181</v>
      </c>
      <c r="E9" s="12"/>
      <c r="F9" s="12"/>
      <c r="G9" s="1"/>
      <c r="H9" s="1"/>
      <c r="I9" s="1"/>
      <c r="J9" s="1"/>
    </row>
    <row r="10" spans="1:10" ht="27">
      <c r="A10" s="1" t="s">
        <v>182</v>
      </c>
      <c r="B10" s="12" t="s">
        <v>183</v>
      </c>
      <c r="C10" s="10">
        <f>F5</f>
        <v>1108.8261251768522</v>
      </c>
      <c r="D10" s="12" t="s">
        <v>184</v>
      </c>
      <c r="E10" s="12"/>
      <c r="F10" s="12"/>
      <c r="G10" s="1"/>
      <c r="H10" s="1"/>
      <c r="I10" s="1"/>
      <c r="J10" s="1"/>
    </row>
    <row r="11" spans="1:10" ht="40.5">
      <c r="A11" s="1" t="s">
        <v>185</v>
      </c>
      <c r="B11" s="12" t="s">
        <v>186</v>
      </c>
      <c r="C11" s="10">
        <f>MAX(F4:F6)</f>
        <v>8645.6860282789239</v>
      </c>
      <c r="D11" s="12" t="s">
        <v>187</v>
      </c>
      <c r="E11" s="12"/>
      <c r="F11" s="12"/>
      <c r="G11" s="1"/>
      <c r="H11" s="1"/>
      <c r="I11" s="1"/>
      <c r="J11" s="1"/>
    </row>
    <row r="12" spans="1:10" ht="40.5">
      <c r="A12" s="1" t="s">
        <v>188</v>
      </c>
      <c r="B12" s="12" t="s">
        <v>189</v>
      </c>
      <c r="C12" s="10">
        <f>C11-C9</f>
        <v>8547.1300469006219</v>
      </c>
      <c r="D12" s="12" t="s">
        <v>190</v>
      </c>
      <c r="E12" s="12"/>
      <c r="F12" s="12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conditionalFormatting sqref="F4:F6">
    <cfRule type="dataBar" priority="1">
      <dataBar>
        <cfvo type="min"/>
        <cfvo type="max"/>
        <color rgb="FF5B9BD5"/>
      </dataBar>
    </cfRule>
  </conditionalFormatting>
  <conditionalFormatting sqref="F4:F6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{55BF7341-B2D2-C546-BCA3-4AA7F40C8455}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BF7341-B2D2-C546-BCA3-4AA7F40C8455}">
            <x14:dataBar>
              <x14:cfvo type="min"/>
              <x14:cfvo type="max"/>
              <x14:negativeFillColor auto="1"/>
              <x14:axisColor auto="1"/>
            </x14:dataBar>
          </x14:cfRule>
          <xm:sqref>F4:F6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191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172</v>
      </c>
      <c r="C3" s="2" t="s">
        <v>104</v>
      </c>
      <c r="D3" s="2" t="s">
        <v>105</v>
      </c>
      <c r="E3" s="2" t="s">
        <v>192</v>
      </c>
      <c r="F3" s="2" t="s">
        <v>193</v>
      </c>
      <c r="G3" s="2" t="s">
        <v>48</v>
      </c>
      <c r="H3" s="1"/>
      <c r="I3" s="1"/>
      <c r="J3" s="1"/>
    </row>
    <row r="4" spans="1:10" ht="27">
      <c r="A4" s="1" t="s">
        <v>106</v>
      </c>
      <c r="B4" s="10">
        <f>'04_Воронка'!B10</f>
        <v>0.47556447296999993</v>
      </c>
      <c r="C4" s="10">
        <f>'04_Воронка'!B11</f>
        <v>17.27</v>
      </c>
      <c r="D4" s="10">
        <f>'01_Параметры'!F17</f>
        <v>3.1199999999999997</v>
      </c>
      <c r="E4" s="10">
        <f>B4*C4*D4*12</f>
        <v>307.49466190030466</v>
      </c>
      <c r="F4" s="10">
        <f>C4*D4</f>
        <v>53.88239999999999</v>
      </c>
      <c r="G4" s="3" t="s">
        <v>194</v>
      </c>
      <c r="H4" s="1"/>
      <c r="I4" s="1"/>
      <c r="J4" s="1"/>
    </row>
    <row r="5" spans="1:10" ht="27">
      <c r="A5" s="1" t="s">
        <v>107</v>
      </c>
      <c r="B5" s="10">
        <f>'04_Воронка'!C10</f>
        <v>4.7556447297000002</v>
      </c>
      <c r="C5" s="10">
        <f>'04_Воронка'!C11</f>
        <v>19.43</v>
      </c>
      <c r="D5" s="10">
        <f>'01_Параметры'!F18</f>
        <v>5.1749999999999998</v>
      </c>
      <c r="E5" s="10">
        <f>B5*C5*D5*12</f>
        <v>5738.1751977902095</v>
      </c>
      <c r="F5" s="10">
        <f>C5*D5</f>
        <v>100.55024999999999</v>
      </c>
      <c r="G5" s="3" t="s">
        <v>195</v>
      </c>
      <c r="H5" s="1"/>
      <c r="I5" s="1"/>
      <c r="J5" s="1"/>
    </row>
    <row r="6" spans="1:10" ht="40.5">
      <c r="A6" s="1" t="s">
        <v>108</v>
      </c>
      <c r="B6" s="10">
        <f>'04_Воронка'!D10</f>
        <v>35.508813981759999</v>
      </c>
      <c r="C6" s="10">
        <f>'04_Воронка'!D11</f>
        <v>20.29</v>
      </c>
      <c r="D6" s="10">
        <f>'01_Параметры'!F19</f>
        <v>7.35</v>
      </c>
      <c r="E6" s="10">
        <f>B6*C6*D6*12</f>
        <v>63545.79230785009</v>
      </c>
      <c r="F6" s="10">
        <f>C6*D6</f>
        <v>149.13149999999999</v>
      </c>
      <c r="G6" s="3" t="s">
        <v>196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106</v>
      </c>
      <c r="C8" s="13" t="s">
        <v>107</v>
      </c>
      <c r="D8" s="13" t="s">
        <v>108</v>
      </c>
      <c r="E8" s="12"/>
      <c r="F8" s="12"/>
      <c r="G8" s="1"/>
      <c r="H8" s="1"/>
      <c r="I8" s="1"/>
      <c r="J8" s="1"/>
    </row>
    <row r="9" spans="1:10" ht="27">
      <c r="A9" s="1" t="s">
        <v>197</v>
      </c>
      <c r="B9" s="10">
        <f>'04_Воронка'!B13</f>
        <v>98.555981378302789</v>
      </c>
      <c r="C9" s="10">
        <f>'04_Воронка'!C13</f>
        <v>1108.8261251768522</v>
      </c>
      <c r="D9" s="10">
        <f>'04_Воронка'!D13</f>
        <v>8645.6860282789239</v>
      </c>
      <c r="E9" s="12"/>
      <c r="F9" s="12"/>
      <c r="G9" s="1"/>
      <c r="H9" s="1"/>
      <c r="I9" s="1"/>
      <c r="J9" s="1"/>
    </row>
    <row r="10" spans="1:10" ht="27">
      <c r="A10" s="1" t="s">
        <v>192</v>
      </c>
      <c r="B10" s="10">
        <f>E4</f>
        <v>307.49466190030466</v>
      </c>
      <c r="C10" s="10">
        <f>E5</f>
        <v>5738.1751977902095</v>
      </c>
      <c r="D10" s="10">
        <f>E6</f>
        <v>63545.79230785009</v>
      </c>
      <c r="E10" s="12"/>
      <c r="F10" s="12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198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61</v>
      </c>
      <c r="B3" s="2" t="s">
        <v>106</v>
      </c>
      <c r="C3" s="2" t="s">
        <v>107</v>
      </c>
      <c r="D3" s="2" t="s">
        <v>108</v>
      </c>
      <c r="E3" s="2" t="s">
        <v>62</v>
      </c>
      <c r="F3" s="2" t="s">
        <v>63</v>
      </c>
      <c r="G3" s="2" t="s">
        <v>48</v>
      </c>
      <c r="H3" s="2" t="s">
        <v>199</v>
      </c>
      <c r="I3" s="1"/>
      <c r="J3" s="1"/>
    </row>
    <row r="4" spans="1:10" ht="54">
      <c r="A4" s="1" t="s">
        <v>200</v>
      </c>
      <c r="B4" s="6">
        <v>2</v>
      </c>
      <c r="C4" s="6">
        <v>8</v>
      </c>
      <c r="D4" s="6">
        <v>20</v>
      </c>
      <c r="E4" s="1" t="s">
        <v>201</v>
      </c>
      <c r="F4" s="1" t="s">
        <v>307</v>
      </c>
      <c r="G4" s="1" t="s">
        <v>202</v>
      </c>
      <c r="H4" s="1" t="s">
        <v>69</v>
      </c>
      <c r="I4" s="1"/>
      <c r="J4" s="1"/>
    </row>
    <row r="5" spans="1:10" ht="27">
      <c r="A5" s="1" t="s">
        <v>203</v>
      </c>
      <c r="B5" s="6">
        <v>17.27</v>
      </c>
      <c r="C5" s="6">
        <v>19.43</v>
      </c>
      <c r="D5" s="6">
        <v>20.29</v>
      </c>
      <c r="E5" s="1" t="s">
        <v>266</v>
      </c>
      <c r="F5" s="1" t="s">
        <v>204</v>
      </c>
      <c r="G5" s="1" t="s">
        <v>205</v>
      </c>
      <c r="H5" s="1" t="s">
        <v>69</v>
      </c>
      <c r="I5" s="1"/>
      <c r="J5" s="1"/>
    </row>
    <row r="6" spans="1:10" ht="27">
      <c r="A6" s="1" t="s">
        <v>206</v>
      </c>
      <c r="B6" s="10">
        <f>B4*B5</f>
        <v>34.54</v>
      </c>
      <c r="C6" s="10">
        <f>C4*C5</f>
        <v>155.44</v>
      </c>
      <c r="D6" s="10">
        <f>D4*D5</f>
        <v>405.79999999999995</v>
      </c>
      <c r="E6" s="1" t="s">
        <v>266</v>
      </c>
      <c r="F6" s="1" t="s">
        <v>207</v>
      </c>
      <c r="G6" s="1" t="s">
        <v>208</v>
      </c>
      <c r="H6" s="1" t="s">
        <v>207</v>
      </c>
      <c r="I6" s="1"/>
      <c r="J6" s="1"/>
    </row>
    <row r="7" spans="1:10" ht="27">
      <c r="A7" s="1" t="s">
        <v>304</v>
      </c>
      <c r="B7" s="7">
        <v>0.03</v>
      </c>
      <c r="C7" s="7">
        <v>0.03</v>
      </c>
      <c r="D7" s="7">
        <v>0.03</v>
      </c>
      <c r="E7" s="1" t="s">
        <v>94</v>
      </c>
      <c r="F7" s="1" t="s">
        <v>209</v>
      </c>
      <c r="G7" s="1" t="s">
        <v>210</v>
      </c>
      <c r="H7" s="1" t="s">
        <v>69</v>
      </c>
      <c r="I7" s="1"/>
      <c r="J7" s="1"/>
    </row>
    <row r="8" spans="1:10" ht="27">
      <c r="A8" s="1" t="s">
        <v>305</v>
      </c>
      <c r="B8" s="10">
        <f>B6*B7</f>
        <v>1.0362</v>
      </c>
      <c r="C8" s="10">
        <f>C6*C7</f>
        <v>4.6631999999999998</v>
      </c>
      <c r="D8" s="10">
        <f>D6*D7</f>
        <v>12.173999999999998</v>
      </c>
      <c r="E8" s="1" t="s">
        <v>266</v>
      </c>
      <c r="F8" s="1" t="s">
        <v>207</v>
      </c>
      <c r="G8" s="1" t="s">
        <v>211</v>
      </c>
      <c r="H8" s="1" t="s">
        <v>207</v>
      </c>
      <c r="I8" s="1"/>
      <c r="J8" s="1"/>
    </row>
    <row r="9" spans="1:10" ht="27">
      <c r="A9" s="1" t="s">
        <v>306</v>
      </c>
      <c r="B9" s="10">
        <f>B8*12</f>
        <v>12.4344</v>
      </c>
      <c r="C9" s="10">
        <f>C8*12</f>
        <v>55.958399999999997</v>
      </c>
      <c r="D9" s="10">
        <f>D8*12</f>
        <v>146.08799999999997</v>
      </c>
      <c r="E9" s="1" t="s">
        <v>266</v>
      </c>
      <c r="F9" s="1" t="s">
        <v>207</v>
      </c>
      <c r="G9" s="1" t="s">
        <v>212</v>
      </c>
      <c r="H9" s="1" t="s">
        <v>207</v>
      </c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213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214</v>
      </c>
      <c r="B3" s="2" t="s">
        <v>46</v>
      </c>
      <c r="C3" s="2" t="s">
        <v>62</v>
      </c>
      <c r="D3" s="2" t="s">
        <v>48</v>
      </c>
      <c r="E3" s="1"/>
      <c r="F3" s="1"/>
      <c r="G3" s="1"/>
      <c r="H3" s="1"/>
      <c r="I3" s="1"/>
      <c r="J3" s="1"/>
    </row>
    <row r="4" spans="1:10" ht="27">
      <c r="A4" s="1" t="s">
        <v>128</v>
      </c>
      <c r="B4" s="10">
        <f>'02_Трафик_охват'!C14</f>
        <v>87186.074395730015</v>
      </c>
      <c r="C4" s="1" t="s">
        <v>125</v>
      </c>
      <c r="D4" s="1" t="s">
        <v>215</v>
      </c>
      <c r="E4" s="1"/>
      <c r="F4" s="1"/>
      <c r="G4" s="1"/>
      <c r="H4" s="1"/>
      <c r="I4" s="1"/>
      <c r="J4" s="1"/>
    </row>
    <row r="5" spans="1:10" ht="27">
      <c r="A5" s="1" t="s">
        <v>131</v>
      </c>
      <c r="B5" s="10">
        <f>'02_Трафик_охват'!C15</f>
        <v>1046232.8927487602</v>
      </c>
      <c r="C5" s="1" t="s">
        <v>125</v>
      </c>
      <c r="D5" s="1" t="s">
        <v>216</v>
      </c>
      <c r="E5" s="1"/>
      <c r="F5" s="1"/>
      <c r="G5" s="1"/>
      <c r="H5" s="1"/>
      <c r="I5" s="1"/>
      <c r="J5" s="1"/>
    </row>
    <row r="6" spans="1:10" ht="54">
      <c r="A6" s="1" t="s">
        <v>217</v>
      </c>
      <c r="B6" s="10">
        <f>'03_Конкуренты_SW'!C19</f>
        <v>158521.49098999999</v>
      </c>
      <c r="C6" s="1" t="s">
        <v>218</v>
      </c>
      <c r="D6" s="1" t="s">
        <v>219</v>
      </c>
      <c r="E6" s="1"/>
      <c r="F6" s="1"/>
      <c r="G6" s="1"/>
      <c r="H6" s="1"/>
      <c r="I6" s="1"/>
      <c r="J6" s="1"/>
    </row>
    <row r="7" spans="1:10" ht="27">
      <c r="A7" s="1" t="s">
        <v>220</v>
      </c>
      <c r="B7" s="10">
        <f>'05_Сценарии'!C9</f>
        <v>98.555981378302789</v>
      </c>
      <c r="C7" s="1" t="s">
        <v>267</v>
      </c>
      <c r="D7" s="1" t="s">
        <v>221</v>
      </c>
      <c r="E7" s="1"/>
      <c r="F7" s="1"/>
      <c r="G7" s="1"/>
      <c r="H7" s="1"/>
      <c r="I7" s="1"/>
      <c r="J7" s="1"/>
    </row>
    <row r="8" spans="1:10" ht="27">
      <c r="A8" s="1" t="s">
        <v>222</v>
      </c>
      <c r="B8" s="10">
        <f>'05_Сценарии'!C10</f>
        <v>1108.8261251768522</v>
      </c>
      <c r="C8" s="1" t="s">
        <v>267</v>
      </c>
      <c r="D8" s="1" t="s">
        <v>223</v>
      </c>
      <c r="E8" s="1"/>
      <c r="F8" s="1"/>
      <c r="G8" s="1"/>
      <c r="H8" s="1"/>
      <c r="I8" s="1"/>
      <c r="J8" s="1"/>
    </row>
    <row r="9" spans="1:10" ht="27">
      <c r="A9" s="1" t="s">
        <v>224</v>
      </c>
      <c r="B9" s="10">
        <f>'05_Сценарии'!C11</f>
        <v>8645.6860282789239</v>
      </c>
      <c r="C9" s="1" t="s">
        <v>267</v>
      </c>
      <c r="D9" s="1" t="s">
        <v>225</v>
      </c>
      <c r="E9" s="1"/>
      <c r="F9" s="1"/>
      <c r="G9" s="1"/>
      <c r="H9" s="1"/>
      <c r="I9" s="1"/>
      <c r="J9" s="1"/>
    </row>
    <row r="10" spans="1:10" ht="40.5">
      <c r="A10" s="1" t="s">
        <v>226</v>
      </c>
      <c r="B10" s="10">
        <f>'06_Повторы_LTV'!C10</f>
        <v>5738.1751977902095</v>
      </c>
      <c r="C10" s="1" t="s">
        <v>267</v>
      </c>
      <c r="D10" s="1" t="s">
        <v>227</v>
      </c>
      <c r="E10" s="1"/>
      <c r="F10" s="1"/>
      <c r="G10" s="1"/>
      <c r="H10" s="1"/>
      <c r="I10" s="1"/>
      <c r="J10" s="1"/>
    </row>
    <row r="11" spans="1:10" ht="40.5">
      <c r="A11" s="1" t="s">
        <v>228</v>
      </c>
      <c r="B11" s="10">
        <f>'07_Платформа_GMV'!C6*12</f>
        <v>1865.28</v>
      </c>
      <c r="C11" s="1" t="s">
        <v>267</v>
      </c>
      <c r="D11" s="1" t="s">
        <v>229</v>
      </c>
      <c r="E11" s="1"/>
      <c r="F11" s="1"/>
      <c r="G11" s="1"/>
      <c r="H11" s="1"/>
      <c r="I11" s="1"/>
      <c r="J11" s="1"/>
    </row>
    <row r="12" spans="1:10" ht="40.5">
      <c r="A12" s="1" t="s">
        <v>230</v>
      </c>
      <c r="B12" s="10">
        <f>'07_Платформа_GMV'!C9</f>
        <v>55.958399999999997</v>
      </c>
      <c r="C12" s="1" t="s">
        <v>267</v>
      </c>
      <c r="D12" s="1" t="s">
        <v>231</v>
      </c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.75">
      <c r="A14" s="2" t="s">
        <v>232</v>
      </c>
      <c r="B14" s="2"/>
      <c r="C14" s="2"/>
      <c r="D14" s="2"/>
      <c r="E14" s="2"/>
      <c r="F14" s="2"/>
      <c r="G14" s="2"/>
      <c r="H14" s="2"/>
      <c r="I14" s="1"/>
      <c r="J14" s="1"/>
    </row>
    <row r="15" spans="1:10">
      <c r="A15" s="18" t="s">
        <v>233</v>
      </c>
      <c r="B15" s="18"/>
      <c r="C15" s="18"/>
      <c r="D15" s="18"/>
      <c r="E15" s="18"/>
      <c r="F15" s="18"/>
      <c r="G15" s="18"/>
      <c r="H15" s="18"/>
      <c r="I15" s="1"/>
      <c r="J15" s="1"/>
    </row>
    <row r="16" spans="1:10">
      <c r="A16" s="18"/>
      <c r="B16" s="18"/>
      <c r="C16" s="18"/>
      <c r="D16" s="18"/>
      <c r="E16" s="18"/>
      <c r="F16" s="18"/>
      <c r="G16" s="18"/>
      <c r="H16" s="18"/>
      <c r="I16" s="1"/>
      <c r="J16" s="1"/>
    </row>
    <row r="17" spans="1:10">
      <c r="A17" s="18"/>
      <c r="B17" s="18"/>
      <c r="C17" s="18"/>
      <c r="D17" s="18"/>
      <c r="E17" s="18"/>
      <c r="F17" s="18"/>
      <c r="G17" s="18"/>
      <c r="H17" s="18"/>
      <c r="I17" s="1"/>
      <c r="J17" s="1"/>
    </row>
    <row r="18" spans="1:10">
      <c r="A18" s="18"/>
      <c r="B18" s="18"/>
      <c r="C18" s="18"/>
      <c r="D18" s="18"/>
      <c r="E18" s="18"/>
      <c r="F18" s="18"/>
      <c r="G18" s="18"/>
      <c r="H18" s="18"/>
      <c r="I18" s="1"/>
      <c r="J18" s="1"/>
    </row>
    <row r="19" spans="1:10">
      <c r="A19" s="18"/>
      <c r="B19" s="18"/>
      <c r="C19" s="18"/>
      <c r="D19" s="18"/>
      <c r="E19" s="18"/>
      <c r="F19" s="18"/>
      <c r="G19" s="18"/>
      <c r="H19" s="18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:H1"/>
    <mergeCell ref="A15:H19"/>
  </mergeCells>
  <conditionalFormatting sqref="B7:B9">
    <cfRule type="dataBar" priority="1">
      <dataBar>
        <cfvo type="min"/>
        <cfvo type="max"/>
        <color rgb="FF70AD47"/>
      </dataBar>
    </cfRule>
  </conditionalFormatting>
  <conditionalFormatting sqref="B7:B9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{FAFA9BD4-6985-3A1D-CF9D-89DEBE1B72A5}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FA9BD4-6985-3A1D-CF9D-89DEBE1B72A5}">
            <x14:dataBar>
              <x14:cfvo type="min"/>
              <x14:cfvo type="max"/>
              <x14:negativeFillColor auto="1"/>
              <x14:axisColor auto="1"/>
            </x14:dataBar>
          </x14:cfRule>
          <xm:sqref>B7:B9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234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235</v>
      </c>
      <c r="B3" s="2" t="s">
        <v>236</v>
      </c>
      <c r="C3" s="2" t="s">
        <v>237</v>
      </c>
      <c r="D3" s="2" t="s">
        <v>238</v>
      </c>
      <c r="E3" s="2" t="s">
        <v>239</v>
      </c>
      <c r="F3" s="2" t="s">
        <v>48</v>
      </c>
      <c r="G3" s="1"/>
      <c r="H3" s="1"/>
      <c r="I3" s="1"/>
      <c r="J3" s="1"/>
    </row>
    <row r="4" spans="1:10" ht="54">
      <c r="A4" s="1" t="s">
        <v>240</v>
      </c>
      <c r="B4" s="1" t="s">
        <v>241</v>
      </c>
      <c r="C4" s="1" t="s">
        <v>242</v>
      </c>
      <c r="D4" s="16">
        <v>46298</v>
      </c>
      <c r="E4" s="1" t="s">
        <v>243</v>
      </c>
      <c r="F4" s="1" t="s">
        <v>308</v>
      </c>
      <c r="G4" s="1"/>
      <c r="H4" s="1"/>
      <c r="I4" s="1"/>
      <c r="J4" s="1"/>
    </row>
    <row r="5" spans="1:10" ht="40.5">
      <c r="A5" s="1" t="s">
        <v>244</v>
      </c>
      <c r="B5" s="1" t="s">
        <v>245</v>
      </c>
      <c r="C5" s="1" t="s">
        <v>246</v>
      </c>
      <c r="D5" s="16">
        <v>46298</v>
      </c>
      <c r="E5" s="1" t="s">
        <v>243</v>
      </c>
      <c r="F5" s="1" t="s">
        <v>309</v>
      </c>
      <c r="G5" s="1"/>
      <c r="H5" s="1"/>
      <c r="I5" s="1"/>
      <c r="J5" s="1"/>
    </row>
    <row r="6" spans="1:10" ht="27">
      <c r="A6" s="1" t="s">
        <v>247</v>
      </c>
      <c r="B6" s="1" t="s">
        <v>248</v>
      </c>
      <c r="C6" s="1" t="s">
        <v>249</v>
      </c>
      <c r="D6" s="16">
        <v>46298</v>
      </c>
      <c r="E6" s="1" t="s">
        <v>116</v>
      </c>
      <c r="F6" s="1" t="s">
        <v>250</v>
      </c>
      <c r="G6" s="1"/>
      <c r="H6" s="1"/>
      <c r="I6" s="1"/>
      <c r="J6" s="1"/>
    </row>
    <row r="7" spans="1:10" ht="40.5">
      <c r="A7" s="1" t="s">
        <v>251</v>
      </c>
      <c r="B7" s="1" t="s">
        <v>252</v>
      </c>
      <c r="C7" s="1" t="s">
        <v>253</v>
      </c>
      <c r="D7" s="16">
        <v>46298</v>
      </c>
      <c r="E7" s="1" t="s">
        <v>116</v>
      </c>
      <c r="F7" s="1" t="s">
        <v>254</v>
      </c>
      <c r="G7" s="1"/>
      <c r="H7" s="1"/>
      <c r="I7" s="1"/>
      <c r="J7" s="1"/>
    </row>
    <row r="8" spans="1:10" ht="40.5">
      <c r="A8" s="1" t="s">
        <v>255</v>
      </c>
      <c r="B8" s="1" t="s">
        <v>256</v>
      </c>
      <c r="C8" s="1" t="s">
        <v>257</v>
      </c>
      <c r="D8" s="16">
        <v>46298</v>
      </c>
      <c r="E8" s="1" t="s">
        <v>116</v>
      </c>
      <c r="F8" s="1" t="s">
        <v>258</v>
      </c>
      <c r="G8" s="1"/>
      <c r="H8" s="1"/>
      <c r="I8" s="1"/>
      <c r="J8" s="1"/>
    </row>
    <row r="9" spans="1:10" ht="27">
      <c r="A9" s="1" t="s">
        <v>259</v>
      </c>
      <c r="B9" s="1" t="s">
        <v>260</v>
      </c>
      <c r="C9" s="4" t="s">
        <v>261</v>
      </c>
      <c r="D9" s="8">
        <v>46298</v>
      </c>
      <c r="E9" s="1" t="s">
        <v>116</v>
      </c>
      <c r="F9" s="1" t="s">
        <v>262</v>
      </c>
      <c r="G9" s="1"/>
      <c r="H9" s="1"/>
      <c r="I9" s="1"/>
      <c r="J9" s="1"/>
    </row>
    <row r="10" spans="1:10" ht="40.5">
      <c r="A10" s="1" t="s">
        <v>263</v>
      </c>
      <c r="B10" s="1" t="s">
        <v>264</v>
      </c>
      <c r="C10" s="4" t="s">
        <v>261</v>
      </c>
      <c r="D10" s="8">
        <v>46298</v>
      </c>
      <c r="E10" s="1" t="s">
        <v>116</v>
      </c>
      <c r="F10" s="1" t="s">
        <v>265</v>
      </c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dataValidations count="1">
    <dataValidation type="list" sqref="E4:E10" xr:uid="{00000000-0002-0000-09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02_Трафик_охват</vt:lpstr>
      <vt:lpstr>03_Конкуренты_SW</vt:lpstr>
      <vt:lpstr>04_Воронка</vt:lpstr>
      <vt:lpstr>05_Сценарии</vt:lpstr>
      <vt:lpstr>06_Повторы_LTV</vt:lpstr>
      <vt:lpstr>07_Платформа_GMV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2026-10-03T06:01:43Z</dcterms:modified>
</cp:coreProperties>
</file>