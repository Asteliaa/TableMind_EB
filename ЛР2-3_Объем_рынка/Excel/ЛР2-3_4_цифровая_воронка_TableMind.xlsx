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718F5366-0E51-43C5-851A-334D56514CC4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4" l="1"/>
  <c r="I12" i="4" s="1"/>
  <c r="F11" i="4"/>
  <c r="I11" i="4" s="1"/>
  <c r="F10" i="4"/>
  <c r="I10" i="4" s="1"/>
  <c r="F9" i="4"/>
  <c r="I9" i="4" s="1"/>
  <c r="F8" i="4"/>
  <c r="I8" i="4" s="1"/>
  <c r="F7" i="4"/>
  <c r="I7" i="4" s="1"/>
  <c r="F6" i="4"/>
  <c r="I6" i="4" s="1"/>
  <c r="D6" i="8"/>
  <c r="D8" i="8" s="1"/>
  <c r="D9" i="8" s="1"/>
  <c r="C6" i="8"/>
  <c r="B11" i="9" s="1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15" i="4"/>
  <c r="I15" i="4" s="1"/>
  <c r="F14" i="4"/>
  <c r="F13" i="4"/>
  <c r="I13" i="4" s="1"/>
  <c r="F5" i="4"/>
  <c r="I5" i="4" s="1"/>
  <c r="F4" i="4"/>
  <c r="I4" i="4" s="1"/>
  <c r="E10" i="3"/>
  <c r="G10" i="3" s="1"/>
  <c r="E9" i="3"/>
  <c r="G9" i="3" s="1"/>
  <c r="E8" i="3"/>
  <c r="E7" i="3"/>
  <c r="G7" i="3" s="1"/>
  <c r="E6" i="3"/>
  <c r="G6" i="3" s="1"/>
  <c r="E5" i="3"/>
  <c r="G5" i="3" s="1"/>
  <c r="E4" i="3"/>
  <c r="G4" i="3" s="1"/>
  <c r="E19" i="2"/>
  <c r="D11" i="5" s="1"/>
  <c r="C6" i="7" s="1"/>
  <c r="E18" i="2"/>
  <c r="C11" i="5" s="1"/>
  <c r="C5" i="7" s="1"/>
  <c r="E17" i="2"/>
  <c r="B11" i="5" s="1"/>
  <c r="C4" i="7" s="1"/>
  <c r="F5" i="7" l="1"/>
  <c r="F6" i="7"/>
  <c r="C8" i="8"/>
  <c r="C9" i="8" s="1"/>
  <c r="B12" i="9" s="1"/>
  <c r="C18" i="4"/>
  <c r="C13" i="3"/>
  <c r="F4" i="7"/>
  <c r="I14" i="4"/>
  <c r="C20" i="4" s="1"/>
  <c r="C21" i="4" s="1"/>
  <c r="G8" i="3"/>
  <c r="C14" i="3" s="1"/>
  <c r="C19" i="4" l="1"/>
  <c r="C15" i="3"/>
  <c r="B5" i="9" s="1"/>
  <c r="B4" i="9"/>
  <c r="D4" i="5" l="1"/>
  <c r="D6" i="5" s="1"/>
  <c r="C4" i="5"/>
  <c r="C6" i="5" s="1"/>
  <c r="B4" i="5"/>
  <c r="B6" i="5" s="1"/>
  <c r="B6" i="9"/>
  <c r="B5" i="6"/>
  <c r="C8" i="5"/>
  <c r="B8" i="5"/>
  <c r="B4" i="6"/>
  <c r="D8" i="5"/>
  <c r="B6" i="6"/>
  <c r="C6" i="6" l="1"/>
  <c r="D10" i="5"/>
  <c r="C4" i="6"/>
  <c r="B10" i="5"/>
  <c r="C5" i="6"/>
  <c r="C10" i="5"/>
  <c r="B5" i="7" l="1"/>
  <c r="E5" i="7" s="1"/>
  <c r="C10" i="7" s="1"/>
  <c r="B10" i="9" s="1"/>
  <c r="D5" i="6"/>
  <c r="C12" i="5"/>
  <c r="B12" i="5"/>
  <c r="B4" i="7"/>
  <c r="E4" i="7" s="1"/>
  <c r="B10" i="7" s="1"/>
  <c r="D4" i="6"/>
  <c r="B6" i="7"/>
  <c r="E6" i="7" s="1"/>
  <c r="D10" i="7" s="1"/>
  <c r="D6" i="6"/>
  <c r="D12" i="5"/>
  <c r="E4" i="6" l="1"/>
  <c r="B13" i="5"/>
  <c r="E6" i="6"/>
  <c r="D13" i="5"/>
  <c r="E5" i="6"/>
  <c r="C13" i="5"/>
  <c r="F5" i="6" l="1"/>
  <c r="C10" i="6" s="1"/>
  <c r="B8" i="9" s="1"/>
  <c r="C9" i="7"/>
  <c r="D9" i="7"/>
  <c r="F6" i="6"/>
  <c r="F4" i="6"/>
  <c r="B9" i="7"/>
  <c r="C11" i="6" l="1"/>
  <c r="C9" i="6"/>
  <c r="B7" i="9" s="1"/>
  <c r="C12" i="6" l="1"/>
  <c r="B9" i="9"/>
</calcChain>
</file>

<file path=xl/sharedStrings.xml><?xml version="1.0" encoding="utf-8"?>
<sst xmlns="http://schemas.openxmlformats.org/spreadsheetml/2006/main" count="450" uniqueCount="310">
  <si>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</si>
  <si>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</si>
  <si>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</si>
  <si>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</si>
  <si>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</si>
  <si>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</si>
  <si>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</si>
  <si>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</si>
  <si>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</si>
  <si>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</si>
  <si>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</si>
  <si>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</si>
  <si>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</si>
  <si>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</si>
  <si>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</si>
  <si>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</si>
  <si>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</si>
  <si>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</si>
  <si>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</si>
  <si>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</si>
  <si>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</si>
  <si>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</si>
  <si>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</si>
  <si>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</si>
  <si>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</si>
  <si>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</si>
  <si>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</si>
  <si>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</si>
  <si>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</si>
  <si>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</si>
  <si>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</si>
  <si>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</si>
  <si>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</si>
  <si>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</si>
  <si>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</si>
  <si>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</si>
  <si>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</si>
  <si>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</si>
  <si>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</si>
  <si>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</si>
  <si>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</si>
  <si>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</si>
  <si>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</si>
  <si>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</si>
  <si>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</si>
  <si>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</si>
  <si>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</si>
  <si>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</si>
  <si>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</si>
  <si>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</si>
  <si>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</si>
  <si>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</si>
  <si>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</si>
  <si>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</si>
  <si>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</si>
  <si>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</si>
  <si>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</si>
  <si>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</si>
  <si>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</si>
  <si>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</si>
  <si>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</si>
  <si>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</si>
  <si>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</si>
  <si>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</si>
  <si>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</si>
  <si>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</si>
  <si>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</si>
  <si>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</si>
  <si>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</si>
  <si>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</si>
  <si>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</si>
  <si>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</si>
  <si>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</si>
  <si>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</si>
  <si>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</si>
  <si>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</si>
  <si>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</si>
  <si>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</si>
  <si>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</si>
  <si>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</si>
  <si>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</si>
  <si>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</si>
  <si>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</si>
  <si>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</si>
  <si>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</si>
  <si>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</si>
  <si>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</si>
  <si>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</si>
  <si>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</si>
  <si>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</si>
  <si>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</si>
  <si>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</si>
  <si>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</si>
  <si>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</si>
  <si>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</si>
  <si>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</si>
  <si>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</si>
  <si>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</si>
  <si>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</si>
  <si>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</si>
  <si>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</si>
  <si>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</si>
  <si>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</si>
  <si>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</si>
  <si>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</si>
  <si>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</si>
  <si>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</si>
  <si>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</si>
  <si>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</si>
  <si>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</si>
  <si>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</si>
  <si>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</si>
  <si>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</si>
  <si>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</si>
  <si>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</si>
  <si>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</si>
  <si>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</si>
  <si>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</si>
  <si>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</si>
  <si>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</si>
  <si>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</si>
  <si>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</si>
  <si>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</si>
  <si>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</si>
  <si>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</si>
  <si>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</si>
  <si>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</si>
  <si>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</si>
  <si>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</si>
  <si>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</si>
  <si>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</si>
  <si>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</si>
  <si>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</si>
  <si>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</si>
  <si>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</si>
  <si>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</si>
  <si>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</si>
  <si>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</si>
  <si>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</si>
  <si>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</si>
  <si>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</si>
  <si>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</si>
  <si>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</si>
  <si>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</si>
  <si>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</si>
  <si>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</si>
  <si>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</si>
  <si>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</si>
  <si>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</si>
  <si>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</si>
  <si>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</si>
  <si>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</si>
  <si>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</si>
  <si>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</si>
  <si>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</si>
  <si>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</si>
  <si>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</si>
  <si>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</si>
  <si>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</si>
  <si>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</si>
  <si>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</si>
  <si>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</si>
  <si>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</si>
  <si>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</si>
  <si>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</si>
  <si>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</si>
  <si>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</si>
  <si>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</si>
  <si>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</si>
  <si>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</si>
  <si>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</si>
  <si>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</si>
  <si>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</si>
  <si>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</si>
  <si>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</si>
  <si>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</si>
  <si>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</si>
  <si>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</si>
  <si>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</si>
  <si>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</si>
  <si>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</si>
  <si>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</si>
  <si>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</si>
  <si>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</si>
  <si>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</si>
  <si>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</si>
  <si>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</si>
  <si>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</si>
  <si>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</si>
  <si>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</si>
  <si>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</si>
  <si>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</si>
  <si>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</si>
  <si>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</si>
  <si>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</si>
  <si>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</si>
  <si>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</si>
  <si>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</si>
  <si>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</si>
  <si>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</si>
  <si>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</si>
  <si>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</si>
  <si>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</si>
  <si>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</si>
  <si>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</si>
  <si>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</si>
  <si>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</si>
  <si>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</si>
  <si>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</si>
  <si>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</si>
  <si>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</si>
  <si>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</si>
  <si>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</si>
  <si>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</si>
  <si>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</si>
  <si>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</si>
  <si>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</si>
  <si>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</si>
  <si>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</si>
  <si>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</si>
  <si>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</si>
  <si>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</si>
  <si>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</si>
  <si>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</si>
  <si>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</si>
  <si>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</si>
  <si>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</si>
  <si>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</si>
  <si>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</si>
  <si>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</si>
  <si>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</si>
  <si>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</si>
  <si>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</si>
  <si>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</si>
  <si>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</si>
  <si>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</si>
  <si>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</si>
  <si>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</si>
  <si>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</si>
  <si>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</si>
  <si>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</si>
  <si>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</si>
  <si>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</si>
  <si>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</si>
  <si>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</si>
  <si>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</si>
  <si>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</si>
  <si>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</si>
  <si>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</si>
  <si>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</si>
  <si>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</si>
  <si>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</si>
  <si>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</si>
  <si>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</si>
  <si>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</si>
  <si>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</si>
  <si>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</si>
  <si>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</si>
  <si>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</si>
  <si>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</si>
  <si>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</si>
  <si>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заполнить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</si>
  <si>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</si>
  <si>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</si>
  <si>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</si>
  <si>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</si>
  <si>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EUR</t>
  </si>
  <si>
    <t>EUR/год</t>
  </si>
  <si>
    <t>TableMind: онлайн-проверка Excel-моделей</t>
  </si>
  <si>
    <t>Англоязычные страны и ЕС-27</t>
  </si>
  <si>
    <t>финансовые аналитики, бухгалтеры, консультанты, МСП</t>
  </si>
  <si>
    <t>EUR/платеж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</si>
  <si>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</si>
  <si>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</si>
  <si>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Допущение Д-13: 12 сайтов покрывают около 55 % трафика сегмента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</si>
  <si>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</si>
  <si>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</si>
  <si>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</si>
  <si>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</si>
  <si>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Similarweb: каталоги, партнеры, AppSource</t>
  </si>
  <si>
    <t>Similarweb: органические и платные</t>
  </si>
  <si>
    <t>Медийная реклама и email</t>
  </si>
  <si>
    <t>AI-поиск и партнерские сети</t>
  </si>
  <si>
    <t>Similarweb: Gen AI и affiliates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</si>
  <si>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</si>
  <si>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</si>
  <si>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</si>
  <si>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</si>
  <si>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</si>
  <si>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</si>
  <si>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</si>
  <si>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</si>
  <si>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</si>
  <si>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</si>
  <si>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</si>
  <si>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</si>
  <si>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</si>
  <si>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</si>
  <si>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</si>
  <si>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</si>
  <si>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</si>
  <si>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</si>
  <si>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</si>
  <si>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Берется с листа 03_Конкуренты_SW: релевантные посещения 12 сайтов / покрытие.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</si>
  <si>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</si>
  <si>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</si>
  <si>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</si>
  <si>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Допущение Д-14: оплаты через AppSource; комиссия 3 % подтверждена условиями Microsoft</t>
  </si>
  <si>
    <t>Своего сайта пока нет: ДОСНЯТЬ после запуска MVP (31.03.2027)</t>
  </si>
  <si>
    <t>Рекламных кабинетов нет: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</si>
</sst>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90-4C1C-B5B2-8A190C0C5F4F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90-4C1C-B5B2-8A190C0C5F4F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90-4C1C-B5B2-8A190C0C5F4F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0790-4C1C-B5B2-8A190C0C5F4F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0790-4C1C-B5B2-8A190C0C5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Визиты по каналу в месяц (12 сайтов)"/>
    <tableColumn id="4" xr3:uid="{00000000-0010-0000-0000-000004000000}" name="Доля целевой географии"/>
    <tableColumn id="5" xr3:uid="{00000000-0010-0000-0000-000005000000}" name="Посещения в месяц"/>
    <tableColumn id="6" xr3:uid="{00000000-0010-0000-0000-000006000000}" name="Доля релевантной аудитории (релевантность x качество)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15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67.5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40.5">
      <c r="A4" s="1" t="s">
        <v>65</v>
      </c>
      <c r="B4" s="4" t="s">
        <v>268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269</v>
      </c>
      <c r="C5" s="1" t="s">
        <v>71</v>
      </c>
      <c r="D5" s="1" t="s">
        <v>72</v>
      </c>
      <c r="E5" s="1" t="s">
        <v>73</v>
      </c>
      <c r="F5" s="1" t="s">
        <v>69</v>
      </c>
      <c r="G5" s="1"/>
      <c r="H5" s="1"/>
      <c r="I5" s="1"/>
      <c r="J5" s="1"/>
    </row>
    <row r="6" spans="1:10" ht="40.5">
      <c r="A6" s="1" t="s">
        <v>74</v>
      </c>
      <c r="B6" s="4" t="s">
        <v>75</v>
      </c>
      <c r="C6" s="1" t="s">
        <v>76</v>
      </c>
      <c r="D6" s="1" t="s">
        <v>77</v>
      </c>
      <c r="E6" s="1" t="s">
        <v>78</v>
      </c>
      <c r="F6" s="1" t="s">
        <v>69</v>
      </c>
      <c r="G6" s="1"/>
      <c r="H6" s="1"/>
      <c r="I6" s="1"/>
      <c r="J6" s="1"/>
    </row>
    <row r="7" spans="1:10" ht="27">
      <c r="A7" s="1" t="s">
        <v>79</v>
      </c>
      <c r="B7" s="4" t="s">
        <v>266</v>
      </c>
      <c r="C7" s="1" t="s">
        <v>80</v>
      </c>
      <c r="D7" s="1" t="s">
        <v>67</v>
      </c>
      <c r="E7" s="1" t="s">
        <v>81</v>
      </c>
      <c r="F7" s="1" t="s">
        <v>69</v>
      </c>
      <c r="G7" s="1"/>
      <c r="H7" s="1"/>
      <c r="I7" s="1"/>
      <c r="J7" s="1"/>
    </row>
    <row r="8" spans="1:10" ht="54">
      <c r="A8" s="1" t="s">
        <v>82</v>
      </c>
      <c r="B8" s="6" t="s">
        <v>270</v>
      </c>
      <c r="C8" s="1" t="s">
        <v>83</v>
      </c>
      <c r="D8" s="1" t="s">
        <v>84</v>
      </c>
      <c r="E8" s="1" t="s">
        <v>85</v>
      </c>
      <c r="F8" s="1" t="s">
        <v>69</v>
      </c>
      <c r="G8" s="1"/>
      <c r="H8" s="1"/>
      <c r="I8" s="1"/>
      <c r="J8" s="1"/>
    </row>
    <row r="9" spans="1:10" ht="27">
      <c r="A9" s="1" t="s">
        <v>86</v>
      </c>
      <c r="B9" s="6">
        <v>19.43</v>
      </c>
      <c r="C9" s="1" t="s">
        <v>271</v>
      </c>
      <c r="D9" s="1" t="s">
        <v>272</v>
      </c>
      <c r="E9" s="1" t="s">
        <v>88</v>
      </c>
      <c r="F9" s="1" t="s">
        <v>69</v>
      </c>
      <c r="G9" s="1"/>
      <c r="H9" s="1"/>
      <c r="I9" s="1"/>
      <c r="J9" s="1"/>
    </row>
    <row r="10" spans="1:10" ht="27">
      <c r="A10" s="1" t="s">
        <v>89</v>
      </c>
      <c r="B10" s="6">
        <v>17.27</v>
      </c>
      <c r="C10" s="1" t="s">
        <v>271</v>
      </c>
      <c r="D10" s="1" t="s">
        <v>87</v>
      </c>
      <c r="E10" s="1" t="s">
        <v>90</v>
      </c>
      <c r="F10" s="1" t="s">
        <v>69</v>
      </c>
      <c r="G10" s="1"/>
      <c r="H10" s="1"/>
      <c r="I10" s="1"/>
      <c r="J10" s="1"/>
    </row>
    <row r="11" spans="1:10" ht="27">
      <c r="A11" s="1" t="s">
        <v>91</v>
      </c>
      <c r="B11" s="7">
        <v>20.29</v>
      </c>
      <c r="C11" s="1" t="s">
        <v>271</v>
      </c>
      <c r="D11" s="1" t="s">
        <v>87</v>
      </c>
      <c r="E11" s="1" t="s">
        <v>92</v>
      </c>
      <c r="F11" s="1" t="s">
        <v>69</v>
      </c>
      <c r="G11" s="1"/>
      <c r="H11" s="1"/>
      <c r="I11" s="1"/>
      <c r="J11" s="1"/>
    </row>
    <row r="12" spans="1:10" ht="67.5">
      <c r="A12" s="1" t="s">
        <v>93</v>
      </c>
      <c r="B12" s="4">
        <v>0.21149999999999999</v>
      </c>
      <c r="C12" s="1" t="s">
        <v>94</v>
      </c>
      <c r="D12" s="1" t="s">
        <v>273</v>
      </c>
      <c r="E12" s="1" t="s">
        <v>95</v>
      </c>
      <c r="F12" s="1" t="s">
        <v>69</v>
      </c>
      <c r="G12" s="1"/>
      <c r="H12" s="1"/>
      <c r="I12" s="1"/>
      <c r="J12" s="1"/>
    </row>
    <row r="13" spans="1:10" ht="54">
      <c r="A13" s="1" t="s">
        <v>96</v>
      </c>
      <c r="B13" s="4">
        <v>0.55000000000000004</v>
      </c>
      <c r="C13" s="1" t="s">
        <v>94</v>
      </c>
      <c r="D13" s="1" t="s">
        <v>274</v>
      </c>
      <c r="E13" s="1" t="s">
        <v>97</v>
      </c>
      <c r="F13" s="1" t="s">
        <v>69</v>
      </c>
      <c r="G13" s="1"/>
      <c r="H13" s="1"/>
      <c r="I13" s="1"/>
      <c r="J13" s="1"/>
    </row>
    <row r="14" spans="1:10" ht="27">
      <c r="A14" s="1" t="s">
        <v>98</v>
      </c>
      <c r="B14" s="8">
        <v>46298</v>
      </c>
      <c r="C14" s="1" t="s">
        <v>99</v>
      </c>
      <c r="D14" s="1" t="s">
        <v>67</v>
      </c>
      <c r="E14" s="1" t="s">
        <v>100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101</v>
      </c>
      <c r="B16" s="2" t="s">
        <v>275</v>
      </c>
      <c r="C16" s="2" t="s">
        <v>102</v>
      </c>
      <c r="D16" s="2" t="s">
        <v>103</v>
      </c>
      <c r="E16" s="2" t="s">
        <v>104</v>
      </c>
      <c r="F16" s="2" t="s">
        <v>276</v>
      </c>
      <c r="G16" s="1"/>
      <c r="H16" s="1"/>
      <c r="I16" s="1"/>
      <c r="J16" s="1"/>
    </row>
    <row r="17" spans="1:10">
      <c r="A17" s="1" t="s">
        <v>106</v>
      </c>
      <c r="B17" s="9">
        <v>5.0000000000000001E-3</v>
      </c>
      <c r="C17" s="9">
        <v>0.02</v>
      </c>
      <c r="D17" s="9">
        <v>0.03</v>
      </c>
      <c r="E17" s="10">
        <f>B10</f>
        <v>17.27</v>
      </c>
      <c r="F17" s="11">
        <v>3.1199999999999997</v>
      </c>
      <c r="G17" s="1"/>
      <c r="H17" s="1"/>
      <c r="I17" s="1"/>
      <c r="J17" s="1"/>
    </row>
    <row r="18" spans="1:10">
      <c r="A18" s="1" t="s">
        <v>107</v>
      </c>
      <c r="B18" s="9">
        <v>1.4999999999999999E-2</v>
      </c>
      <c r="C18" s="9">
        <v>0.04</v>
      </c>
      <c r="D18" s="9">
        <v>0.05</v>
      </c>
      <c r="E18" s="10">
        <f>B9</f>
        <v>19.43</v>
      </c>
      <c r="F18" s="11">
        <v>5.1749999999999998</v>
      </c>
      <c r="G18" s="1"/>
      <c r="H18" s="1"/>
      <c r="I18" s="1"/>
      <c r="J18" s="1"/>
    </row>
    <row r="19" spans="1:10">
      <c r="A19" s="1" t="s">
        <v>108</v>
      </c>
      <c r="B19" s="9">
        <v>0.04</v>
      </c>
      <c r="C19" s="9">
        <v>7.0000000000000007E-2</v>
      </c>
      <c r="D19" s="9">
        <v>0.08</v>
      </c>
      <c r="E19" s="10">
        <f>B11</f>
        <v>20.29</v>
      </c>
      <c r="F19" s="11">
        <v>7.35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55.5">
      <c r="A3" s="2" t="s">
        <v>110</v>
      </c>
      <c r="B3" s="2" t="s">
        <v>111</v>
      </c>
      <c r="C3" s="2" t="s">
        <v>284</v>
      </c>
      <c r="D3" s="2" t="s">
        <v>138</v>
      </c>
      <c r="E3" s="2" t="s">
        <v>112</v>
      </c>
      <c r="F3" s="2" t="s">
        <v>285</v>
      </c>
      <c r="G3" s="2" t="s">
        <v>113</v>
      </c>
      <c r="H3" s="2" t="s">
        <v>114</v>
      </c>
      <c r="I3" s="2" t="s">
        <v>48</v>
      </c>
      <c r="J3" s="1"/>
    </row>
    <row r="4" spans="1:10" ht="40.5">
      <c r="A4" s="1" t="s">
        <v>120</v>
      </c>
      <c r="B4" s="1" t="s">
        <v>255</v>
      </c>
      <c r="C4" s="6">
        <v>742391</v>
      </c>
      <c r="D4" s="6">
        <v>0.25650000000000001</v>
      </c>
      <c r="E4" s="10">
        <f t="shared" ref="E4:E10" si="0">C4*D4</f>
        <v>190423.29149999999</v>
      </c>
      <c r="F4" s="6">
        <v>0.19600000000000001</v>
      </c>
      <c r="G4" s="10">
        <f t="shared" ref="G4:G10" si="1">E4*F4</f>
        <v>37322.965133999998</v>
      </c>
      <c r="H4" s="1" t="s">
        <v>116</v>
      </c>
      <c r="I4" s="1" t="s">
        <v>277</v>
      </c>
      <c r="J4" s="1"/>
    </row>
    <row r="5" spans="1:10" ht="40.5">
      <c r="A5" s="1" t="s">
        <v>115</v>
      </c>
      <c r="B5" s="1" t="s">
        <v>278</v>
      </c>
      <c r="C5" s="6">
        <v>864031</v>
      </c>
      <c r="D5" s="6">
        <v>0.1527</v>
      </c>
      <c r="E5" s="10">
        <f t="shared" si="0"/>
        <v>131937.5337</v>
      </c>
      <c r="F5" s="6">
        <v>0.22220000000000001</v>
      </c>
      <c r="G5" s="10">
        <f t="shared" si="1"/>
        <v>29316.51998814</v>
      </c>
      <c r="H5" s="1" t="s">
        <v>116</v>
      </c>
      <c r="I5" s="1" t="s">
        <v>277</v>
      </c>
      <c r="J5" s="1"/>
    </row>
    <row r="6" spans="1:10" ht="40.5">
      <c r="A6" s="1" t="s">
        <v>117</v>
      </c>
      <c r="B6" s="1" t="s">
        <v>255</v>
      </c>
      <c r="C6" s="6">
        <v>73495</v>
      </c>
      <c r="D6" s="6">
        <v>0.34439999999999998</v>
      </c>
      <c r="E6" s="10">
        <f t="shared" si="0"/>
        <v>25311.678</v>
      </c>
      <c r="F6" s="6">
        <v>0.15160000000000001</v>
      </c>
      <c r="G6" s="10">
        <f t="shared" si="1"/>
        <v>3837.2503848000001</v>
      </c>
      <c r="H6" s="1" t="s">
        <v>116</v>
      </c>
      <c r="I6" s="1" t="s">
        <v>277</v>
      </c>
      <c r="J6" s="1"/>
    </row>
    <row r="7" spans="1:10" ht="40.5">
      <c r="A7" s="1" t="s">
        <v>119</v>
      </c>
      <c r="B7" s="1" t="s">
        <v>279</v>
      </c>
      <c r="C7" s="6">
        <v>153183</v>
      </c>
      <c r="D7" s="6">
        <v>0.15909999999999999</v>
      </c>
      <c r="E7" s="10">
        <f t="shared" si="0"/>
        <v>24371.415299999997</v>
      </c>
      <c r="F7" s="6">
        <v>0.2467</v>
      </c>
      <c r="G7" s="10">
        <f t="shared" si="1"/>
        <v>6012.4281545099993</v>
      </c>
      <c r="H7" s="1" t="s">
        <v>116</v>
      </c>
      <c r="I7" s="1" t="s">
        <v>277</v>
      </c>
      <c r="J7" s="1"/>
    </row>
    <row r="8" spans="1:10" ht="40.5">
      <c r="A8" s="1" t="s">
        <v>118</v>
      </c>
      <c r="B8" s="1" t="s">
        <v>280</v>
      </c>
      <c r="C8" s="6">
        <v>57025</v>
      </c>
      <c r="D8" s="6">
        <v>0.30180000000000001</v>
      </c>
      <c r="E8" s="10">
        <f t="shared" si="0"/>
        <v>17210.145</v>
      </c>
      <c r="F8" s="6">
        <v>0.22969999999999999</v>
      </c>
      <c r="G8" s="10">
        <f t="shared" si="1"/>
        <v>3953.1703064999997</v>
      </c>
      <c r="H8" s="1" t="s">
        <v>116</v>
      </c>
      <c r="I8" s="1" t="s">
        <v>277</v>
      </c>
      <c r="J8" s="1"/>
    </row>
    <row r="9" spans="1:10" ht="40.5">
      <c r="A9" s="1" t="s">
        <v>281</v>
      </c>
      <c r="B9" s="1" t="s">
        <v>255</v>
      </c>
      <c r="C9" s="6">
        <v>51165</v>
      </c>
      <c r="D9" s="6">
        <v>0.34260000000000002</v>
      </c>
      <c r="E9" s="10">
        <f t="shared" si="0"/>
        <v>17529.129000000001</v>
      </c>
      <c r="F9" s="6">
        <v>0.22090000000000001</v>
      </c>
      <c r="G9" s="10">
        <f t="shared" si="1"/>
        <v>3872.1845961000004</v>
      </c>
      <c r="H9" s="1" t="s">
        <v>116</v>
      </c>
      <c r="I9" s="1" t="s">
        <v>277</v>
      </c>
      <c r="J9" s="1"/>
    </row>
    <row r="10" spans="1:10" ht="40.5">
      <c r="A10" s="1" t="s">
        <v>282</v>
      </c>
      <c r="B10" s="1" t="s">
        <v>283</v>
      </c>
      <c r="C10" s="6">
        <v>64643</v>
      </c>
      <c r="D10" s="6">
        <v>0.22389999999999999</v>
      </c>
      <c r="E10" s="10">
        <f t="shared" si="0"/>
        <v>14473.5677</v>
      </c>
      <c r="F10" s="6">
        <v>0.19839999999999999</v>
      </c>
      <c r="G10" s="10">
        <f t="shared" si="1"/>
        <v>2871.5558316799998</v>
      </c>
      <c r="H10" s="1" t="s">
        <v>116</v>
      </c>
      <c r="I10" s="1" t="s">
        <v>277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121</v>
      </c>
      <c r="C12" s="13" t="s">
        <v>46</v>
      </c>
      <c r="D12" s="13" t="s">
        <v>62</v>
      </c>
      <c r="E12" s="13" t="s">
        <v>48</v>
      </c>
      <c r="F12" s="13" t="s">
        <v>122</v>
      </c>
      <c r="G12" s="12"/>
      <c r="H12" s="1"/>
      <c r="I12" s="1"/>
      <c r="J12" s="1"/>
    </row>
    <row r="13" spans="1:10" ht="40.5">
      <c r="A13" s="1" t="s">
        <v>123</v>
      </c>
      <c r="B13" s="1" t="s">
        <v>124</v>
      </c>
      <c r="C13" s="10">
        <f>SUM(E4:E10)</f>
        <v>421256.76020000002</v>
      </c>
      <c r="D13" s="12" t="s">
        <v>125</v>
      </c>
      <c r="E13" s="12" t="s">
        <v>126</v>
      </c>
      <c r="F13" s="12" t="s">
        <v>127</v>
      </c>
      <c r="G13" s="12"/>
      <c r="H13" s="1"/>
      <c r="I13" s="1"/>
      <c r="J13" s="1"/>
    </row>
    <row r="14" spans="1:10" ht="27">
      <c r="A14" s="1" t="s">
        <v>128</v>
      </c>
      <c r="B14" s="1" t="s">
        <v>129</v>
      </c>
      <c r="C14" s="10">
        <f>SUM(G4:G10)</f>
        <v>87186.074395730015</v>
      </c>
      <c r="D14" s="12" t="s">
        <v>125</v>
      </c>
      <c r="E14" s="12" t="s">
        <v>130</v>
      </c>
      <c r="F14" s="12" t="s">
        <v>127</v>
      </c>
      <c r="G14" s="12"/>
      <c r="H14" s="1"/>
      <c r="I14" s="1"/>
      <c r="J14" s="1"/>
    </row>
    <row r="15" spans="1:10" ht="27">
      <c r="A15" s="1" t="s">
        <v>131</v>
      </c>
      <c r="B15" s="1" t="s">
        <v>132</v>
      </c>
      <c r="C15" s="10">
        <f>C14*12</f>
        <v>1046232.8927487602</v>
      </c>
      <c r="D15" s="12" t="s">
        <v>125</v>
      </c>
      <c r="E15" s="12" t="s">
        <v>133</v>
      </c>
      <c r="F15" s="12" t="s">
        <v>127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135</v>
      </c>
      <c r="B3" s="2" t="s">
        <v>136</v>
      </c>
      <c r="C3" s="2" t="s">
        <v>137</v>
      </c>
      <c r="D3" s="2" t="s">
        <v>138</v>
      </c>
      <c r="E3" s="2" t="s">
        <v>139</v>
      </c>
      <c r="F3" s="2" t="s">
        <v>113</v>
      </c>
      <c r="G3" s="2" t="s">
        <v>140</v>
      </c>
      <c r="H3" s="2" t="s">
        <v>104</v>
      </c>
      <c r="I3" s="2" t="s">
        <v>141</v>
      </c>
      <c r="J3" s="2" t="s">
        <v>48</v>
      </c>
    </row>
    <row r="4" spans="1:10" ht="27">
      <c r="A4" s="4" t="s">
        <v>286</v>
      </c>
      <c r="B4" s="4" t="s">
        <v>287</v>
      </c>
      <c r="C4" s="6">
        <v>154111</v>
      </c>
      <c r="D4" s="7">
        <v>0.26539999999999997</v>
      </c>
      <c r="E4" s="7">
        <v>0.29749999999999999</v>
      </c>
      <c r="F4" s="10">
        <f>C4*D4*E4</f>
        <v>12168.065171499999</v>
      </c>
      <c r="G4" s="9">
        <v>2E-3</v>
      </c>
      <c r="H4" s="6">
        <v>100.58</v>
      </c>
      <c r="I4" s="10">
        <f>F4*G4*H4</f>
        <v>2447.7279898989395</v>
      </c>
      <c r="J4" s="1" t="s">
        <v>288</v>
      </c>
    </row>
    <row r="5" spans="1:10" ht="27">
      <c r="A5" s="4" t="s">
        <v>289</v>
      </c>
      <c r="B5" s="4" t="s">
        <v>290</v>
      </c>
      <c r="C5" s="6">
        <v>35325</v>
      </c>
      <c r="D5" s="7">
        <v>0.4395</v>
      </c>
      <c r="E5" s="7">
        <v>0.68</v>
      </c>
      <c r="F5" s="10">
        <f>C5*D5*E5</f>
        <v>10557.229500000001</v>
      </c>
      <c r="G5" s="9">
        <v>2E-3</v>
      </c>
      <c r="H5" s="6">
        <v>100.58</v>
      </c>
      <c r="I5" s="10">
        <f>F5*G5*H5</f>
        <v>2123.6922862200004</v>
      </c>
      <c r="J5" s="1" t="s">
        <v>288</v>
      </c>
    </row>
    <row r="6" spans="1:10" ht="27">
      <c r="A6" s="4" t="s">
        <v>291</v>
      </c>
      <c r="B6" s="4" t="s">
        <v>292</v>
      </c>
      <c r="C6" s="6">
        <v>241737</v>
      </c>
      <c r="D6" s="7">
        <v>0.1091</v>
      </c>
      <c r="E6" s="7">
        <v>0.1275</v>
      </c>
      <c r="F6" s="10">
        <f>C6*D6*E6</f>
        <v>3362.6221042500001</v>
      </c>
      <c r="G6" s="9">
        <v>2E-3</v>
      </c>
      <c r="H6" s="6">
        <v>100.58</v>
      </c>
      <c r="I6" s="10">
        <f>F6*G6*H6</f>
        <v>676.42506249093003</v>
      </c>
      <c r="J6" s="1" t="s">
        <v>288</v>
      </c>
    </row>
    <row r="7" spans="1:10" ht="27">
      <c r="A7" s="4" t="s">
        <v>293</v>
      </c>
      <c r="B7" s="4" t="s">
        <v>292</v>
      </c>
      <c r="C7" s="6">
        <v>202178</v>
      </c>
      <c r="D7" s="7">
        <v>0.16220000000000001</v>
      </c>
      <c r="E7" s="7">
        <v>0.255</v>
      </c>
      <c r="F7" s="10">
        <f>C7*D7*E7</f>
        <v>8362.2842579999997</v>
      </c>
      <c r="G7" s="9">
        <v>2E-3</v>
      </c>
      <c r="H7" s="6">
        <v>100.58</v>
      </c>
      <c r="I7" s="10">
        <f>F7*G7*H7</f>
        <v>1682.1571013392797</v>
      </c>
      <c r="J7" s="1" t="s">
        <v>288</v>
      </c>
    </row>
    <row r="8" spans="1:10" ht="27">
      <c r="A8" s="4" t="s">
        <v>294</v>
      </c>
      <c r="B8" s="4" t="s">
        <v>290</v>
      </c>
      <c r="C8" s="6">
        <v>14688</v>
      </c>
      <c r="D8" s="7">
        <v>0.95979999999999999</v>
      </c>
      <c r="E8" s="7">
        <v>0.4</v>
      </c>
      <c r="F8" s="10">
        <f>C8*D8*E8</f>
        <v>5639.0169600000008</v>
      </c>
      <c r="G8" s="9">
        <v>2E-3</v>
      </c>
      <c r="H8" s="6">
        <v>100.58</v>
      </c>
      <c r="I8" s="10">
        <f>F8*G8*H8</f>
        <v>1134.3446516736003</v>
      </c>
      <c r="J8" s="1" t="s">
        <v>288</v>
      </c>
    </row>
    <row r="9" spans="1:10" ht="27">
      <c r="A9" s="4" t="s">
        <v>295</v>
      </c>
      <c r="B9" s="4" t="s">
        <v>290</v>
      </c>
      <c r="C9" s="6">
        <v>17824</v>
      </c>
      <c r="D9" s="7">
        <v>0.58709999999999996</v>
      </c>
      <c r="E9" s="7">
        <v>0.64</v>
      </c>
      <c r="F9" s="10">
        <f>C9*D9*E9</f>
        <v>6697.2610559999994</v>
      </c>
      <c r="G9" s="9">
        <v>2E-3</v>
      </c>
      <c r="H9" s="6">
        <v>100.58</v>
      </c>
      <c r="I9" s="10">
        <f>F9*G9*H9</f>
        <v>1347.2210340249599</v>
      </c>
      <c r="J9" s="1" t="s">
        <v>288</v>
      </c>
    </row>
    <row r="10" spans="1:10" ht="27">
      <c r="A10" s="4" t="s">
        <v>296</v>
      </c>
      <c r="B10" s="4" t="s">
        <v>292</v>
      </c>
      <c r="C10" s="6">
        <v>292214</v>
      </c>
      <c r="D10" s="7">
        <v>9.6499999999999989E-2</v>
      </c>
      <c r="E10" s="7">
        <v>0.24</v>
      </c>
      <c r="F10" s="10">
        <f>C10*D10*E10</f>
        <v>6767.6762399999989</v>
      </c>
      <c r="G10" s="9">
        <v>2E-3</v>
      </c>
      <c r="H10" s="6">
        <v>100.58</v>
      </c>
      <c r="I10" s="10">
        <f>F10*G10*H10</f>
        <v>1361.3857524383998</v>
      </c>
      <c r="J10" s="1" t="s">
        <v>288</v>
      </c>
    </row>
    <row r="11" spans="1:10" ht="27">
      <c r="A11" s="4" t="s">
        <v>297</v>
      </c>
      <c r="B11" s="4" t="s">
        <v>292</v>
      </c>
      <c r="C11" s="6">
        <v>116617</v>
      </c>
      <c r="D11" s="7">
        <v>0.18229999999999999</v>
      </c>
      <c r="E11" s="7">
        <v>0.21249999999999999</v>
      </c>
      <c r="F11" s="10">
        <f>C11*D11*E11</f>
        <v>4517.5968087499996</v>
      </c>
      <c r="G11" s="9">
        <v>2E-3</v>
      </c>
      <c r="H11" s="6">
        <v>100.58</v>
      </c>
      <c r="I11" s="10">
        <f>F11*G11*H11</f>
        <v>908.75977404814989</v>
      </c>
      <c r="J11" s="1" t="s">
        <v>288</v>
      </c>
    </row>
    <row r="12" spans="1:10" ht="27">
      <c r="A12" s="4" t="s">
        <v>298</v>
      </c>
      <c r="B12" s="4" t="s">
        <v>292</v>
      </c>
      <c r="C12" s="6">
        <v>222359</v>
      </c>
      <c r="D12" s="7">
        <v>0.76359999999999995</v>
      </c>
      <c r="E12" s="7">
        <v>0.13500000000000001</v>
      </c>
      <c r="F12" s="10">
        <f>C12*D12*E12</f>
        <v>22922.099874</v>
      </c>
      <c r="G12" s="9">
        <v>2E-3</v>
      </c>
      <c r="H12" s="6">
        <v>100.58</v>
      </c>
      <c r="I12" s="10">
        <f>F12*G12*H12</f>
        <v>4611.0096106538404</v>
      </c>
      <c r="J12" s="1" t="s">
        <v>288</v>
      </c>
    </row>
    <row r="13" spans="1:10" ht="27">
      <c r="A13" s="4" t="s">
        <v>299</v>
      </c>
      <c r="B13" s="4" t="s">
        <v>292</v>
      </c>
      <c r="C13" s="6">
        <v>701540</v>
      </c>
      <c r="D13" s="7">
        <v>8.199999999999999E-2</v>
      </c>
      <c r="E13" s="7">
        <v>8.5000000000000006E-2</v>
      </c>
      <c r="F13" s="10">
        <f>C13*D13*E13</f>
        <v>4889.7338</v>
      </c>
      <c r="G13" s="9">
        <v>2E-3</v>
      </c>
      <c r="H13" s="6">
        <v>100.58</v>
      </c>
      <c r="I13" s="10">
        <f>F13*G13*H13</f>
        <v>983.61885120800002</v>
      </c>
      <c r="J13" s="1" t="s">
        <v>288</v>
      </c>
    </row>
    <row r="14" spans="1:10" ht="27">
      <c r="A14" s="4" t="s">
        <v>300</v>
      </c>
      <c r="B14" s="4" t="s">
        <v>290</v>
      </c>
      <c r="C14" s="6">
        <v>1935</v>
      </c>
      <c r="D14" s="7">
        <v>0.89460000000000006</v>
      </c>
      <c r="E14" s="7">
        <v>0.48</v>
      </c>
      <c r="F14" s="10">
        <f>C14*D14*E14</f>
        <v>830.90448000000004</v>
      </c>
      <c r="G14" s="9">
        <v>2E-3</v>
      </c>
      <c r="H14" s="6">
        <v>100.58</v>
      </c>
      <c r="I14" s="10">
        <f>F14*G14*H14</f>
        <v>167.14474519680002</v>
      </c>
      <c r="J14" s="1" t="s">
        <v>288</v>
      </c>
    </row>
    <row r="15" spans="1:10" ht="27">
      <c r="A15" s="4" t="s">
        <v>301</v>
      </c>
      <c r="B15" s="4" t="s">
        <v>287</v>
      </c>
      <c r="C15" s="6">
        <v>5522</v>
      </c>
      <c r="D15" s="7">
        <v>0.47520000000000001</v>
      </c>
      <c r="E15" s="7">
        <v>0.18</v>
      </c>
      <c r="F15" s="10">
        <f>C15*D15*E15</f>
        <v>472.329792</v>
      </c>
      <c r="G15" s="9">
        <v>2E-3</v>
      </c>
      <c r="H15" s="6">
        <v>100.58</v>
      </c>
      <c r="I15" s="10">
        <f>F15*G15*H15</f>
        <v>95.013860958720002</v>
      </c>
      <c r="J15" s="1" t="s">
        <v>288</v>
      </c>
    </row>
    <row r="16" spans="1:10">
      <c r="A16" s="1"/>
      <c r="B16" s="1"/>
      <c r="C16" s="12"/>
      <c r="D16" s="1"/>
      <c r="E16" s="1"/>
      <c r="F16" s="12"/>
      <c r="G16" s="1"/>
      <c r="H16" s="12"/>
      <c r="I16" s="12"/>
      <c r="J16" s="1"/>
    </row>
    <row r="17" spans="1:10" ht="13.9">
      <c r="A17" s="2" t="s">
        <v>142</v>
      </c>
      <c r="B17" s="2" t="s">
        <v>121</v>
      </c>
      <c r="C17" s="13" t="s">
        <v>46</v>
      </c>
      <c r="D17" s="2" t="s">
        <v>48</v>
      </c>
      <c r="E17" s="1"/>
      <c r="F17" s="12"/>
      <c r="G17" s="1"/>
      <c r="H17" s="12"/>
      <c r="I17" s="12"/>
      <c r="J17" s="1"/>
    </row>
    <row r="18" spans="1:10" ht="40.5">
      <c r="A18" s="1" t="s">
        <v>143</v>
      </c>
      <c r="B18" s="1" t="s">
        <v>144</v>
      </c>
      <c r="C18" s="10">
        <f>SUM(F4:F15)</f>
        <v>87186.820044499997</v>
      </c>
      <c r="D18" s="1" t="s">
        <v>145</v>
      </c>
      <c r="E18" s="1"/>
      <c r="F18" s="12"/>
      <c r="G18" s="1"/>
      <c r="H18" s="12"/>
      <c r="I18" s="12"/>
      <c r="J18" s="1"/>
    </row>
    <row r="19" spans="1:10" ht="40.5">
      <c r="A19" s="1" t="s">
        <v>146</v>
      </c>
      <c r="B19" s="1" t="s">
        <v>147</v>
      </c>
      <c r="C19" s="10">
        <f>C18/'01_Параметры'!B13</f>
        <v>158521.49098999999</v>
      </c>
      <c r="D19" s="1" t="s">
        <v>148</v>
      </c>
      <c r="E19" s="1"/>
      <c r="F19" s="12"/>
      <c r="G19" s="1"/>
      <c r="H19" s="12"/>
      <c r="I19" s="12"/>
      <c r="J19" s="1"/>
    </row>
    <row r="20" spans="1:10" ht="40.5">
      <c r="A20" s="1" t="s">
        <v>149</v>
      </c>
      <c r="B20" s="1" t="s">
        <v>150</v>
      </c>
      <c r="C20" s="10">
        <f>SUM(I4:I15)</f>
        <v>17538.50072015162</v>
      </c>
      <c r="D20" s="1" t="s">
        <v>151</v>
      </c>
      <c r="E20" s="1"/>
      <c r="F20" s="12"/>
      <c r="G20" s="1"/>
      <c r="H20" s="12"/>
      <c r="I20" s="12"/>
      <c r="J20" s="1"/>
    </row>
    <row r="21" spans="1:10" ht="54">
      <c r="A21" s="1" t="s">
        <v>152</v>
      </c>
      <c r="B21" s="1" t="s">
        <v>153</v>
      </c>
      <c r="C21" s="10">
        <f>C20/'01_Параметры'!B13*12</f>
        <v>382658.19753058074</v>
      </c>
      <c r="D21" s="1" t="s">
        <v>154</v>
      </c>
      <c r="E21" s="1"/>
      <c r="F21" s="12"/>
      <c r="G21" s="1"/>
      <c r="H21" s="12"/>
      <c r="I21" s="12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155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142</v>
      </c>
      <c r="B3" s="2" t="s">
        <v>106</v>
      </c>
      <c r="C3" s="2" t="s">
        <v>107</v>
      </c>
      <c r="D3" s="2" t="s">
        <v>108</v>
      </c>
      <c r="E3" s="2" t="s">
        <v>48</v>
      </c>
      <c r="F3" s="1"/>
      <c r="G3" s="1"/>
      <c r="H3" s="1"/>
      <c r="I3" s="1"/>
      <c r="J3" s="1"/>
    </row>
    <row r="4" spans="1:10" ht="67.5">
      <c r="A4" s="1" t="s">
        <v>302</v>
      </c>
      <c r="B4" s="10">
        <f>'03_Конкуренты_SW'!C19</f>
        <v>158521.49098999999</v>
      </c>
      <c r="C4" s="10">
        <f>'03_Конкуренты_SW'!C19</f>
        <v>158521.49098999999</v>
      </c>
      <c r="D4" s="10">
        <f>'03_Конкуренты_SW'!C19</f>
        <v>158521.49098999999</v>
      </c>
      <c r="E4" s="1" t="s">
        <v>303</v>
      </c>
      <c r="F4" s="1"/>
      <c r="G4" s="1"/>
      <c r="H4" s="1"/>
      <c r="I4" s="1"/>
      <c r="J4" s="1"/>
    </row>
    <row r="5" spans="1:10" ht="27">
      <c r="A5" s="1" t="s">
        <v>156</v>
      </c>
      <c r="B5" s="14">
        <f>'01_Параметры'!B17</f>
        <v>5.0000000000000001E-3</v>
      </c>
      <c r="C5" s="14">
        <f>'01_Параметры'!B18</f>
        <v>1.4999999999999999E-2</v>
      </c>
      <c r="D5" s="14">
        <f>'01_Параметры'!B19</f>
        <v>0.04</v>
      </c>
      <c r="E5" s="1" t="s">
        <v>157</v>
      </c>
      <c r="F5" s="1"/>
      <c r="G5" s="1"/>
      <c r="H5" s="1"/>
      <c r="I5" s="1"/>
      <c r="J5" s="1"/>
    </row>
    <row r="6" spans="1:10" ht="40.5">
      <c r="A6" s="1" t="s">
        <v>158</v>
      </c>
      <c r="B6" s="10">
        <f>B4*B5</f>
        <v>792.60745494999992</v>
      </c>
      <c r="C6" s="10">
        <f>C4*C5</f>
        <v>2377.8223648499998</v>
      </c>
      <c r="D6" s="10">
        <f>D4*D5</f>
        <v>6340.8596395999994</v>
      </c>
      <c r="E6" s="1" t="s">
        <v>159</v>
      </c>
      <c r="F6" s="1"/>
      <c r="G6" s="1"/>
      <c r="H6" s="1"/>
      <c r="I6" s="1"/>
      <c r="J6" s="1"/>
    </row>
    <row r="7" spans="1:10" ht="27">
      <c r="A7" s="1" t="s">
        <v>102</v>
      </c>
      <c r="B7" s="15">
        <f>'01_Параметры'!C17</f>
        <v>0.02</v>
      </c>
      <c r="C7" s="15">
        <f>'01_Параметры'!C18</f>
        <v>0.04</v>
      </c>
      <c r="D7" s="15">
        <f>'01_Параметры'!C19</f>
        <v>7.0000000000000007E-2</v>
      </c>
      <c r="E7" s="1" t="s">
        <v>157</v>
      </c>
      <c r="F7" s="1"/>
      <c r="G7" s="1"/>
      <c r="H7" s="1"/>
      <c r="I7" s="1"/>
      <c r="J7" s="1"/>
    </row>
    <row r="8" spans="1:10" ht="40.5">
      <c r="A8" s="1" t="s">
        <v>160</v>
      </c>
      <c r="B8" s="10">
        <f>B6*B7</f>
        <v>15.852149098999998</v>
      </c>
      <c r="C8" s="10">
        <f>C6*C7</f>
        <v>95.112894593999997</v>
      </c>
      <c r="D8" s="10">
        <f>D6*D7</f>
        <v>443.86017477199999</v>
      </c>
      <c r="E8" s="1" t="s">
        <v>161</v>
      </c>
      <c r="F8" s="1"/>
      <c r="G8" s="1"/>
      <c r="H8" s="1"/>
      <c r="I8" s="1"/>
      <c r="J8" s="1"/>
    </row>
    <row r="9" spans="1:10" ht="27">
      <c r="A9" s="1" t="s">
        <v>103</v>
      </c>
      <c r="B9" s="15">
        <f>'01_Параметры'!D17</f>
        <v>0.03</v>
      </c>
      <c r="C9" s="15">
        <f>'01_Параметры'!D18</f>
        <v>0.05</v>
      </c>
      <c r="D9" s="15">
        <f>'01_Параметры'!D19</f>
        <v>0.08</v>
      </c>
      <c r="E9" s="1" t="s">
        <v>157</v>
      </c>
      <c r="F9" s="1"/>
      <c r="G9" s="1"/>
      <c r="H9" s="1"/>
      <c r="I9" s="1"/>
      <c r="J9" s="1"/>
    </row>
    <row r="10" spans="1:10" ht="27">
      <c r="A10" s="1" t="s">
        <v>162</v>
      </c>
      <c r="B10" s="10">
        <f>B8*B9</f>
        <v>0.47556447296999993</v>
      </c>
      <c r="C10" s="10">
        <f>C8*C9</f>
        <v>4.7556447297000002</v>
      </c>
      <c r="D10" s="10">
        <f>D8*D9</f>
        <v>35.508813981759999</v>
      </c>
      <c r="E10" s="1" t="s">
        <v>163</v>
      </c>
      <c r="F10" s="1"/>
      <c r="G10" s="1"/>
      <c r="H10" s="1"/>
      <c r="I10" s="1"/>
      <c r="J10" s="1"/>
    </row>
    <row r="11" spans="1:10" ht="27">
      <c r="A11" s="1" t="s">
        <v>104</v>
      </c>
      <c r="B11" s="10">
        <f>'01_Параметры'!E17</f>
        <v>17.27</v>
      </c>
      <c r="C11" s="10">
        <f>'01_Параметры'!E18</f>
        <v>19.43</v>
      </c>
      <c r="D11" s="10">
        <f>'01_Параметры'!E19</f>
        <v>20.29</v>
      </c>
      <c r="E11" s="1" t="s">
        <v>164</v>
      </c>
      <c r="F11" s="1"/>
      <c r="G11" s="1"/>
      <c r="H11" s="1"/>
      <c r="I11" s="1"/>
      <c r="J11" s="1"/>
    </row>
    <row r="12" spans="1:10" ht="27">
      <c r="A12" s="1" t="s">
        <v>165</v>
      </c>
      <c r="B12" s="10">
        <f>B10*B11</f>
        <v>8.2129984481918985</v>
      </c>
      <c r="C12" s="10">
        <f>C10*C11</f>
        <v>92.402177098071007</v>
      </c>
      <c r="D12" s="10">
        <f>D10*D11</f>
        <v>720.4738356899104</v>
      </c>
      <c r="E12" s="1" t="s">
        <v>166</v>
      </c>
      <c r="F12" s="1"/>
      <c r="G12" s="1"/>
      <c r="H12" s="1"/>
      <c r="I12" s="1"/>
      <c r="J12" s="1"/>
    </row>
    <row r="13" spans="1:10" ht="27">
      <c r="A13" s="1" t="s">
        <v>167</v>
      </c>
      <c r="B13" s="10">
        <f>B12*12</f>
        <v>98.555981378302789</v>
      </c>
      <c r="C13" s="10">
        <f>C12*12</f>
        <v>1108.8261251768522</v>
      </c>
      <c r="D13" s="10">
        <f>D12*12</f>
        <v>8645.6860282789239</v>
      </c>
      <c r="E13" s="1" t="s">
        <v>168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169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1"/>
      <c r="I3" s="1"/>
      <c r="J3" s="1"/>
    </row>
    <row r="4" spans="1:10" ht="40.5">
      <c r="A4" s="1" t="s">
        <v>106</v>
      </c>
      <c r="B4" s="10">
        <f>'04_Воронка'!B6</f>
        <v>792.60745494999992</v>
      </c>
      <c r="C4" s="10">
        <f>'04_Воронка'!B8</f>
        <v>15.852149098999998</v>
      </c>
      <c r="D4" s="10">
        <f>'04_Воронка'!B10</f>
        <v>0.47556447296999993</v>
      </c>
      <c r="E4" s="10">
        <f>'04_Воронка'!B12</f>
        <v>8.2129984481918985</v>
      </c>
      <c r="F4" s="10">
        <f>'04_Воронка'!B13</f>
        <v>98.555981378302789</v>
      </c>
      <c r="G4" s="3" t="s">
        <v>176</v>
      </c>
      <c r="H4" s="1"/>
      <c r="I4" s="1"/>
      <c r="J4" s="1"/>
    </row>
    <row r="5" spans="1:10" ht="40.5">
      <c r="A5" s="1" t="s">
        <v>107</v>
      </c>
      <c r="B5" s="10">
        <f>'04_Воронка'!C6</f>
        <v>2377.8223648499998</v>
      </c>
      <c r="C5" s="10">
        <f>'04_Воронка'!C8</f>
        <v>95.112894593999997</v>
      </c>
      <c r="D5" s="10">
        <f>'04_Воронка'!C10</f>
        <v>4.7556447297000002</v>
      </c>
      <c r="E5" s="10">
        <f>'04_Воронка'!C12</f>
        <v>92.402177098071007</v>
      </c>
      <c r="F5" s="10">
        <f>'04_Воронка'!C13</f>
        <v>1108.8261251768522</v>
      </c>
      <c r="G5" s="3" t="s">
        <v>177</v>
      </c>
      <c r="H5" s="1"/>
      <c r="I5" s="1"/>
      <c r="J5" s="1"/>
    </row>
    <row r="6" spans="1:10" ht="40.5">
      <c r="A6" s="1" t="s">
        <v>108</v>
      </c>
      <c r="B6" s="10">
        <f>'04_Воронка'!D6</f>
        <v>6340.8596395999994</v>
      </c>
      <c r="C6" s="10">
        <f>'04_Воронка'!D8</f>
        <v>443.86017477199999</v>
      </c>
      <c r="D6" s="10">
        <f>'04_Воронка'!D10</f>
        <v>35.508813981759999</v>
      </c>
      <c r="E6" s="10">
        <f>'04_Воронка'!D12</f>
        <v>720.4738356899104</v>
      </c>
      <c r="F6" s="10">
        <f>'04_Воронка'!D13</f>
        <v>8645.6860282789239</v>
      </c>
      <c r="G6" s="3" t="s">
        <v>178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121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179</v>
      </c>
      <c r="B9" s="12" t="s">
        <v>180</v>
      </c>
      <c r="C9" s="10">
        <f>MIN(F4:F6)</f>
        <v>98.555981378302789</v>
      </c>
      <c r="D9" s="12" t="s">
        <v>181</v>
      </c>
      <c r="E9" s="12"/>
      <c r="F9" s="12"/>
      <c r="G9" s="1"/>
      <c r="H9" s="1"/>
      <c r="I9" s="1"/>
      <c r="J9" s="1"/>
    </row>
    <row r="10" spans="1:10" ht="27">
      <c r="A10" s="1" t="s">
        <v>182</v>
      </c>
      <c r="B10" s="12" t="s">
        <v>183</v>
      </c>
      <c r="C10" s="10">
        <f>F5</f>
        <v>1108.8261251768522</v>
      </c>
      <c r="D10" s="12" t="s">
        <v>184</v>
      </c>
      <c r="E10" s="12"/>
      <c r="F10" s="12"/>
      <c r="G10" s="1"/>
      <c r="H10" s="1"/>
      <c r="I10" s="1"/>
      <c r="J10" s="1"/>
    </row>
    <row r="11" spans="1:10" ht="40.5">
      <c r="A11" s="1" t="s">
        <v>185</v>
      </c>
      <c r="B11" s="12" t="s">
        <v>186</v>
      </c>
      <c r="C11" s="10">
        <f>MAX(F4:F6)</f>
        <v>8645.6860282789239</v>
      </c>
      <c r="D11" s="12" t="s">
        <v>187</v>
      </c>
      <c r="E11" s="12"/>
      <c r="F11" s="12"/>
      <c r="G11" s="1"/>
      <c r="H11" s="1"/>
      <c r="I11" s="1"/>
      <c r="J11" s="1"/>
    </row>
    <row r="12" spans="1:10" ht="40.5">
      <c r="A12" s="1" t="s">
        <v>188</v>
      </c>
      <c r="B12" s="12" t="s">
        <v>189</v>
      </c>
      <c r="C12" s="10">
        <f>C11-C9</f>
        <v>8547.1300469006219</v>
      </c>
      <c r="D12" s="12" t="s">
        <v>190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</conditionalFormatting>
  <conditionalFormatting sqref="F4:F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172</v>
      </c>
      <c r="C3" s="2" t="s">
        <v>104</v>
      </c>
      <c r="D3" s="2" t="s">
        <v>105</v>
      </c>
      <c r="E3" s="2" t="s">
        <v>192</v>
      </c>
      <c r="F3" s="2" t="s">
        <v>193</v>
      </c>
      <c r="G3" s="2" t="s">
        <v>48</v>
      </c>
      <c r="H3" s="1"/>
      <c r="I3" s="1"/>
      <c r="J3" s="1"/>
    </row>
    <row r="4" spans="1:10" ht="27">
      <c r="A4" s="1" t="s">
        <v>106</v>
      </c>
      <c r="B4" s="10">
        <f>'04_Воронка'!B10</f>
        <v>0.47556447296999993</v>
      </c>
      <c r="C4" s="10">
        <f>'04_Воронка'!B11</f>
        <v>17.27</v>
      </c>
      <c r="D4" s="10">
        <f>'01_Параметры'!F17</f>
        <v>3.1199999999999997</v>
      </c>
      <c r="E4" s="10">
        <f>B4*C4*D4*12</f>
        <v>307.49466190030466</v>
      </c>
      <c r="F4" s="10">
        <f>C4*D4</f>
        <v>53.88239999999999</v>
      </c>
      <c r="G4" s="3" t="s">
        <v>194</v>
      </c>
      <c r="H4" s="1"/>
      <c r="I4" s="1"/>
      <c r="J4" s="1"/>
    </row>
    <row r="5" spans="1:10" ht="27">
      <c r="A5" s="1" t="s">
        <v>107</v>
      </c>
      <c r="B5" s="10">
        <f>'04_Воронка'!C10</f>
        <v>4.7556447297000002</v>
      </c>
      <c r="C5" s="10">
        <f>'04_Воронка'!C11</f>
        <v>19.43</v>
      </c>
      <c r="D5" s="10">
        <f>'01_Параметры'!F18</f>
        <v>5.1749999999999998</v>
      </c>
      <c r="E5" s="10">
        <f>B5*C5*D5*12</f>
        <v>5738.1751977902095</v>
      </c>
      <c r="F5" s="10">
        <f>C5*D5</f>
        <v>100.55024999999999</v>
      </c>
      <c r="G5" s="3" t="s">
        <v>195</v>
      </c>
      <c r="H5" s="1"/>
      <c r="I5" s="1"/>
      <c r="J5" s="1"/>
    </row>
    <row r="6" spans="1:10" ht="40.5">
      <c r="A6" s="1" t="s">
        <v>108</v>
      </c>
      <c r="B6" s="10">
        <f>'04_Воронка'!D10</f>
        <v>35.508813981759999</v>
      </c>
      <c r="C6" s="10">
        <f>'04_Воронка'!D11</f>
        <v>20.29</v>
      </c>
      <c r="D6" s="10">
        <f>'01_Параметры'!F19</f>
        <v>7.35</v>
      </c>
      <c r="E6" s="10">
        <f>B6*C6*D6*12</f>
        <v>63545.79230785009</v>
      </c>
      <c r="F6" s="10">
        <f>C6*D6</f>
        <v>149.13149999999999</v>
      </c>
      <c r="G6" s="3" t="s">
        <v>196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106</v>
      </c>
      <c r="C8" s="13" t="s">
        <v>107</v>
      </c>
      <c r="D8" s="13" t="s">
        <v>108</v>
      </c>
      <c r="E8" s="12"/>
      <c r="F8" s="12"/>
      <c r="G8" s="1"/>
      <c r="H8" s="1"/>
      <c r="I8" s="1"/>
      <c r="J8" s="1"/>
    </row>
    <row r="9" spans="1:10" ht="27">
      <c r="A9" s="1" t="s">
        <v>197</v>
      </c>
      <c r="B9" s="10">
        <f>'04_Воронка'!B13</f>
        <v>98.555981378302789</v>
      </c>
      <c r="C9" s="10">
        <f>'04_Воронка'!C13</f>
        <v>1108.8261251768522</v>
      </c>
      <c r="D9" s="10">
        <f>'04_Воронка'!D13</f>
        <v>8645.6860282789239</v>
      </c>
      <c r="E9" s="12"/>
      <c r="F9" s="12"/>
      <c r="G9" s="1"/>
      <c r="H9" s="1"/>
      <c r="I9" s="1"/>
      <c r="J9" s="1"/>
    </row>
    <row r="10" spans="1:10" ht="27">
      <c r="A10" s="1" t="s">
        <v>192</v>
      </c>
      <c r="B10" s="10">
        <f>E4</f>
        <v>307.49466190030466</v>
      </c>
      <c r="C10" s="10">
        <f>E5</f>
        <v>5738.1751977902095</v>
      </c>
      <c r="D10" s="10">
        <f>E6</f>
        <v>63545.79230785009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198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106</v>
      </c>
      <c r="C3" s="2" t="s">
        <v>107</v>
      </c>
      <c r="D3" s="2" t="s">
        <v>108</v>
      </c>
      <c r="E3" s="2" t="s">
        <v>62</v>
      </c>
      <c r="F3" s="2" t="s">
        <v>63</v>
      </c>
      <c r="G3" s="2" t="s">
        <v>48</v>
      </c>
      <c r="H3" s="2" t="s">
        <v>199</v>
      </c>
      <c r="I3" s="1"/>
      <c r="J3" s="1"/>
    </row>
    <row r="4" spans="1:10" ht="67.5">
      <c r="A4" s="1" t="s">
        <v>200</v>
      </c>
      <c r="B4" s="6">
        <v>2</v>
      </c>
      <c r="C4" s="6">
        <v>8</v>
      </c>
      <c r="D4" s="6">
        <v>20</v>
      </c>
      <c r="E4" s="1" t="s">
        <v>201</v>
      </c>
      <c r="F4" s="1" t="s">
        <v>307</v>
      </c>
      <c r="G4" s="1" t="s">
        <v>202</v>
      </c>
      <c r="H4" s="1" t="s">
        <v>69</v>
      </c>
      <c r="I4" s="1"/>
      <c r="J4" s="1"/>
    </row>
    <row r="5" spans="1:10" ht="27">
      <c r="A5" s="1" t="s">
        <v>203</v>
      </c>
      <c r="B5" s="6">
        <v>17.27</v>
      </c>
      <c r="C5" s="6">
        <v>19.43</v>
      </c>
      <c r="D5" s="6">
        <v>20.29</v>
      </c>
      <c r="E5" s="1" t="s">
        <v>266</v>
      </c>
      <c r="F5" s="1" t="s">
        <v>204</v>
      </c>
      <c r="G5" s="1" t="s">
        <v>205</v>
      </c>
      <c r="H5" s="1" t="s">
        <v>69</v>
      </c>
      <c r="I5" s="1"/>
      <c r="J5" s="1"/>
    </row>
    <row r="6" spans="1:10" ht="27">
      <c r="A6" s="1" t="s">
        <v>206</v>
      </c>
      <c r="B6" s="10">
        <f>B4*B5</f>
        <v>34.54</v>
      </c>
      <c r="C6" s="10">
        <f>C4*C5</f>
        <v>155.44</v>
      </c>
      <c r="D6" s="10">
        <f>D4*D5</f>
        <v>405.79999999999995</v>
      </c>
      <c r="E6" s="1" t="s">
        <v>266</v>
      </c>
      <c r="F6" s="1" t="s">
        <v>207</v>
      </c>
      <c r="G6" s="1" t="s">
        <v>208</v>
      </c>
      <c r="H6" s="1" t="s">
        <v>207</v>
      </c>
      <c r="I6" s="1"/>
      <c r="J6" s="1"/>
    </row>
    <row r="7" spans="1:10" ht="27">
      <c r="A7" s="1" t="s">
        <v>304</v>
      </c>
      <c r="B7" s="7">
        <v>0.03</v>
      </c>
      <c r="C7" s="7">
        <v>0.03</v>
      </c>
      <c r="D7" s="7">
        <v>0.03</v>
      </c>
      <c r="E7" s="1" t="s">
        <v>94</v>
      </c>
      <c r="F7" s="1" t="s">
        <v>209</v>
      </c>
      <c r="G7" s="1" t="s">
        <v>210</v>
      </c>
      <c r="H7" s="1" t="s">
        <v>69</v>
      </c>
      <c r="I7" s="1"/>
      <c r="J7" s="1"/>
    </row>
    <row r="8" spans="1:10" ht="27">
      <c r="A8" s="1" t="s">
        <v>305</v>
      </c>
      <c r="B8" s="10">
        <f>B6*B7</f>
        <v>1.0362</v>
      </c>
      <c r="C8" s="10">
        <f>C6*C7</f>
        <v>4.6631999999999998</v>
      </c>
      <c r="D8" s="10">
        <f>D6*D7</f>
        <v>12.173999999999998</v>
      </c>
      <c r="E8" s="1" t="s">
        <v>266</v>
      </c>
      <c r="F8" s="1" t="s">
        <v>207</v>
      </c>
      <c r="G8" s="1" t="s">
        <v>211</v>
      </c>
      <c r="H8" s="1" t="s">
        <v>207</v>
      </c>
      <c r="I8" s="1"/>
      <c r="J8" s="1"/>
    </row>
    <row r="9" spans="1:10" ht="27">
      <c r="A9" s="1" t="s">
        <v>306</v>
      </c>
      <c r="B9" s="10">
        <f>B8*12</f>
        <v>12.4344</v>
      </c>
      <c r="C9" s="10">
        <f>C8*12</f>
        <v>55.958399999999997</v>
      </c>
      <c r="D9" s="10">
        <f>D8*12</f>
        <v>146.08799999999997</v>
      </c>
      <c r="E9" s="1" t="s">
        <v>266</v>
      </c>
      <c r="F9" s="1" t="s">
        <v>207</v>
      </c>
      <c r="G9" s="1" t="s">
        <v>212</v>
      </c>
      <c r="H9" s="1" t="s">
        <v>207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213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214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128</v>
      </c>
      <c r="B4" s="10">
        <f>'02_Трафик_охват'!C14</f>
        <v>87186.074395730015</v>
      </c>
      <c r="C4" s="1" t="s">
        <v>125</v>
      </c>
      <c r="D4" s="1" t="s">
        <v>215</v>
      </c>
      <c r="E4" s="1"/>
      <c r="F4" s="1"/>
      <c r="G4" s="1"/>
      <c r="H4" s="1"/>
      <c r="I4" s="1"/>
      <c r="J4" s="1"/>
    </row>
    <row r="5" spans="1:10" ht="27">
      <c r="A5" s="1" t="s">
        <v>131</v>
      </c>
      <c r="B5" s="10">
        <f>'02_Трафик_охват'!C15</f>
        <v>1046232.8927487602</v>
      </c>
      <c r="C5" s="1" t="s">
        <v>125</v>
      </c>
      <c r="D5" s="1" t="s">
        <v>216</v>
      </c>
      <c r="E5" s="1"/>
      <c r="F5" s="1"/>
      <c r="G5" s="1"/>
      <c r="H5" s="1"/>
      <c r="I5" s="1"/>
      <c r="J5" s="1"/>
    </row>
    <row r="6" spans="1:10" ht="54">
      <c r="A6" s="1" t="s">
        <v>217</v>
      </c>
      <c r="B6" s="10">
        <f>'03_Конкуренты_SW'!C19</f>
        <v>158521.49098999999</v>
      </c>
      <c r="C6" s="1" t="s">
        <v>218</v>
      </c>
      <c r="D6" s="1" t="s">
        <v>219</v>
      </c>
      <c r="E6" s="1"/>
      <c r="F6" s="1"/>
      <c r="G6" s="1"/>
      <c r="H6" s="1"/>
      <c r="I6" s="1"/>
      <c r="J6" s="1"/>
    </row>
    <row r="7" spans="1:10" ht="27">
      <c r="A7" s="1" t="s">
        <v>220</v>
      </c>
      <c r="B7" s="10">
        <f>'05_Сценарии'!C9</f>
        <v>98.555981378302789</v>
      </c>
      <c r="C7" s="1" t="s">
        <v>267</v>
      </c>
      <c r="D7" s="1" t="s">
        <v>221</v>
      </c>
      <c r="E7" s="1"/>
      <c r="F7" s="1"/>
      <c r="G7" s="1"/>
      <c r="H7" s="1"/>
      <c r="I7" s="1"/>
      <c r="J7" s="1"/>
    </row>
    <row r="8" spans="1:10" ht="27">
      <c r="A8" s="1" t="s">
        <v>222</v>
      </c>
      <c r="B8" s="10">
        <f>'05_Сценарии'!C10</f>
        <v>1108.8261251768522</v>
      </c>
      <c r="C8" s="1" t="s">
        <v>267</v>
      </c>
      <c r="D8" s="1" t="s">
        <v>223</v>
      </c>
      <c r="E8" s="1"/>
      <c r="F8" s="1"/>
      <c r="G8" s="1"/>
      <c r="H8" s="1"/>
      <c r="I8" s="1"/>
      <c r="J8" s="1"/>
    </row>
    <row r="9" spans="1:10" ht="27">
      <c r="A9" s="1" t="s">
        <v>224</v>
      </c>
      <c r="B9" s="10">
        <f>'05_Сценарии'!C11</f>
        <v>8645.6860282789239</v>
      </c>
      <c r="C9" s="1" t="s">
        <v>267</v>
      </c>
      <c r="D9" s="1" t="s">
        <v>225</v>
      </c>
      <c r="E9" s="1"/>
      <c r="F9" s="1"/>
      <c r="G9" s="1"/>
      <c r="H9" s="1"/>
      <c r="I9" s="1"/>
      <c r="J9" s="1"/>
    </row>
    <row r="10" spans="1:10" ht="40.5">
      <c r="A10" s="1" t="s">
        <v>226</v>
      </c>
      <c r="B10" s="10">
        <f>'06_Повторы_LTV'!C10</f>
        <v>5738.1751977902095</v>
      </c>
      <c r="C10" s="1" t="s">
        <v>267</v>
      </c>
      <c r="D10" s="1" t="s">
        <v>227</v>
      </c>
      <c r="E10" s="1"/>
      <c r="F10" s="1"/>
      <c r="G10" s="1"/>
      <c r="H10" s="1"/>
      <c r="I10" s="1"/>
      <c r="J10" s="1"/>
    </row>
    <row r="11" spans="1:10" ht="40.5">
      <c r="A11" s="1" t="s">
        <v>228</v>
      </c>
      <c r="B11" s="10">
        <f>'07_Платформа_GMV'!C6*12</f>
        <v>1865.28</v>
      </c>
      <c r="C11" s="1" t="s">
        <v>267</v>
      </c>
      <c r="D11" s="1" t="s">
        <v>229</v>
      </c>
      <c r="E11" s="1"/>
      <c r="F11" s="1"/>
      <c r="G11" s="1"/>
      <c r="H11" s="1"/>
      <c r="I11" s="1"/>
      <c r="J11" s="1"/>
    </row>
    <row r="12" spans="1:10" ht="40.5">
      <c r="A12" s="1" t="s">
        <v>230</v>
      </c>
      <c r="B12" s="10">
        <f>'07_Платформа_GMV'!C9</f>
        <v>55.958399999999997</v>
      </c>
      <c r="C12" s="1" t="s">
        <v>267</v>
      </c>
      <c r="D12" s="1" t="s">
        <v>231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232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233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</conditionalFormatting>
  <conditionalFormatting sqref="B7:B9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234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235</v>
      </c>
      <c r="B3" s="2" t="s">
        <v>236</v>
      </c>
      <c r="C3" s="2" t="s">
        <v>237</v>
      </c>
      <c r="D3" s="2" t="s">
        <v>238</v>
      </c>
      <c r="E3" s="2" t="s">
        <v>239</v>
      </c>
      <c r="F3" s="2" t="s">
        <v>48</v>
      </c>
      <c r="G3" s="1"/>
      <c r="H3" s="1"/>
      <c r="I3" s="1"/>
      <c r="J3" s="1"/>
    </row>
    <row r="4" spans="1:10" ht="54">
      <c r="A4" s="1" t="s">
        <v>240</v>
      </c>
      <c r="B4" s="1" t="s">
        <v>241</v>
      </c>
      <c r="C4" s="1" t="s">
        <v>242</v>
      </c>
      <c r="D4" s="16">
        <v>46298</v>
      </c>
      <c r="E4" s="1" t="s">
        <v>243</v>
      </c>
      <c r="F4" s="1" t="s">
        <v>308</v>
      </c>
      <c r="G4" s="1"/>
      <c r="H4" s="1"/>
      <c r="I4" s="1"/>
      <c r="J4" s="1"/>
    </row>
    <row r="5" spans="1:10" ht="40.5">
      <c r="A5" s="1" t="s">
        <v>244</v>
      </c>
      <c r="B5" s="1" t="s">
        <v>245</v>
      </c>
      <c r="C5" s="1" t="s">
        <v>246</v>
      </c>
      <c r="D5" s="16">
        <v>46298</v>
      </c>
      <c r="E5" s="1" t="s">
        <v>243</v>
      </c>
      <c r="F5" s="1" t="s">
        <v>309</v>
      </c>
      <c r="G5" s="1"/>
      <c r="H5" s="1"/>
      <c r="I5" s="1"/>
      <c r="J5" s="1"/>
    </row>
    <row r="6" spans="1:10" ht="27">
      <c r="A6" s="1" t="s">
        <v>247</v>
      </c>
      <c r="B6" s="1" t="s">
        <v>248</v>
      </c>
      <c r="C6" s="1" t="s">
        <v>249</v>
      </c>
      <c r="D6" s="16">
        <v>46298</v>
      </c>
      <c r="E6" s="1" t="s">
        <v>116</v>
      </c>
      <c r="F6" s="1" t="s">
        <v>250</v>
      </c>
      <c r="G6" s="1"/>
      <c r="H6" s="1"/>
      <c r="I6" s="1"/>
      <c r="J6" s="1"/>
    </row>
    <row r="7" spans="1:10" ht="40.5">
      <c r="A7" s="1" t="s">
        <v>251</v>
      </c>
      <c r="B7" s="1" t="s">
        <v>252</v>
      </c>
      <c r="C7" s="1" t="s">
        <v>253</v>
      </c>
      <c r="D7" s="16">
        <v>46298</v>
      </c>
      <c r="E7" s="1" t="s">
        <v>116</v>
      </c>
      <c r="F7" s="1" t="s">
        <v>254</v>
      </c>
      <c r="G7" s="1"/>
      <c r="H7" s="1"/>
      <c r="I7" s="1"/>
      <c r="J7" s="1"/>
    </row>
    <row r="8" spans="1:10" ht="40.5">
      <c r="A8" s="1" t="s">
        <v>255</v>
      </c>
      <c r="B8" s="1" t="s">
        <v>256</v>
      </c>
      <c r="C8" s="1" t="s">
        <v>257</v>
      </c>
      <c r="D8" s="16">
        <v>46298</v>
      </c>
      <c r="E8" s="1" t="s">
        <v>116</v>
      </c>
      <c r="F8" s="1" t="s">
        <v>258</v>
      </c>
      <c r="G8" s="1"/>
      <c r="H8" s="1"/>
      <c r="I8" s="1"/>
      <c r="J8" s="1"/>
    </row>
    <row r="9" spans="1:10" ht="27">
      <c r="A9" s="1" t="s">
        <v>259</v>
      </c>
      <c r="B9" s="1" t="s">
        <v>260</v>
      </c>
      <c r="C9" s="4" t="s">
        <v>261</v>
      </c>
      <c r="D9" s="8">
        <v>46298</v>
      </c>
      <c r="E9" s="1" t="s">
        <v>116</v>
      </c>
      <c r="F9" s="1" t="s">
        <v>262</v>
      </c>
      <c r="G9" s="1"/>
      <c r="H9" s="1"/>
      <c r="I9" s="1"/>
      <c r="J9" s="1"/>
    </row>
    <row r="10" spans="1:10" ht="40.5">
      <c r="A10" s="1" t="s">
        <v>263</v>
      </c>
      <c r="B10" s="1" t="s">
        <v>264</v>
      </c>
      <c r="C10" s="4" t="s">
        <v>261</v>
      </c>
      <c r="D10" s="8">
        <v>46298</v>
      </c>
      <c r="E10" s="1" t="s">
        <v>116</v>
      </c>
      <c r="F10" s="1" t="s">
        <v>265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2026-10-04T15:49:16Z</dcterms:modified>
</cp:coreProperties>
</file>