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2-3_Объем_рынка\Excel\"/>
    </mc:Choice>
  </mc:AlternateContent>
  <xr:revisionPtr revIDLastSave="0" documentId="13_ncr:1_{32E596C5-DE3C-47ED-961D-8A7FE9D67AC9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I14" i="4" s="1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5" i="7" l="1"/>
  <c r="F6" i="7"/>
  <c r="C8" i="8"/>
  <c r="C9" i="8" s="1"/>
  <c r="B12" i="9" s="1"/>
  <c r="C20" i="4"/>
  <c r="C21" i="4" s="1"/>
  <c r="C13" i="3"/>
  <c r="F4" i="7"/>
  <c r="G8" i="3"/>
  <c r="C14" i="3" s="1"/>
  <c r="C18" i="4"/>
  <c r="C19" i="4" l="1"/>
  <c r="C15" i="3"/>
  <c r="B5" i="9" s="1"/>
  <c r="B4" i="9"/>
  <c r="D4" i="5" l="1"/>
  <c r="D6" i="5" s="1"/>
  <c r="C4" i="5"/>
  <c r="C6" i="5" s="1"/>
  <c r="B4" i="5"/>
  <c r="B6" i="5" s="1"/>
  <c r="B6" i="9"/>
  <c r="B8" i="5"/>
  <c r="B4" i="6"/>
  <c r="B5" i="6"/>
  <c r="C8" i="5"/>
  <c r="D8" i="5"/>
  <c r="B6" i="6"/>
  <c r="C6" i="6" l="1"/>
  <c r="D10" i="5"/>
  <c r="C10" i="5"/>
  <c r="C5" i="6"/>
  <c r="B10" i="5"/>
  <c r="C4" i="6"/>
  <c r="B12" i="5" l="1"/>
  <c r="B4" i="7"/>
  <c r="E4" i="7" s="1"/>
  <c r="B10" i="7" s="1"/>
  <c r="D4" i="6"/>
  <c r="C12" i="5"/>
  <c r="B5" i="7"/>
  <c r="E5" i="7" s="1"/>
  <c r="C10" i="7" s="1"/>
  <c r="B10" i="9" s="1"/>
  <c r="D5" i="6"/>
  <c r="D6" i="6"/>
  <c r="D12" i="5"/>
  <c r="B6" i="7"/>
  <c r="E6" i="7" s="1"/>
  <c r="D10" i="7" s="1"/>
  <c r="D13" i="5" l="1"/>
  <c r="E6" i="6"/>
  <c r="E5" i="6"/>
  <c r="C13" i="5"/>
  <c r="E4" i="6"/>
  <c r="B13" i="5"/>
  <c r="F4" i="6" l="1"/>
  <c r="B9" i="7"/>
  <c r="F5" i="6"/>
  <c r="C10" i="6" s="1"/>
  <c r="B8" i="9" s="1"/>
  <c r="C9" i="7"/>
  <c r="F6" i="6"/>
  <c r="D9" i="7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<sst xmlns="http://schemas.openxmlformats.org/spreadsheetml/2006/main" count="450" uniqueCount="311">
  <si>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</si>
  <si>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</si>
  <si>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</si>
  <si>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</si>
  <si>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</si>
  <si>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</si>
  <si>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</si>
  <si>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</si>
  <si>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</si>
  <si>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</si>
  <si>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</si>
  <si>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</si>
  <si>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</si>
  <si>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</si>
  <si>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</si>
  <si>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</si>
  <si>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</si>
  <si>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</si>
  <si>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</si>
  <si>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</si>
  <si>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</si>
  <si>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</si>
  <si>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</si>
  <si>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</si>
  <si>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</si>
  <si>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</si>
  <si>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</si>
  <si>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</si>
  <si>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</si>
  <si>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</si>
  <si>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</si>
  <si>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</si>
  <si>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</si>
  <si>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</si>
  <si>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</si>
  <si>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</si>
  <si>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</si>
  <si>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</si>
  <si>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</si>
  <si>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</si>
  <si>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</si>
  <si>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</si>
  <si>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</si>
  <si>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</si>
  <si>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</si>
  <si>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</si>
  <si>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</si>
  <si>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</si>
  <si>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</si>
  <si>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</si>
  <si>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</si>
  <si>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</si>
  <si>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</si>
  <si>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</si>
  <si>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</si>
  <si>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</si>
  <si>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</si>
  <si>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</si>
  <si>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</si>
  <si>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</si>
  <si>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</si>
  <si>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</si>
  <si>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</si>
  <si>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</si>
  <si>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</si>
  <si>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</si>
  <si>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</si>
  <si>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</si>
  <si>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</si>
  <si>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</si>
  <si>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</si>
  <si>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</si>
  <si>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</si>
  <si>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</si>
  <si>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</si>
  <si>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</si>
  <si>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</si>
  <si>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</si>
  <si>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</si>
  <si>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</si>
  <si>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</si>
  <si>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</si>
  <si>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</si>
  <si>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</si>
  <si>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</si>
  <si>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</si>
  <si>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</si>
  <si>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</si>
  <si>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</si>
  <si>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</si>
  <si>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</si>
  <si>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</si>
  <si>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</si>
  <si>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</si>
  <si>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</si>
  <si>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</si>
  <si>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</si>
  <si>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</si>
  <si>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</si>
  <si>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</si>
  <si>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</si>
  <si>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</si>
  <si>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</si>
  <si>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</si>
  <si>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</si>
  <si>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</si>
  <si>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</si>
  <si>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</si>
  <si>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</si>
  <si>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</si>
  <si>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</si>
  <si>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</si>
  <si>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</si>
  <si>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</si>
  <si>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</si>
  <si>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</si>
  <si>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</si>
  <si>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</si>
  <si>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</si>
  <si>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</si>
  <si>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</si>
  <si>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</si>
  <si>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</si>
  <si>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</si>
  <si>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</si>
  <si>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</si>
  <si>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</si>
  <si>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</si>
  <si>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</si>
  <si>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</si>
  <si>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</si>
  <si>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</si>
  <si>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</si>
  <si>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</si>
  <si>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</si>
  <si>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</si>
  <si>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</si>
  <si>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</si>
  <si>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</si>
  <si>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</si>
  <si>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</si>
  <si>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</si>
  <si>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</si>
  <si>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</si>
  <si>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</si>
  <si>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</si>
  <si>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</si>
  <si>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</si>
  <si>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</si>
  <si>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</si>
  <si>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</si>
  <si>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</si>
  <si>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</si>
  <si>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</si>
  <si>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</si>
  <si>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</si>
  <si>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</si>
  <si>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</si>
  <si>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</si>
  <si>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</si>
  <si>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</si>
  <si>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</si>
  <si>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</si>
  <si>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</si>
  <si>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</si>
  <si>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</si>
  <si>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</si>
  <si>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</si>
  <si>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</si>
  <si>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</si>
  <si>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</si>
  <si>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</si>
  <si>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</si>
  <si>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</si>
  <si>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</si>
  <si>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</si>
  <si>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</si>
  <si>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</si>
  <si>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</si>
  <si>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</si>
  <si>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</si>
  <si>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</si>
  <si>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</si>
  <si>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</si>
  <si>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</si>
  <si>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</si>
  <si>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</si>
  <si>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</si>
  <si>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</si>
  <si>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</si>
  <si>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</si>
  <si>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</si>
  <si>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</si>
  <si>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</si>
  <si>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</si>
  <si>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</si>
  <si>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</si>
  <si>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</si>
  <si>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</si>
  <si>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</si>
  <si>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</si>
  <si>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</si>
  <si>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</si>
  <si>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</si>
  <si>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</si>
  <si>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</si>
  <si>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</si>
  <si>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</si>
  <si>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</si>
  <si>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</si>
  <si>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</si>
  <si>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</si>
  <si>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</si>
  <si>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</si>
  <si>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</si>
  <si>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</si>
  <si>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</si>
  <si>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</si>
  <si>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</si>
  <si>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</si>
  <si>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</si>
  <si>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</si>
  <si>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</si>
  <si>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</si>
  <si>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</si>
  <si>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</si>
  <si>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</si>
  <si>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</si>
  <si>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</si>
  <si>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</si>
  <si>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</si>
  <si>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</si>
  <si>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</si>
  <si>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</si>
  <si>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</si>
  <si>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</si>
  <si>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</si>
  <si>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</si>
  <si>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</si>
  <si>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</si>
  <si>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</si>
  <si>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</si>
  <si>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</si>
  <si>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</si>
  <si>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</si>
  <si>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</si>
  <si>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</si>
  <si>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</si>
  <si>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</si>
  <si>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</si>
  <si>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</si>
  <si>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</si>
  <si>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</si>
  <si>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</si>
  <si>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</si>
  <si>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</si>
  <si>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</si>
  <si>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</si>
  <si>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</si>
  <si>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</si>
  <si>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</si>
  <si>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</si>
  <si>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</si>
  <si>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</si>
  <si>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</si>
  <si>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</si>
  <si>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</si>
  <si>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</si>
  <si>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</si>
  <si>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</si>
  <si>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</si>
  <si>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</si>
  <si>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</si>
  <si>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</si>
  <si>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</si>
  <si>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</si>
  <si>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</si>
  <si>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</si>
  <si>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</si>
  <si>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</si>
  <si>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</si>
  <si>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</si>
  <si>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</si>
  <si>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</si>
  <si>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</si>
  <si>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</si>
  <si>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</si>
  <si>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</si>
  <si>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</si>
  <si>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</si>
  <si>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</si>
  <si>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</si>
  <si>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</si>
  <si>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</si>
  <si>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</si>
  <si>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</si>
  <si>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</si>
  <si>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</si>
  <si>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</si>
  <si>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</si>
  <si>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</si>
  <si>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</si>
  <si>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</si>
  <si>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</si>
  <si>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</si>
  <si>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</si>
  <si>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комиссия 3 % подтверждена Microsoft Learn 03.10.2026; по ПЗ1 оплата идет через Stripe, 3 % принято как верхняя оценка</t>
  </si>
  <si>
    <t>perfectxl.com/pricing; arixcel.com/pricing; shortcut.ai/pricing; rows.com/pricing (страницы цен, 03.10.2026)</t>
  </si>
  <si>
    <t>Своего сайта пока нет: использованы расчетные замеры MVP (допущение Д-32)</t>
  </si>
  <si>
    <t>Рекламных кабинетов нет: использованы расчетные показатели (допущение Д-33)</t>
  </si>
  <si>
    <t>https://ads.google.com/ ; https://business.facebook.com/ (рекламные кабинеты не использовались, расчетные показатели, Д-33)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</si>
</sst>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7-49A0-B48F-B900D83603D4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7-49A0-B48F-B900D83603D4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7-49A0-B48F-B900D83603D4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DA77-49A0-B48F-B900D83603D4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DA77-49A0-B48F-B900D836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267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268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265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269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270</v>
      </c>
      <c r="D9" s="1" t="s">
        <v>271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270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270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272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273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274</v>
      </c>
      <c r="C16" s="2" t="s">
        <v>102</v>
      </c>
      <c r="D16" s="2" t="s">
        <v>103</v>
      </c>
      <c r="E16" s="2" t="s">
        <v>104</v>
      </c>
      <c r="F16" s="2" t="s">
        <v>275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283</v>
      </c>
      <c r="D3" s="2" t="s">
        <v>138</v>
      </c>
      <c r="E3" s="2" t="s">
        <v>112</v>
      </c>
      <c r="F3" s="2" t="s">
        <v>284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276</v>
      </c>
      <c r="J4" s="1"/>
    </row>
    <row r="5" spans="1:10" ht="40.5">
      <c r="A5" s="1" t="s">
        <v>115</v>
      </c>
      <c r="B5" s="1" t="s">
        <v>277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276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276</v>
      </c>
      <c r="J6" s="1"/>
    </row>
    <row r="7" spans="1:10" ht="40.5">
      <c r="A7" s="1" t="s">
        <v>119</v>
      </c>
      <c r="B7" s="1" t="s">
        <v>278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276</v>
      </c>
      <c r="J7" s="1"/>
    </row>
    <row r="8" spans="1:10" ht="40.5">
      <c r="A8" s="1" t="s">
        <v>118</v>
      </c>
      <c r="B8" s="1" t="s">
        <v>279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276</v>
      </c>
      <c r="J8" s="1"/>
    </row>
    <row r="9" spans="1:10" ht="40.5">
      <c r="A9" s="1" t="s">
        <v>280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276</v>
      </c>
      <c r="J9" s="1"/>
    </row>
    <row r="10" spans="1:10" ht="40.5">
      <c r="A10" s="1" t="s">
        <v>281</v>
      </c>
      <c r="B10" s="1" t="s">
        <v>282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276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285</v>
      </c>
      <c r="B4" s="4" t="s">
        <v>286</v>
      </c>
      <c r="C4" s="6">
        <v>154111</v>
      </c>
      <c r="D4" s="7">
        <v>0.26539999999999997</v>
      </c>
      <c r="E4" s="7">
        <v>0.29749999999999999</v>
      </c>
      <c r="F4" s="10">
        <f t="shared" ref="F4:F15" si="0">C4*D4*E4</f>
        <v>12168.065171499999</v>
      </c>
      <c r="G4" s="9">
        <v>2E-3</v>
      </c>
      <c r="H4" s="6">
        <v>100.58</v>
      </c>
      <c r="I4" s="10">
        <f t="shared" ref="I4:I15" si="1">F4*G4*H4</f>
        <v>2447.7279898989395</v>
      </c>
      <c r="J4" s="1" t="s">
        <v>287</v>
      </c>
    </row>
    <row r="5" spans="1:10" ht="27">
      <c r="A5" s="4" t="s">
        <v>288</v>
      </c>
      <c r="B5" s="4" t="s">
        <v>289</v>
      </c>
      <c r="C5" s="6">
        <v>35325</v>
      </c>
      <c r="D5" s="7">
        <v>0.4395</v>
      </c>
      <c r="E5" s="7">
        <v>0.68</v>
      </c>
      <c r="F5" s="10">
        <f t="shared" si="0"/>
        <v>10557.229500000001</v>
      </c>
      <c r="G5" s="9">
        <v>2E-3</v>
      </c>
      <c r="H5" s="6">
        <v>100.58</v>
      </c>
      <c r="I5" s="10">
        <f t="shared" si="1"/>
        <v>2123.6922862200004</v>
      </c>
      <c r="J5" s="1" t="s">
        <v>287</v>
      </c>
    </row>
    <row r="6" spans="1:10" ht="27">
      <c r="A6" s="4" t="s">
        <v>290</v>
      </c>
      <c r="B6" s="4" t="s">
        <v>291</v>
      </c>
      <c r="C6" s="6">
        <v>241737</v>
      </c>
      <c r="D6" s="7">
        <v>0.1091</v>
      </c>
      <c r="E6" s="7">
        <v>0.1275</v>
      </c>
      <c r="F6" s="10">
        <f t="shared" si="0"/>
        <v>3362.6221042500001</v>
      </c>
      <c r="G6" s="9">
        <v>2E-3</v>
      </c>
      <c r="H6" s="6">
        <v>100.58</v>
      </c>
      <c r="I6" s="10">
        <f t="shared" si="1"/>
        <v>676.42506249093003</v>
      </c>
      <c r="J6" s="1" t="s">
        <v>287</v>
      </c>
    </row>
    <row r="7" spans="1:10" ht="27">
      <c r="A7" s="4" t="s">
        <v>292</v>
      </c>
      <c r="B7" s="4" t="s">
        <v>291</v>
      </c>
      <c r="C7" s="6">
        <v>202178</v>
      </c>
      <c r="D7" s="7">
        <v>0.16220000000000001</v>
      </c>
      <c r="E7" s="7">
        <v>0.255</v>
      </c>
      <c r="F7" s="10">
        <f t="shared" si="0"/>
        <v>8362.2842579999997</v>
      </c>
      <c r="G7" s="9">
        <v>2E-3</v>
      </c>
      <c r="H7" s="6">
        <v>100.58</v>
      </c>
      <c r="I7" s="10">
        <f t="shared" si="1"/>
        <v>1682.1571013392797</v>
      </c>
      <c r="J7" s="1" t="s">
        <v>287</v>
      </c>
    </row>
    <row r="8" spans="1:10" ht="27">
      <c r="A8" s="4" t="s">
        <v>293</v>
      </c>
      <c r="B8" s="4" t="s">
        <v>289</v>
      </c>
      <c r="C8" s="6">
        <v>14688</v>
      </c>
      <c r="D8" s="7">
        <v>0.95979999999999999</v>
      </c>
      <c r="E8" s="7">
        <v>0.4</v>
      </c>
      <c r="F8" s="10">
        <f t="shared" si="0"/>
        <v>5639.0169600000008</v>
      </c>
      <c r="G8" s="9">
        <v>2E-3</v>
      </c>
      <c r="H8" s="6">
        <v>100.58</v>
      </c>
      <c r="I8" s="10">
        <f t="shared" si="1"/>
        <v>1134.3446516736003</v>
      </c>
      <c r="J8" s="1" t="s">
        <v>287</v>
      </c>
    </row>
    <row r="9" spans="1:10" ht="27">
      <c r="A9" s="4" t="s">
        <v>294</v>
      </c>
      <c r="B9" s="4" t="s">
        <v>289</v>
      </c>
      <c r="C9" s="6">
        <v>17824</v>
      </c>
      <c r="D9" s="7">
        <v>0.58709999999999996</v>
      </c>
      <c r="E9" s="7">
        <v>0.64</v>
      </c>
      <c r="F9" s="10">
        <f t="shared" si="0"/>
        <v>6697.2610559999994</v>
      </c>
      <c r="G9" s="9">
        <v>2E-3</v>
      </c>
      <c r="H9" s="6">
        <v>100.58</v>
      </c>
      <c r="I9" s="10">
        <f t="shared" si="1"/>
        <v>1347.2210340249599</v>
      </c>
      <c r="J9" s="1" t="s">
        <v>287</v>
      </c>
    </row>
    <row r="10" spans="1:10" ht="27">
      <c r="A10" s="4" t="s">
        <v>295</v>
      </c>
      <c r="B10" s="4" t="s">
        <v>291</v>
      </c>
      <c r="C10" s="6">
        <v>292214</v>
      </c>
      <c r="D10" s="7">
        <v>9.6499999999999989E-2</v>
      </c>
      <c r="E10" s="7">
        <v>0.24</v>
      </c>
      <c r="F10" s="10">
        <f t="shared" si="0"/>
        <v>6767.6762399999989</v>
      </c>
      <c r="G10" s="9">
        <v>2E-3</v>
      </c>
      <c r="H10" s="6">
        <v>100.58</v>
      </c>
      <c r="I10" s="10">
        <f t="shared" si="1"/>
        <v>1361.3857524383998</v>
      </c>
      <c r="J10" s="1" t="s">
        <v>287</v>
      </c>
    </row>
    <row r="11" spans="1:10" ht="27">
      <c r="A11" s="4" t="s">
        <v>296</v>
      </c>
      <c r="B11" s="4" t="s">
        <v>291</v>
      </c>
      <c r="C11" s="6">
        <v>116617</v>
      </c>
      <c r="D11" s="7">
        <v>0.18229999999999999</v>
      </c>
      <c r="E11" s="7">
        <v>0.21249999999999999</v>
      </c>
      <c r="F11" s="10">
        <f t="shared" si="0"/>
        <v>4517.5968087499996</v>
      </c>
      <c r="G11" s="9">
        <v>2E-3</v>
      </c>
      <c r="H11" s="6">
        <v>100.58</v>
      </c>
      <c r="I11" s="10">
        <f t="shared" si="1"/>
        <v>908.75977404814989</v>
      </c>
      <c r="J11" s="1" t="s">
        <v>287</v>
      </c>
    </row>
    <row r="12" spans="1:10" ht="27">
      <c r="A12" s="4" t="s">
        <v>297</v>
      </c>
      <c r="B12" s="4" t="s">
        <v>291</v>
      </c>
      <c r="C12" s="6">
        <v>222359</v>
      </c>
      <c r="D12" s="7">
        <v>0.76359999999999995</v>
      </c>
      <c r="E12" s="7">
        <v>0.13500000000000001</v>
      </c>
      <c r="F12" s="10">
        <f t="shared" si="0"/>
        <v>22922.099874</v>
      </c>
      <c r="G12" s="9">
        <v>2E-3</v>
      </c>
      <c r="H12" s="6">
        <v>100.58</v>
      </c>
      <c r="I12" s="10">
        <f t="shared" si="1"/>
        <v>4611.0096106538404</v>
      </c>
      <c r="J12" s="1" t="s">
        <v>287</v>
      </c>
    </row>
    <row r="13" spans="1:10" ht="27">
      <c r="A13" s="4" t="s">
        <v>298</v>
      </c>
      <c r="B13" s="4" t="s">
        <v>291</v>
      </c>
      <c r="C13" s="6">
        <v>701540</v>
      </c>
      <c r="D13" s="7">
        <v>8.199999999999999E-2</v>
      </c>
      <c r="E13" s="7">
        <v>8.5000000000000006E-2</v>
      </c>
      <c r="F13" s="10">
        <f t="shared" si="0"/>
        <v>4889.7338</v>
      </c>
      <c r="G13" s="9">
        <v>2E-3</v>
      </c>
      <c r="H13" s="6">
        <v>100.58</v>
      </c>
      <c r="I13" s="10">
        <f t="shared" si="1"/>
        <v>983.61885120800002</v>
      </c>
      <c r="J13" s="1" t="s">
        <v>287</v>
      </c>
    </row>
    <row r="14" spans="1:10" ht="27">
      <c r="A14" s="4" t="s">
        <v>299</v>
      </c>
      <c r="B14" s="4" t="s">
        <v>289</v>
      </c>
      <c r="C14" s="6">
        <v>1935</v>
      </c>
      <c r="D14" s="7">
        <v>0.89460000000000006</v>
      </c>
      <c r="E14" s="7">
        <v>0.48</v>
      </c>
      <c r="F14" s="10">
        <f t="shared" si="0"/>
        <v>830.90448000000004</v>
      </c>
      <c r="G14" s="9">
        <v>2E-3</v>
      </c>
      <c r="H14" s="6">
        <v>100.58</v>
      </c>
      <c r="I14" s="10">
        <f t="shared" si="1"/>
        <v>167.14474519680002</v>
      </c>
      <c r="J14" s="1" t="s">
        <v>287</v>
      </c>
    </row>
    <row r="15" spans="1:10" ht="27">
      <c r="A15" s="4" t="s">
        <v>300</v>
      </c>
      <c r="B15" s="4" t="s">
        <v>286</v>
      </c>
      <c r="C15" s="6">
        <v>5522</v>
      </c>
      <c r="D15" s="7">
        <v>0.47520000000000001</v>
      </c>
      <c r="E15" s="7">
        <v>0.18</v>
      </c>
      <c r="F15" s="10">
        <f t="shared" si="0"/>
        <v>472.329792</v>
      </c>
      <c r="G15" s="9">
        <v>2E-3</v>
      </c>
      <c r="H15" s="6">
        <v>100.58</v>
      </c>
      <c r="I15" s="10">
        <f t="shared" si="1"/>
        <v>95.013860958720002</v>
      </c>
      <c r="J15" s="1" t="s">
        <v>287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301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302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94.5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306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265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265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303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304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265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305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265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266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266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266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266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266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266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308</v>
      </c>
      <c r="G4" s="1"/>
      <c r="H4" s="1"/>
      <c r="I4" s="1"/>
      <c r="J4" s="1"/>
    </row>
    <row r="5" spans="1:10" ht="54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309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108">
      <c r="A9" s="1" t="s">
        <v>259</v>
      </c>
      <c r="B9" s="1" t="s">
        <v>260</v>
      </c>
      <c r="C9" s="4" t="s">
        <v>310</v>
      </c>
      <c r="D9" s="8">
        <v>46298</v>
      </c>
      <c r="E9" s="1" t="s">
        <v>116</v>
      </c>
      <c r="F9" s="1" t="s">
        <v>261</v>
      </c>
      <c r="G9" s="1"/>
      <c r="H9" s="1"/>
      <c r="I9" s="1"/>
      <c r="J9" s="1"/>
    </row>
    <row r="10" spans="1:10" ht="81">
      <c r="A10" s="1" t="s">
        <v>262</v>
      </c>
      <c r="B10" s="1" t="s">
        <v>263</v>
      </c>
      <c r="C10" s="4" t="s">
        <v>307</v>
      </c>
      <c r="D10" s="8">
        <v>46298</v>
      </c>
      <c r="E10" s="1" t="s">
        <v>116</v>
      </c>
      <c r="F10" s="1" t="s">
        <v>264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2026-10-03T18:42:27Z</dcterms:modified>
</cp:coreProperties>
</file>