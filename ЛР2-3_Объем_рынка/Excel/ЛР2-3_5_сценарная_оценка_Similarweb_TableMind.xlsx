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E1751111-0B44-4CCF-9182-A980FDC40DEE}" xr6:coauthVersionLast="47" xr6:coauthVersionMax="47" xr10:uidLastSave="{00000000-0000-0000-0000-000000000000}"/>
  <bookViews>
    <workbookView xWindow="-98" yWindow="-98" windowWidth="21795" windowHeight="11625" xr2:uid="{00000000-000D-0000-FFFF-FFFF00000000}"/>
  </bookViews>
  <sheets>
    <sheet name="00_Методика" sheetId="1" r:id="rId1"/>
    <sheet name="01_Параметры" sheetId="2" r:id="rId2"/>
    <sheet name="02_Similarweb" sheetId="3" r:id="rId3"/>
    <sheet name="03_Сценарии" sheetId="4" r:id="rId4"/>
    <sheet name="04_Воронка" sheetId="5" r:id="rId5"/>
    <sheet name="05_Платформа" sheetId="6" r:id="rId6"/>
    <sheet name="06_Сверка" sheetId="7" r:id="rId7"/>
    <sheet name="07_Дашборд" sheetId="8" r:id="rId8"/>
    <sheet name="08_Ист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" i="8" l="1"/>
  <c r="B3" i="8"/>
  <c r="I6" i="5"/>
  <c r="G6" i="5"/>
  <c r="F6" i="5"/>
  <c r="D6" i="5"/>
  <c r="C6" i="5"/>
  <c r="I5" i="5"/>
  <c r="G5" i="5"/>
  <c r="F5" i="5"/>
  <c r="D5" i="5"/>
  <c r="C5" i="5"/>
  <c r="I4" i="5"/>
  <c r="G4" i="5"/>
  <c r="F4" i="5"/>
  <c r="D4" i="5"/>
  <c r="C4" i="5"/>
  <c r="D6" i="4"/>
  <c r="C6" i="4"/>
  <c r="B6" i="4"/>
  <c r="D5" i="4"/>
  <c r="C5" i="4"/>
  <c r="B5" i="4"/>
  <c r="D4" i="4"/>
  <c r="C4" i="4"/>
  <c r="B4" i="4"/>
  <c r="I15" i="3"/>
  <c r="J15" i="3" s="1"/>
  <c r="I14" i="3"/>
  <c r="I13" i="3"/>
  <c r="I12" i="3"/>
  <c r="I11" i="3"/>
  <c r="I10" i="3"/>
  <c r="J10" i="3" s="1"/>
  <c r="I9" i="3"/>
  <c r="J9" i="3" s="1"/>
  <c r="I8" i="3"/>
  <c r="J8" i="3" s="1"/>
  <c r="I7" i="3"/>
  <c r="J7" i="3" s="1"/>
  <c r="I6" i="3"/>
  <c r="J6" i="3" s="1"/>
  <c r="I5" i="3"/>
  <c r="I4" i="3"/>
  <c r="I16" i="3" l="1"/>
  <c r="E6" i="4" s="1"/>
  <c r="F6" i="4" s="1"/>
  <c r="G6" i="4" s="1"/>
  <c r="K4" i="3"/>
  <c r="J4" i="3"/>
  <c r="K11" i="3"/>
  <c r="K14" i="3"/>
  <c r="K12" i="3"/>
  <c r="K9" i="3"/>
  <c r="K13" i="3"/>
  <c r="K10" i="3"/>
  <c r="J11" i="3"/>
  <c r="J12" i="3"/>
  <c r="K15" i="3"/>
  <c r="K7" i="3"/>
  <c r="J13" i="3"/>
  <c r="K6" i="3"/>
  <c r="K8" i="3"/>
  <c r="K5" i="3"/>
  <c r="J14" i="3"/>
  <c r="J5" i="3"/>
  <c r="E4" i="4" l="1"/>
  <c r="F4" i="4" s="1"/>
  <c r="G4" i="4" s="1"/>
  <c r="E5" i="4"/>
  <c r="F5" i="4" s="1"/>
  <c r="G5" i="4" s="1"/>
  <c r="J16" i="3"/>
  <c r="G4" i="8"/>
  <c r="I6" i="4"/>
  <c r="B6" i="6"/>
  <c r="D6" i="6" s="1"/>
  <c r="G6" i="6" s="1"/>
  <c r="B6" i="5"/>
  <c r="E6" i="5" s="1"/>
  <c r="H6" i="4"/>
  <c r="B5" i="8"/>
  <c r="B5" i="6"/>
  <c r="D5" i="6" s="1"/>
  <c r="G5" i="6" s="1"/>
  <c r="B5" i="5"/>
  <c r="E5" i="5" s="1"/>
  <c r="F4" i="8"/>
  <c r="I5" i="4"/>
  <c r="H5" i="4"/>
  <c r="I4" i="4"/>
  <c r="B4" i="5"/>
  <c r="E4" i="5" s="1"/>
  <c r="E4" i="8"/>
  <c r="H4" i="4"/>
  <c r="B4" i="6"/>
  <c r="D4" i="6" s="1"/>
  <c r="G4" i="6" s="1"/>
  <c r="C10" i="5" l="1"/>
  <c r="H5" i="5"/>
  <c r="I4" i="6"/>
  <c r="E7" i="8"/>
  <c r="I5" i="6"/>
  <c r="F7" i="8"/>
  <c r="H6" i="5"/>
  <c r="D10" i="5"/>
  <c r="H4" i="5"/>
  <c r="B10" i="5"/>
  <c r="I6" i="6"/>
  <c r="G7" i="8"/>
  <c r="E5" i="8" l="1"/>
  <c r="J4" i="5"/>
  <c r="B8" i="5"/>
  <c r="J6" i="5"/>
  <c r="D8" i="5"/>
  <c r="G5" i="8"/>
  <c r="K5" i="6"/>
  <c r="C5" i="7" s="1"/>
  <c r="F8" i="8"/>
  <c r="B8" i="8"/>
  <c r="J5" i="5"/>
  <c r="C8" i="5"/>
  <c r="F5" i="8"/>
  <c r="B6" i="8"/>
  <c r="G8" i="8"/>
  <c r="K6" i="6"/>
  <c r="D5" i="7" s="1"/>
  <c r="K4" i="6"/>
  <c r="B5" i="7" s="1"/>
  <c r="E8" i="8"/>
  <c r="F6" i="8" l="1"/>
  <c r="C9" i="5"/>
  <c r="C4" i="7"/>
  <c r="B7" i="8"/>
  <c r="B9" i="5"/>
  <c r="E6" i="8"/>
  <c r="B4" i="7"/>
  <c r="D9" i="5"/>
  <c r="D4" i="7"/>
  <c r="G6" i="8"/>
  <c r="B11" i="7" l="1"/>
  <c r="B10" i="7"/>
  <c r="B12" i="7"/>
  <c r="D12" i="7"/>
  <c r="D11" i="7"/>
  <c r="D10" i="7"/>
  <c r="C12" i="7"/>
  <c r="C11" i="7"/>
  <c r="B9" i="8" s="1"/>
  <c r="C10" i="7"/>
  <c r="D13" i="7" l="1"/>
  <c r="C13" i="7"/>
  <c r="B13" i="7"/>
</calcChain>
</file>

<file path=xl/sharedStrings.xml><?xml version="1.0" encoding="utf-8"?>
<sst xmlns="http://schemas.openxmlformats.org/spreadsheetml/2006/main" count="451" uniqueCount="312">
  <si>
    <t>Назначение файла</t>
  </si>
  <si>
    <t>Позволяет рассчитать оценочный объем рынка электронного бизнеса по трем сценариям на основе данных Similarweb, цифровой воронки и платформенной модели.</t>
  </si>
  <si>
    <t>Ключевая логика</t>
  </si>
  <si>
    <t>Главный результат</t>
  </si>
  <si>
    <t>Важное ограничение</t>
  </si>
  <si>
    <t>Данные Similarweb являются оценочными. Итоговые значения следует рассматривать как расчетный диапазон, а не как точное измерение фактической емкости рынка.</t>
  </si>
  <si>
    <t>Шаг</t>
  </si>
  <si>
    <t>Лист</t>
  </si>
  <si>
    <t>Что рассчитывается</t>
  </si>
  <si>
    <t>Какие данные Similarweb используются</t>
  </si>
  <si>
    <t>Ключевой результат</t>
  </si>
  <si>
    <t>Проверка качества</t>
  </si>
  <si>
    <t>Комментарий</t>
  </si>
  <si>
    <t>01_Параметры</t>
  </si>
  <si>
    <t>Бизнес-идея, география, валюта, период, средний чек</t>
  </si>
  <si>
    <t>Базовые вводные для всех расчетов</t>
  </si>
  <si>
    <t>Нет, только параметры проекта</t>
  </si>
  <si>
    <t>Единая исследовательская постановка</t>
  </si>
  <si>
    <t>Параметры не должны противоречить границам рынка</t>
  </si>
  <si>
    <t>02_Similarweb</t>
  </si>
  <si>
    <t>Сайты конкурентов, посещаемость, доля географии, релевантность трафика</t>
  </si>
  <si>
    <t>Релевантный месячный и годовой трафик рынка</t>
  </si>
  <si>
    <t>Visits, geography, traffic channels, engagement</t>
  </si>
  <si>
    <t>База для сценариев</t>
  </si>
  <si>
    <t>Не менее 3–5 конкурентов</t>
  </si>
  <si>
    <t>03_Сценарии</t>
  </si>
  <si>
    <t>Коэффициенты покрытия рынка, надежности и корректировки</t>
  </si>
  <si>
    <t>Сценарный объем релевантного трафика</t>
  </si>
  <si>
    <t>Суммарный релевантный трафик конкурентов</t>
  </si>
  <si>
    <t>Трафиковая оценка рынка</t>
  </si>
  <si>
    <t>Осторожный &lt; базовый &lt; оптимистичный</t>
  </si>
  <si>
    <t>Коэффициенты должны быть обоснованы</t>
  </si>
  <si>
    <t>04_Воронка</t>
  </si>
  <si>
    <t>Конверсии, средний чек, повторные покупки, достижимая доля</t>
  </si>
  <si>
    <t>Продажи, выручка рынка, достижимая выручка</t>
  </si>
  <si>
    <t>Релевантный рыночный трафик</t>
  </si>
  <si>
    <t>Денежная оценка рынка</t>
  </si>
  <si>
    <t>Проверить адекватность конверсий</t>
  </si>
  <si>
    <t>Главный лист для сервисного электронного бизнеса</t>
  </si>
  <si>
    <t>05_Платформа</t>
  </si>
  <si>
    <t>Регистрации, активность, сделки, средняя сумма сделки, комиссия</t>
  </si>
  <si>
    <t>GMV и выручка платформы</t>
  </si>
  <si>
    <t>Рыночный трафик как вход в платформу</t>
  </si>
  <si>
    <t>Отдельная модель для платформ</t>
  </si>
  <si>
    <t>Не смешивать GMV и выручку</t>
  </si>
  <si>
    <t>Используется при платформенной бизнес-модели</t>
  </si>
  <si>
    <t>06_Сверка</t>
  </si>
  <si>
    <t>При необходимости добавить оценки других методов</t>
  </si>
  <si>
    <t>Диапазон итоговой оценки</t>
  </si>
  <si>
    <t>Данные Similarweb как один из методов</t>
  </si>
  <si>
    <t>Итоговый рыночный диапазон</t>
  </si>
  <si>
    <t>Расхождения методов должны быть объяснены</t>
  </si>
  <si>
    <t>Завершающий аналитический лист</t>
  </si>
  <si>
    <t>07_Дашборд</t>
  </si>
  <si>
    <t>Ключевые показатели и графики</t>
  </si>
  <si>
    <t>Автоматически из расчетных листов</t>
  </si>
  <si>
    <t>Итоговая панель вывода</t>
  </si>
  <si>
    <t>Проверить, что значения обновились</t>
  </si>
  <si>
    <t>Лист для отчета</t>
  </si>
  <si>
    <t>08_Источники</t>
  </si>
  <si>
    <t>Ссылки, дата обращения, комментарии</t>
  </si>
  <si>
    <t>Журнал воспроизводимости</t>
  </si>
  <si>
    <t>URL, дата, ограничения Similarweb</t>
  </si>
  <si>
    <t>Доказательная база расчета</t>
  </si>
  <si>
    <t>Источник должен быть указан для каждого блока данных</t>
  </si>
  <si>
    <t>Исходные параметры сценарной оценки рынка</t>
  </si>
  <si>
    <t>Параметр</t>
  </si>
  <si>
    <t>Значение</t>
  </si>
  <si>
    <t>Единица</t>
  </si>
  <si>
    <t>Тип</t>
  </si>
  <si>
    <t>Источник / основание</t>
  </si>
  <si>
    <t>Название бизнес-идеи</t>
  </si>
  <si>
    <t>текст</t>
  </si>
  <si>
    <t>ввод</t>
  </si>
  <si>
    <t>Границы рынка / бизнес-гипотеза</t>
  </si>
  <si>
    <t>Географические границы</t>
  </si>
  <si>
    <t>Паспорт границ рынка</t>
  </si>
  <si>
    <t>Указать страну, город или регион</t>
  </si>
  <si>
    <t>Валюта расчета</t>
  </si>
  <si>
    <t>Выбор исследователя</t>
  </si>
  <si>
    <t>Используется в денежных расчетах</t>
  </si>
  <si>
    <t>Период оценки</t>
  </si>
  <si>
    <t>месяцев</t>
  </si>
  <si>
    <t>Период Similarweb / анализа</t>
  </si>
  <si>
    <t>Обычно 12 месяцев</t>
  </si>
  <si>
    <t>Средний чек базовый</t>
  </si>
  <si>
    <t>Средний чек одной сделки или месячного пакета</t>
  </si>
  <si>
    <t>Покупок в год на клиента</t>
  </si>
  <si>
    <t>Модель повторных покупок</t>
  </si>
  <si>
    <t>Для подписки может быть 12</t>
  </si>
  <si>
    <t>Доля целевой географии</t>
  </si>
  <si>
    <t>%</t>
  </si>
  <si>
    <t>Similarweb geography</t>
  </si>
  <si>
    <t>Доля трафика из выбранной территории</t>
  </si>
  <si>
    <t>Доля релевантного трафика</t>
  </si>
  <si>
    <t>Similarweb channels / keywords</t>
  </si>
  <si>
    <t>Доля посещений, связанных с целевой услугой</t>
  </si>
  <si>
    <t>Коэффициент качества трафика</t>
  </si>
  <si>
    <t>доля</t>
  </si>
  <si>
    <t>Engagement / экспертная оценка</t>
  </si>
  <si>
    <t>Учитывает отказы, нерелевантные визиты и повторные посещения</t>
  </si>
  <si>
    <t>Дата заполнения</t>
  </si>
  <si>
    <t>дата</t>
  </si>
  <si>
    <t>Исследователь</t>
  </si>
  <si>
    <t>Обновлять при пересчете</t>
  </si>
  <si>
    <t>Параметр сценария</t>
  </si>
  <si>
    <t>Осторожный</t>
  </si>
  <si>
    <t>Базовый</t>
  </si>
  <si>
    <t>Оптимистичный</t>
  </si>
  <si>
    <t>Смысл параметра</t>
  </si>
  <si>
    <t>Охват неучтенных конкурентов</t>
  </si>
  <si>
    <t>Больше 1, если Similarweb охватывает не всех игроков</t>
  </si>
  <si>
    <t>Коэффициент надежности данных</t>
  </si>
  <si>
    <t>Поправка на оценочный характер данных Similarweb</t>
  </si>
  <si>
    <t>Для малых сайтов лучше снижать</t>
  </si>
  <si>
    <t>Корректировка на недоступный спрос</t>
  </si>
  <si>
    <t>Поправка на спрос вне сайтов конкурентов</t>
  </si>
  <si>
    <t>Может учитывать социальные сети, рекомендации, мессенджеры</t>
  </si>
  <si>
    <t>Конверсия визит → заявка</t>
  </si>
  <si>
    <t>Доля релевантных посещений, превращающихся в заявку</t>
  </si>
  <si>
    <t>Для услуг обычно ниже, чем для простых товаров</t>
  </si>
  <si>
    <t>Конверсия заявка → продажа</t>
  </si>
  <si>
    <t>Доля заявок, превращающихся в оплату</t>
  </si>
  <si>
    <t>Зависит от цены и доверия</t>
  </si>
  <si>
    <t>Множитель среднего чека</t>
  </si>
  <si>
    <t>Корректирует базовый средний чек</t>
  </si>
  <si>
    <t>Используется для сценарного расчета</t>
  </si>
  <si>
    <t>Покупок в год</t>
  </si>
  <si>
    <t>Частота покупок / продлений в год</t>
  </si>
  <si>
    <t>Достижимая доля рынка</t>
  </si>
  <si>
    <t>Реально достижимая доля рынка новым бизнесом</t>
  </si>
  <si>
    <t>Используется для SOM</t>
  </si>
  <si>
    <t>Ввод и расчет данных Similarweb по конкурентам</t>
  </si>
  <si>
    <t>№</t>
  </si>
  <si>
    <t>Конкурент</t>
  </si>
  <si>
    <t>Домен</t>
  </si>
  <si>
    <t>Тип игрока</t>
  </si>
  <si>
    <t>Месячные посещения</t>
  </si>
  <si>
    <t>Коэффициент качества</t>
  </si>
  <si>
    <t>Релевантные посещения/мес.</t>
  </si>
  <si>
    <t>Релевантные посещения/год</t>
  </si>
  <si>
    <t>Доля среди учтенных конкурентов</t>
  </si>
  <si>
    <t>Источник данных</t>
  </si>
  <si>
    <t>Итого учтенные конкуренты</t>
  </si>
  <si>
    <t>Сценарный расчет рыночного трафика на основе Similarweb</t>
  </si>
  <si>
    <t>Лист переводит суммарный релевантный трафик найденных конкурентов в оценку общего рыночного трафика по трем сценариям. Коэффициенты берутся из листа 01_Параметры.</t>
  </si>
  <si>
    <t>Сценарий</t>
  </si>
  <si>
    <t>Релевантный трафик конкурентов/мес.</t>
  </si>
  <si>
    <t>Оценка рыночного трафика/мес.</t>
  </si>
  <si>
    <t>Оценка рыночного трафика/год</t>
  </si>
  <si>
    <t>Нижняя граница/год</t>
  </si>
  <si>
    <t>Верхняя граница/год</t>
  </si>
  <si>
    <t>Интерпретация</t>
  </si>
  <si>
    <t>Минимальная оценка при неполном охвате и пониженной надежности данных</t>
  </si>
  <si>
    <t>Рабочая оценка при умеренных допущениях</t>
  </si>
  <si>
    <t>Верхняя оценка при широком рынке и благоприятных условиях</t>
  </si>
  <si>
    <t>Оценка объема рынка через цифровую воронку</t>
  </si>
  <si>
    <t>Расчет переводит рыночный трафик Similarweb в заявки, продажи, годовую выручку рынка и достижимую выручку нового бизнеса.</t>
  </si>
  <si>
    <t>Рыночные визиты/год</t>
  </si>
  <si>
    <t>Продаж/год</t>
  </si>
  <si>
    <t>Средний чек</t>
  </si>
  <si>
    <t>Выручка рынка/год</t>
  </si>
  <si>
    <t>Достижимая доля</t>
  </si>
  <si>
    <t>Достижимая выручка/год</t>
  </si>
  <si>
    <t>TAM/SAM/SOM логика</t>
  </si>
  <si>
    <t>SAM → SOM</t>
  </si>
  <si>
    <t>Итог по воронке</t>
  </si>
  <si>
    <t>Регистрация/лид</t>
  </si>
  <si>
    <t>Активные участники</t>
  </si>
  <si>
    <t>Сделок на участника/год</t>
  </si>
  <si>
    <t>Средняя сумма сделки</t>
  </si>
  <si>
    <t>GMV/год</t>
  </si>
  <si>
    <t>Комиссия платформы</t>
  </si>
  <si>
    <t>Выручка платформы/год</t>
  </si>
  <si>
    <t>Достижимая выручка платформы</t>
  </si>
  <si>
    <t>Сверка сценарной оценки рынка по нескольким подходам</t>
  </si>
  <si>
    <t>Метод оценки</t>
  </si>
  <si>
    <t>Similarweb → цифровая воронка</t>
  </si>
  <si>
    <t>Основная оценка для сервисного электронного бизнеса</t>
  </si>
  <si>
    <t>Используется при платформенной модели</t>
  </si>
  <si>
    <t>Итоговый диапазон</t>
  </si>
  <si>
    <t>Минимум по методам</t>
  </si>
  <si>
    <t>Нижняя граница с учетом всех подходов</t>
  </si>
  <si>
    <t>Среднее по методам</t>
  </si>
  <si>
    <t>Ориентир при сбалансированных допущениях</t>
  </si>
  <si>
    <t>Максимум по методам</t>
  </si>
  <si>
    <t>Верхняя граница с учетом всех подходов</t>
  </si>
  <si>
    <t>Рекомендуемый диапазон</t>
  </si>
  <si>
    <t>Диапазон для управленческого вывода</t>
  </si>
  <si>
    <t>Итоговая панель сценарной оценки рынка</t>
  </si>
  <si>
    <t>Показатель</t>
  </si>
  <si>
    <t>Сценарная сводка</t>
  </si>
  <si>
    <t>Бизнес-идея</t>
  </si>
  <si>
    <t>География</t>
  </si>
  <si>
    <t>Рыночный трафик/год</t>
  </si>
  <si>
    <t>Visits, Similarweb-based</t>
  </si>
  <si>
    <t>Базовый рыночный трафик/год</t>
  </si>
  <si>
    <t>Market revenue through funnel</t>
  </si>
  <si>
    <t>Базовая выручка рынка/год</t>
  </si>
  <si>
    <t>SOM</t>
  </si>
  <si>
    <t>Базовая достижимая выручка/год</t>
  </si>
  <si>
    <t>GMV платформы/год</t>
  </si>
  <si>
    <t>Only for platform model</t>
  </si>
  <si>
    <t>Базовая выручка платформы/год</t>
  </si>
  <si>
    <t>Commission revenue</t>
  </si>
  <si>
    <t>Итоговый средний ориентир</t>
  </si>
  <si>
    <t>Журнал источников данных и ограничений</t>
  </si>
  <si>
    <t>Источник</t>
  </si>
  <si>
    <t>URL</t>
  </si>
  <si>
    <t>Какие данные используются</t>
  </si>
  <si>
    <t>Дата обращения</t>
  </si>
  <si>
    <t>Уровень надежности</t>
  </si>
  <si>
    <t>Комментарий / ограничение</t>
  </si>
  <si>
    <t>Similarweb Website Traffic Checker</t>
  </si>
  <si>
    <t>https://www.similarweb.com/website/</t>
  </si>
  <si>
    <t>Посещаемость сайта, каналы трафика, география, похожие сайты</t>
  </si>
  <si>
    <t>оценочные данные</t>
  </si>
  <si>
    <t>При бесплатном доступе доступен ограниченный набор показателей</t>
  </si>
  <si>
    <t>Similarweb Data Methodology</t>
  </si>
  <si>
    <t>https://support.similarweb.com/hc/en-us/articles/360001631538-Similarweb-Data-Methodology</t>
  </si>
  <si>
    <t>Методологическое описание природы данных Similarweb</t>
  </si>
  <si>
    <t>методологический источник</t>
  </si>
  <si>
    <t>Данные основаны на цифровых сигналах, синтезе и моделировании</t>
  </si>
  <si>
    <t>Similarweb Data Exporter</t>
  </si>
  <si>
    <t>https://support.similarweb.com/hc/en-us/articles/13252032019101-Data-Exporter</t>
  </si>
  <si>
    <t>Выгрузки, если доступна соответствующая подписка</t>
  </si>
  <si>
    <t>официальная справка</t>
  </si>
  <si>
    <t>Полные выгрузки зависят от тарифа и прав доступа</t>
  </si>
  <si>
    <t>Сайты конкурентов</t>
  </si>
  <si>
    <t>Прайсы, услуги, средний чек, позиционирование</t>
  </si>
  <si>
    <t>проверяемый источник</t>
  </si>
  <si>
    <t>Google Trends / Яндекс Вордстат</t>
  </si>
  <si>
    <t>Проверка интереса аудитории и сезонности</t>
  </si>
  <si>
    <t>дополнительный источник</t>
  </si>
  <si>
    <t>Используется для сопоставления с Similarweb</t>
  </si>
  <si>
    <t>Англоязычные страны и ЕС-27</t>
  </si>
  <si>
    <t>Структура платящих (Д-09) и тарифы ПЗ1</t>
  </si>
  <si>
    <t>платежей/год</t>
  </si>
  <si>
    <t>Shortcut</t>
  </si>
  <si>
    <t>shortcut.ai</t>
  </si>
  <si>
    <t>https://www.similarweb.com/website/shortcut.ai/</t>
  </si>
  <si>
    <t>Similarweb Pro, 06-08.2026, мир, снято 03.10.2026; география по топ-5 стран</t>
  </si>
  <si>
    <t>PerfectXL</t>
  </si>
  <si>
    <t>perfectxl.com</t>
  </si>
  <si>
    <t>прямой: аудит таблиц</t>
  </si>
  <si>
    <t>https://www.similarweb.com/website/perfectxl.com/</t>
  </si>
  <si>
    <t>Rows</t>
  </si>
  <si>
    <t>rows.com</t>
  </si>
  <si>
    <t>заменитель: AI-таблицы</t>
  </si>
  <si>
    <t>https://www.similarweb.com/website/rows.com/</t>
  </si>
  <si>
    <t>Numerous.ai</t>
  </si>
  <si>
    <t>numerous.ai</t>
  </si>
  <si>
    <t>https://www.similarweb.com/website/numerous.ai/</t>
  </si>
  <si>
    <t>Operis</t>
  </si>
  <si>
    <t>operis.com</t>
  </si>
  <si>
    <t>https://www.similarweb.com/website/operis.com/</t>
  </si>
  <si>
    <t>Arixcel</t>
  </si>
  <si>
    <t>arixcel.com</t>
  </si>
  <si>
    <t>https://www.similarweb.com/website/arixcel.com/</t>
  </si>
  <si>
    <t>Formula Bot</t>
  </si>
  <si>
    <t>formulabot.com</t>
  </si>
  <si>
    <t>https://www.similarweb.com/website/formulabot.com/</t>
  </si>
  <si>
    <t>Ajelix</t>
  </si>
  <si>
    <t>ajelix.com</t>
  </si>
  <si>
    <t>https://www.similarweb.com/website/ajelix.com/</t>
  </si>
  <si>
    <t>Datarails</t>
  </si>
  <si>
    <t>datarails.com</t>
  </si>
  <si>
    <t>https://www.similarweb.com/website/datarails.com/</t>
  </si>
  <si>
    <t>Julius AI</t>
  </si>
  <si>
    <t>julius.ai</t>
  </si>
  <si>
    <t>заменитель: AI-анализ данных</t>
  </si>
  <si>
    <t>https://www.similarweb.com/website/julius.ai/</t>
  </si>
  <si>
    <t>Spreadsheet Detective</t>
  </si>
  <si>
    <t>spreadsheetdetective.com</t>
  </si>
  <si>
    <t>https://www.similarweb.com/website/spreadsheetdetective.com/</t>
  </si>
  <si>
    <t>CIMCON Software</t>
  </si>
  <si>
    <t>cimcon.com</t>
  </si>
  <si>
    <t>https://www.similarweb.com/website/cimcon.com/</t>
  </si>
  <si>
    <t>Платформенная модель (комиссия AppSource, не входит в итог)</t>
  </si>
  <si>
    <t>Сценарная оценка рынка с учетом данных Similarweb</t>
  </si>
  <si>
    <t>Similarweb используется как источник цифровых признаков рынка - посещаемость конкурентов, география, каналы трафика, поисковые запросы и конкурентное окружение. Денежный объем рассчитывается через допущения по релевантности трафика, конверсиям и среднему чеку.</t>
  </si>
  <si>
    <t>Диапазон оценки рынка - осторожный, базовый и оптимистичный сценарии; отдельно рассчитываются выручка через воронку и модель GMV для платформ.</t>
  </si>
  <si>
    <t>Содержание</t>
  </si>
  <si>
    <t>TableMind - онлайн-проверка Excel-моделей</t>
  </si>
  <si>
    <t>Название проекта</t>
  </si>
  <si>
    <t>у.е.</t>
  </si>
  <si>
    <t>у.е./платеж</t>
  </si>
  <si>
    <t>Во сколько раз рынок шире 12 найденных сайтов - 1/покрытие 0,55 в базовом сценарии</t>
  </si>
  <si>
    <t>частичный - AI-агент для Excel</t>
  </si>
  <si>
    <t>заменитель - AI-помощник в таблицах</t>
  </si>
  <si>
    <t>прямой - аудит финансовых моделей</t>
  </si>
  <si>
    <t>заменитель - FP&amp;A-платформа для Excel</t>
  </si>
  <si>
    <t>частичный - риски пользовательских таблиц</t>
  </si>
  <si>
    <t>-</t>
  </si>
  <si>
    <t>Канал AppSource - оценка оборота магазина надстроек Excel и комиссии (интерпретация платформенной модели)</t>
  </si>
  <si>
    <t>Используйте этот лист, если электронный бизнес является платформой, агрегатором или маркетплейсом. GMV - это объем сделок через платформу, а не собственная выручка платформы.</t>
  </si>
  <si>
    <t>Лист объединяет результаты Similarweb-воронки, платформенной модели и дополнительных методов.</t>
  </si>
  <si>
    <t>Поисковый спрос (контрольный русскоязычный сегмент, ЛР2-3 книга 7), у.е./год</t>
  </si>
  <si>
    <t>Данные книги по поисковому спросу</t>
  </si>
  <si>
    <t>Количество потенциальных клиентов (книга 1) - SOM, у.е./год</t>
  </si>
  <si>
    <t>Данные книги по потенциальным клиентам</t>
  </si>
  <si>
    <t>Снизу вверх (книга 2) - SAM x доля SOM, у.е./год</t>
  </si>
  <si>
    <t>Отдельный расчет</t>
  </si>
  <si>
    <t>Итоговый вывод</t>
  </si>
  <si>
    <t>По результатам сценарной оценки рынок в выбранных границах следует описывать диапазоном, а не одним числом. Базовый расчет формируется на основе данных Similarweb о релевантном трафике конкурентов, дополненных допущениями по конверсиям, среднему чеку и достижимой доле рынка. Осторожный сценарий отражает минимальную оценку при неполном охвате и низких конверсиях, оптимистичный - верхнюю границу при благоприятных условиях. Итоговый вывод должен сопровождаться указанием источников данных и ограничений Similarweb.</t>
  </si>
  <si>
    <t>Первым</t>
  </si>
  <si>
    <t>При бесплатном доступе значения фиксируются по снимку сервиса</t>
  </si>
  <si>
    <t>Рассчитывается формулой</t>
  </si>
  <si>
    <t>По мере анализа</t>
  </si>
  <si>
    <t>https://www.perfectxl.com/; https://www.shortcut.ai/pricing</t>
  </si>
  <si>
    <t>Строки по сайтам прямых и косвенных конкурентов. При бесплатном доступе данные снимаются из интерфейса Similarweb с указанием даты и ссылки на источник.</t>
  </si>
  <si>
    <t>Дата и условия доступа указаны в журнале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</si>
</sst>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&quot;у.е.&quot;"/>
  </numFmts>
  <fonts count="6">
    <font>
      <sz val="11"/>
      <name val="Carlito"/>
    </font>
    <font>
      <sz val="11"/>
      <name val="Carlito"/>
    </font>
    <font>
      <b/>
      <sz val="11"/>
      <color rgb="FFFFFFFF"/>
      <name val="Calibri"/>
      <family val="2"/>
      <charset val="204"/>
    </font>
    <font>
      <b/>
      <sz val="14"/>
      <color rgb="FFFFFFFF"/>
      <name val="Calibri"/>
      <family val="2"/>
      <charset val="204"/>
    </font>
    <font>
      <sz val="11"/>
      <color rgb="FF000000"/>
      <name val="Calibri"/>
      <family val="2"/>
      <charset val="204"/>
    </font>
    <font>
      <i/>
      <sz val="11"/>
      <color rgb="FF1F3864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DDEBF7"/>
        <bgColor indexed="64"/>
      </patternFill>
    </fill>
  </fills>
  <borders count="5">
    <border>
      <left/>
      <right/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/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</borders>
  <cellStyleXfs count="2">
    <xf numFmtId="0" fontId="0" fillId="0" borderId="0"/>
    <xf numFmtId="0" fontId="1" fillId="0" borderId="0"/>
  </cellStyleXfs>
  <cellXfs count="50">
    <xf numFmtId="0" fontId="0" fillId="0" borderId="0" xfId="0"/>
    <xf numFmtId="0" fontId="4" fillId="0" borderId="0" xfId="1" applyFont="1" applyAlignment="1">
      <alignment vertical="center" wrapText="1"/>
    </xf>
    <xf numFmtId="0" fontId="2" fillId="3" borderId="1" xfId="1" applyFont="1" applyFill="1" applyBorder="1" applyAlignment="1">
      <alignment horizontal="center" vertical="center" wrapText="1"/>
    </xf>
    <xf numFmtId="0" fontId="4" fillId="4" borderId="1" xfId="1" applyFont="1" applyFill="1" applyBorder="1" applyAlignment="1">
      <alignment horizontal="left" vertical="center" wrapText="1"/>
    </xf>
    <xf numFmtId="0" fontId="4" fillId="4" borderId="4" xfId="1" applyFont="1" applyFill="1" applyBorder="1" applyAlignment="1">
      <alignment horizontal="left" vertical="center" wrapText="1"/>
    </xf>
    <xf numFmtId="0" fontId="4" fillId="0" borderId="1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 wrapText="1"/>
    </xf>
    <xf numFmtId="0" fontId="4" fillId="0" borderId="1" xfId="1" applyFont="1" applyBorder="1" applyAlignment="1">
      <alignment horizontal="left" vertical="center" wrapText="1"/>
    </xf>
    <xf numFmtId="0" fontId="4" fillId="0" borderId="2" xfId="1" applyFont="1" applyBorder="1" applyAlignment="1">
      <alignment horizontal="left" vertical="center" wrapText="1"/>
    </xf>
    <xf numFmtId="0" fontId="2" fillId="3" borderId="4" xfId="1" applyFont="1" applyFill="1" applyBorder="1" applyAlignment="1">
      <alignment horizontal="center" vertical="center" wrapText="1"/>
    </xf>
    <xf numFmtId="0" fontId="4" fillId="0" borderId="4" xfId="1" applyFont="1" applyBorder="1" applyAlignment="1">
      <alignment horizontal="center" vertical="center" wrapText="1"/>
    </xf>
    <xf numFmtId="0" fontId="4" fillId="0" borderId="4" xfId="1" applyFont="1" applyBorder="1" applyAlignment="1">
      <alignment horizontal="left" vertical="center" wrapText="1"/>
    </xf>
    <xf numFmtId="0" fontId="4" fillId="4" borderId="1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center" vertical="center" wrapText="1"/>
    </xf>
    <xf numFmtId="0" fontId="4" fillId="4" borderId="3" xfId="1" applyFont="1" applyFill="1" applyBorder="1" applyAlignment="1">
      <alignment horizontal="center" vertical="center" wrapText="1"/>
    </xf>
    <xf numFmtId="3" fontId="4" fillId="4" borderId="1" xfId="1" applyNumberFormat="1" applyFont="1" applyFill="1" applyBorder="1" applyAlignment="1">
      <alignment horizontal="center" vertical="center" wrapText="1"/>
    </xf>
    <xf numFmtId="3" fontId="4" fillId="4" borderId="2" xfId="1" applyNumberFormat="1" applyFont="1" applyFill="1" applyBorder="1" applyAlignment="1">
      <alignment horizontal="center" vertical="center" wrapText="1"/>
    </xf>
    <xf numFmtId="3" fontId="4" fillId="4" borderId="3" xfId="1" applyNumberFormat="1" applyFont="1" applyFill="1" applyBorder="1" applyAlignment="1">
      <alignment horizontal="center" vertical="center" wrapText="1"/>
    </xf>
    <xf numFmtId="9" fontId="4" fillId="4" borderId="1" xfId="1" applyNumberFormat="1" applyFont="1" applyFill="1" applyBorder="1" applyAlignment="1">
      <alignment horizontal="center" vertical="center" wrapText="1"/>
    </xf>
    <xf numFmtId="10" fontId="4" fillId="4" borderId="1" xfId="1" applyNumberFormat="1" applyFont="1" applyFill="1" applyBorder="1" applyAlignment="1">
      <alignment horizontal="center" vertical="center" wrapText="1"/>
    </xf>
    <xf numFmtId="10" fontId="4" fillId="4" borderId="2" xfId="1" applyNumberFormat="1" applyFont="1" applyFill="1" applyBorder="1" applyAlignment="1">
      <alignment horizontal="center" vertical="center" wrapText="1"/>
    </xf>
    <xf numFmtId="165" fontId="4" fillId="4" borderId="1" xfId="1" applyNumberFormat="1" applyFont="1" applyFill="1" applyBorder="1" applyAlignment="1">
      <alignment horizontal="center" vertical="center" wrapText="1"/>
    </xf>
    <xf numFmtId="165" fontId="4" fillId="4" borderId="2" xfId="1" applyNumberFormat="1" applyFont="1" applyFill="1" applyBorder="1" applyAlignment="1">
      <alignment horizontal="center" vertical="center" wrapText="1"/>
    </xf>
    <xf numFmtId="165" fontId="4" fillId="4" borderId="3" xfId="1" applyNumberFormat="1" applyFont="1" applyFill="1" applyBorder="1" applyAlignment="1">
      <alignment horizontal="center" vertical="center" wrapText="1"/>
    </xf>
    <xf numFmtId="165" fontId="4" fillId="4" borderId="4" xfId="1" applyNumberFormat="1" applyFont="1" applyFill="1" applyBorder="1" applyAlignment="1">
      <alignment horizontal="center" vertical="center" wrapText="1"/>
    </xf>
    <xf numFmtId="165" fontId="2" fillId="3" borderId="1" xfId="1" applyNumberFormat="1" applyFont="1" applyFill="1" applyBorder="1" applyAlignment="1">
      <alignment horizontal="center" vertical="center" wrapText="1"/>
    </xf>
    <xf numFmtId="0" fontId="4" fillId="4" borderId="4" xfId="1" applyFont="1" applyFill="1" applyBorder="1" applyAlignment="1">
      <alignment horizontal="center" vertical="center" wrapText="1"/>
    </xf>
    <xf numFmtId="3" fontId="4" fillId="4" borderId="4" xfId="1" applyNumberFormat="1" applyFont="1" applyFill="1" applyBorder="1" applyAlignment="1">
      <alignment horizontal="center" vertical="center" wrapText="1"/>
    </xf>
    <xf numFmtId="164" fontId="4" fillId="0" borderId="1" xfId="1" applyNumberFormat="1" applyFont="1" applyBorder="1" applyAlignment="1">
      <alignment horizontal="center" vertical="center" wrapText="1"/>
    </xf>
    <xf numFmtId="0" fontId="4" fillId="4" borderId="2" xfId="1" applyFont="1" applyFill="1" applyBorder="1" applyAlignment="1">
      <alignment horizontal="left" vertical="center" wrapText="1"/>
    </xf>
    <xf numFmtId="0" fontId="4" fillId="4" borderId="3" xfId="1" applyFont="1" applyFill="1" applyBorder="1" applyAlignment="1">
      <alignment horizontal="left" vertical="center" wrapText="1"/>
    </xf>
    <xf numFmtId="0" fontId="4" fillId="0" borderId="3" xfId="1" applyFont="1" applyBorder="1" applyAlignment="1">
      <alignment horizontal="left" vertical="center" wrapText="1"/>
    </xf>
    <xf numFmtId="2" fontId="4" fillId="4" borderId="1" xfId="1" applyNumberFormat="1" applyFont="1" applyFill="1" applyBorder="1" applyAlignment="1">
      <alignment horizontal="center" vertical="center" wrapText="1"/>
    </xf>
    <xf numFmtId="164" fontId="4" fillId="4" borderId="1" xfId="1" applyNumberFormat="1" applyFont="1" applyFill="1" applyBorder="1" applyAlignment="1">
      <alignment horizontal="center" vertical="center" wrapText="1"/>
    </xf>
    <xf numFmtId="2" fontId="4" fillId="4" borderId="2" xfId="1" applyNumberFormat="1" applyFont="1" applyFill="1" applyBorder="1" applyAlignment="1">
      <alignment horizontal="center" vertical="center" wrapText="1"/>
    </xf>
    <xf numFmtId="4" fontId="4" fillId="4" borderId="1" xfId="1" applyNumberFormat="1" applyFont="1" applyFill="1" applyBorder="1" applyAlignment="1">
      <alignment horizontal="center" vertical="center" wrapText="1"/>
    </xf>
    <xf numFmtId="4" fontId="4" fillId="4" borderId="2" xfId="1" applyNumberFormat="1" applyFont="1" applyFill="1" applyBorder="1" applyAlignment="1">
      <alignment horizontal="center" vertical="center" wrapText="1"/>
    </xf>
    <xf numFmtId="164" fontId="4" fillId="0" borderId="2" xfId="1" applyNumberFormat="1" applyFont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left" vertical="center" wrapText="1"/>
    </xf>
    <xf numFmtId="0" fontId="5" fillId="5" borderId="1" xfId="1" applyFont="1" applyFill="1" applyBorder="1" applyAlignment="1">
      <alignment horizontal="left" vertical="center" wrapText="1"/>
    </xf>
    <xf numFmtId="0" fontId="5" fillId="5" borderId="4" xfId="1" applyFont="1" applyFill="1" applyBorder="1" applyAlignment="1">
      <alignment horizontal="left" vertical="center" wrapText="1"/>
    </xf>
    <xf numFmtId="0" fontId="4" fillId="5" borderId="1" xfId="1" applyFont="1" applyFill="1" applyBorder="1" applyAlignment="1">
      <alignment horizontal="center" vertical="center" wrapText="1"/>
    </xf>
    <xf numFmtId="0" fontId="4" fillId="5" borderId="4" xfId="1" applyFont="1" applyFill="1" applyBorder="1" applyAlignment="1">
      <alignment horizontal="center" vertical="center" wrapText="1"/>
    </xf>
    <xf numFmtId="0" fontId="4" fillId="4" borderId="2" xfId="1" applyFont="1" applyFill="1" applyBorder="1" applyAlignment="1">
      <alignment horizontal="left" vertical="center" wrapText="1"/>
    </xf>
    <xf numFmtId="0" fontId="4" fillId="4" borderId="3" xfId="1" applyFont="1" applyFill="1" applyBorder="1" applyAlignment="1">
      <alignment horizontal="left" vertical="center" wrapText="1"/>
    </xf>
  </cellXfs>
  <cellStyles count="2">
    <cellStyle name="Normal" xfId="1" xr:uid="{00000000-0005-0000-0000-000000000000}"/>
    <cellStyle name="Обычный" xfId="0" builtinId="0"/>
  </cellStyles>
  <dxfs count="77"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charset val="204"/>
        <scheme val="none"/>
      </font>
      <alignment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Достижимая выручка</c:v>
          </c:tx>
          <c:spPr>
            <a:solidFill>
              <a:srgbClr val="1F4E79"/>
            </a:solidFill>
          </c:spPr>
          <c:invertIfNegative val="1"/>
          <c:cat>
            <c:strRef>
              <c:f>'07_Дашборд'!$E$3:$G$3</c:f>
              <c:strCache>
                <c:ptCount val="3"/>
                <c:pt idx="0">
                  <c:v>Осторожный</c:v>
                </c:pt>
                <c:pt idx="1">
                  <c:v>Базовый</c:v>
                </c:pt>
                <c:pt idx="2">
                  <c:v>Оптимистичный</c:v>
                </c:pt>
              </c:strCache>
            </c:strRef>
          </c:cat>
          <c:val>
            <c:numRef>
              <c:f>'07_Дашборд'!$E$6:$G$6</c:f>
              <c:numCache>
                <c:formatCode>#\ ##0\ "у.е."</c:formatCode>
                <c:ptCount val="3"/>
                <c:pt idx="0">
                  <c:v>131.88082186749369</c:v>
                </c:pt>
                <c:pt idx="1">
                  <c:v>5163.8412422433867</c:v>
                </c:pt>
                <c:pt idx="2">
                  <c:v>100466.24878088949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0-AA31-432C-A22F-021154C6B1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#\ ##0\ &quot;у.е.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solidFill>
      <a:sysClr val="window" lastClr="FFFFFF"/>
    </a:solidFill>
    <a:ln w="9525">
      <a:noFill/>
      <a:prstDash val="solid"/>
      <a:round/>
    </a:ln>
    <a:effectLst/>
    <a:extLst>
      <a:ext uri="{91240B29-F687-4F45-9708-019B960494DF}">
        <a14:hiddenLine xmlns:a14="http://schemas.microsoft.com/office/drawing/2010/main" w="9525">
          <a:solidFill>
            <a:srgbClr val="D9D9D9"/>
          </a:solidFill>
          <a:prstDash val="solid"/>
          <a:round/>
        </a14:hiddenLine>
      </a:ext>
    </a:extLst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1</xdr:col>
      <xdr:colOff>3170237</xdr:colOff>
      <xdr:row>32</xdr:row>
      <xdr:rowOff>44450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milarwebCompetitors" displayName="SimilarwebCompetitors" ref="A3:M15" headerRowDxfId="76" dataDxfId="75" totalsRowDxfId="74">
  <tableColumns count="13">
    <tableColumn id="1" xr3:uid="{00000000-0010-0000-0000-000001000000}" name="№" dataDxfId="73"/>
    <tableColumn id="2" xr3:uid="{00000000-0010-0000-0000-000002000000}" name="Конкурент" dataDxfId="72"/>
    <tableColumn id="3" xr3:uid="{00000000-0010-0000-0000-000003000000}" name="Домен" dataDxfId="71"/>
    <tableColumn id="4" xr3:uid="{00000000-0010-0000-0000-000004000000}" name="Тип игрока" dataDxfId="70"/>
    <tableColumn id="5" xr3:uid="{00000000-0010-0000-0000-000005000000}" name="Месячные посещения" dataDxfId="69"/>
    <tableColumn id="6" xr3:uid="{00000000-0010-0000-0000-000006000000}" name="Доля целевой географии" dataDxfId="68"/>
    <tableColumn id="7" xr3:uid="{00000000-0010-0000-0000-000007000000}" name="Доля релевантного трафика" dataDxfId="67"/>
    <tableColumn id="8" xr3:uid="{00000000-0010-0000-0000-000008000000}" name="Коэффициент качества" dataDxfId="66"/>
    <tableColumn id="9" xr3:uid="{00000000-0010-0000-0000-000009000000}" name="Релевантные посещения/мес." dataDxfId="65"/>
    <tableColumn id="10" xr3:uid="{00000000-0010-0000-0000-00000A000000}" name="Релевантные посещения/год" dataDxfId="64"/>
    <tableColumn id="11" xr3:uid="{00000000-0010-0000-0000-00000B000000}" name="Доля среди учтенных конкурентов" dataDxfId="63"/>
    <tableColumn id="12" xr3:uid="{00000000-0010-0000-0000-00000C000000}" name="Источник данных" dataDxfId="62"/>
    <tableColumn id="13" xr3:uid="{00000000-0010-0000-0000-00000D000000}" name="Комментарий" dataDxfId="6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cenarioTraffic" displayName="ScenarioTraffic" ref="A3:K6" headerRowDxfId="60" dataDxfId="59" totalsRowDxfId="58">
  <tableColumns count="11">
    <tableColumn id="1" xr3:uid="{00000000-0010-0000-0100-000001000000}" name="Сценарий" dataDxfId="57"/>
    <tableColumn id="2" xr3:uid="{00000000-0010-0000-0100-000002000000}" name="Охват неучтенных конкурентов" dataDxfId="56"/>
    <tableColumn id="3" xr3:uid="{00000000-0010-0000-0100-000003000000}" name="Коэффициент надежности данных" dataDxfId="55"/>
    <tableColumn id="4" xr3:uid="{00000000-0010-0000-0100-000004000000}" name="Корректировка на недоступный спрос" dataDxfId="54"/>
    <tableColumn id="5" xr3:uid="{00000000-0010-0000-0100-000005000000}" name="Релевантный трафик конкурентов/мес." dataDxfId="53"/>
    <tableColumn id="6" xr3:uid="{00000000-0010-0000-0100-000006000000}" name="Оценка рыночного трафика/мес." dataDxfId="52"/>
    <tableColumn id="7" xr3:uid="{00000000-0010-0000-0100-000007000000}" name="Оценка рыночного трафика/год" dataDxfId="51"/>
    <tableColumn id="8" xr3:uid="{00000000-0010-0000-0100-000008000000}" name="Нижняя граница/год" dataDxfId="50"/>
    <tableColumn id="9" xr3:uid="{00000000-0010-0000-0100-000009000000}" name="Верхняя граница/год" dataDxfId="49"/>
    <tableColumn id="10" xr3:uid="{00000000-0010-0000-0100-00000A000000}" name="Интерпретация" dataDxfId="48"/>
    <tableColumn id="11" xr3:uid="{00000000-0010-0000-0100-00000B000000}" name="Комментарий" dataDxfId="4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FunnelScenarios" displayName="FunnelScenarios" ref="A3:L6" headerRowDxfId="46" dataDxfId="45" totalsRowDxfId="44">
  <tableColumns count="12">
    <tableColumn id="1" xr3:uid="{00000000-0010-0000-0200-000001000000}" name="Сценарий" dataDxfId="43"/>
    <tableColumn id="2" xr3:uid="{00000000-0010-0000-0200-000002000000}" name="Рыночные визиты/год" dataDxfId="42"/>
    <tableColumn id="3" xr3:uid="{00000000-0010-0000-0200-000003000000}" name="Конверсия визит → заявка" dataDxfId="41"/>
    <tableColumn id="4" xr3:uid="{00000000-0010-0000-0200-000004000000}" name="Конверсия заявка → продажа" dataDxfId="40"/>
    <tableColumn id="5" xr3:uid="{00000000-0010-0000-0200-000005000000}" name="Продаж/год" dataDxfId="39"/>
    <tableColumn id="6" xr3:uid="{00000000-0010-0000-0200-000006000000}" name="Средний чек" dataDxfId="38"/>
    <tableColumn id="7" xr3:uid="{00000000-0010-0000-0200-000007000000}" name="Покупок в год" dataDxfId="37"/>
    <tableColumn id="8" xr3:uid="{00000000-0010-0000-0200-000008000000}" name="Выручка рынка/год" dataDxfId="36"/>
    <tableColumn id="9" xr3:uid="{00000000-0010-0000-0200-000009000000}" name="Достижимая доля" dataDxfId="35"/>
    <tableColumn id="10" xr3:uid="{00000000-0010-0000-0200-00000A000000}" name="Достижимая выручка/год" dataDxfId="34"/>
    <tableColumn id="11" xr3:uid="{00000000-0010-0000-0200-00000B000000}" name="TAM/SAM/SOM логика" dataDxfId="33"/>
    <tableColumn id="12" xr3:uid="{00000000-0010-0000-0200-00000C000000}" name="Комментарий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latformScenarios" displayName="PlatformScenarios" ref="A3:K6" headerRowDxfId="31" dataDxfId="30" totalsRowDxfId="29">
  <tableColumns count="11">
    <tableColumn id="1" xr3:uid="{00000000-0010-0000-0300-000001000000}" name="Сценарий" dataDxfId="28"/>
    <tableColumn id="2" xr3:uid="{00000000-0010-0000-0300-000002000000}" name="Рыночные визиты/год" dataDxfId="27"/>
    <tableColumn id="3" xr3:uid="{00000000-0010-0000-0300-000003000000}" name="Регистрация/лид" dataDxfId="26"/>
    <tableColumn id="4" xr3:uid="{00000000-0010-0000-0300-000004000000}" name="Активные участники" dataDxfId="25"/>
    <tableColumn id="5" xr3:uid="{00000000-0010-0000-0300-000005000000}" name="Сделок на участника/год" dataDxfId="24"/>
    <tableColumn id="6" xr3:uid="{00000000-0010-0000-0300-000006000000}" name="Средняя сумма сделки" dataDxfId="23"/>
    <tableColumn id="7" xr3:uid="{00000000-0010-0000-0300-000007000000}" name="GMV/год" dataDxfId="22"/>
    <tableColumn id="8" xr3:uid="{00000000-0010-0000-0300-000008000000}" name="Комиссия платформы" dataDxfId="21"/>
    <tableColumn id="9" xr3:uid="{00000000-0010-0000-0300-000009000000}" name="Выручка платформы/год" dataDxfId="20"/>
    <tableColumn id="10" xr3:uid="{00000000-0010-0000-0300-00000A000000}" name="Достижимая доля" dataDxfId="19"/>
    <tableColumn id="11" xr3:uid="{00000000-0010-0000-0300-00000B000000}" name="Достижимая выручка платформы" dataDxfId="1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ethodComparison" displayName="MethodComparison" ref="A3:E8" headerRowDxfId="17" dataDxfId="16" totalsRowDxfId="15">
  <tableColumns count="5">
    <tableColumn id="1" xr3:uid="{00000000-0010-0000-0400-000001000000}" name="Метод оценки" dataDxfId="14"/>
    <tableColumn id="2" xr3:uid="{00000000-0010-0000-0400-000002000000}" name="Осторожный" dataDxfId="13"/>
    <tableColumn id="3" xr3:uid="{00000000-0010-0000-0400-000003000000}" name="Базовый" dataDxfId="12"/>
    <tableColumn id="4" xr3:uid="{00000000-0010-0000-0400-000004000000}" name="Оптимистичный" dataDxfId="11"/>
    <tableColumn id="5" xr3:uid="{00000000-0010-0000-0400-000005000000}" name="Комментарий" dataDxf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ourcesLog" displayName="SourcesLog" ref="A2:G7" headerRowDxfId="9" dataDxfId="8" totalsRowDxfId="7">
  <tableColumns count="7">
    <tableColumn id="1" xr3:uid="{00000000-0010-0000-0500-000001000000}" name="№" dataDxfId="6"/>
    <tableColumn id="2" xr3:uid="{00000000-0010-0000-0500-000002000000}" name="Источник" dataDxfId="5"/>
    <tableColumn id="3" xr3:uid="{00000000-0010-0000-0500-000003000000}" name="URL" dataDxfId="4"/>
    <tableColumn id="4" xr3:uid="{00000000-0010-0000-0500-000004000000}" name="Какие данные используются" dataDxfId="3"/>
    <tableColumn id="5" xr3:uid="{00000000-0010-0000-0500-000005000000}" name="Дата обращения" dataDxfId="2"/>
    <tableColumn id="6" xr3:uid="{00000000-0010-0000-0500-000006000000}" name="Уровень надежности" dataDxfId="1"/>
    <tableColumn id="7" xr3:uid="{00000000-0010-0000-0500-000007000000}" name="Комментарий / ограничение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4"/>
  <sheetViews>
    <sheetView tabSelected="1" workbookViewId="0">
      <selection sqref="A1:H1"/>
    </sheetView>
  </sheetViews>
  <sheetFormatPr defaultRowHeight="13.5"/>
  <cols>
    <col min="1" max="1" width="22.4375" customWidth="1"/>
    <col min="2" max="3" width="52.5625" customWidth="1"/>
    <col min="4" max="4" width="48.6875" customWidth="1"/>
    <col min="5" max="5" width="52.5625" customWidth="1"/>
    <col min="6" max="6" width="40.3125" customWidth="1"/>
    <col min="7" max="8" width="52.5625" customWidth="1"/>
    <col min="9" max="15" width="10.5625" customWidth="1"/>
  </cols>
  <sheetData>
    <row r="1" spans="1:15" ht="20" customHeight="1">
      <c r="A1" s="39" t="s">
        <v>279</v>
      </c>
      <c r="B1" s="39"/>
      <c r="C1" s="40"/>
      <c r="D1" s="40"/>
      <c r="E1" s="40"/>
      <c r="F1" s="40"/>
      <c r="G1" s="40"/>
      <c r="H1" s="41"/>
      <c r="I1" s="1"/>
      <c r="J1" s="1"/>
      <c r="K1" s="1"/>
      <c r="L1" s="1"/>
      <c r="M1" s="1"/>
      <c r="N1" s="1"/>
      <c r="O1" s="1"/>
    </row>
    <row r="2" spans="1:15" ht="42.75">
      <c r="A2" s="2" t="s">
        <v>0</v>
      </c>
      <c r="B2" s="4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71.25">
      <c r="A3" s="2" t="s">
        <v>2</v>
      </c>
      <c r="B3" s="4" t="s">
        <v>280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42.75">
      <c r="A4" s="2" t="s">
        <v>3</v>
      </c>
      <c r="B4" s="4" t="s">
        <v>281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42.75">
      <c r="A5" s="2" t="s">
        <v>4</v>
      </c>
      <c r="B5" s="4" t="s">
        <v>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14.25">
      <c r="A6" s="2" t="s">
        <v>6</v>
      </c>
      <c r="B6" s="2" t="s">
        <v>7</v>
      </c>
      <c r="C6" s="2" t="s">
        <v>282</v>
      </c>
      <c r="D6" s="2" t="s">
        <v>8</v>
      </c>
      <c r="E6" s="2" t="s">
        <v>9</v>
      </c>
      <c r="F6" s="2" t="s">
        <v>10</v>
      </c>
      <c r="G6" s="2" t="s">
        <v>11</v>
      </c>
      <c r="H6" s="10" t="s">
        <v>12</v>
      </c>
      <c r="I6" s="1"/>
      <c r="J6" s="1"/>
      <c r="K6" s="1"/>
      <c r="L6" s="1"/>
      <c r="M6" s="1"/>
      <c r="N6" s="1"/>
      <c r="O6" s="1"/>
    </row>
    <row r="7" spans="1:15" ht="14.25">
      <c r="A7" s="5">
        <v>1</v>
      </c>
      <c r="B7" s="5" t="s">
        <v>13</v>
      </c>
      <c r="C7" s="8" t="s">
        <v>14</v>
      </c>
      <c r="D7" s="8" t="s">
        <v>15</v>
      </c>
      <c r="E7" s="8" t="s">
        <v>16</v>
      </c>
      <c r="F7" s="8" t="s">
        <v>17</v>
      </c>
      <c r="G7" s="8" t="s">
        <v>18</v>
      </c>
      <c r="H7" s="11" t="s">
        <v>305</v>
      </c>
      <c r="I7" s="1"/>
      <c r="J7" s="1"/>
      <c r="K7" s="1"/>
      <c r="L7" s="1"/>
      <c r="M7" s="1"/>
      <c r="N7" s="1"/>
      <c r="O7" s="1"/>
    </row>
    <row r="8" spans="1:15" ht="28.5">
      <c r="A8" s="5">
        <v>2</v>
      </c>
      <c r="B8" s="5" t="s">
        <v>19</v>
      </c>
      <c r="C8" s="8" t="s">
        <v>20</v>
      </c>
      <c r="D8" s="8" t="s">
        <v>21</v>
      </c>
      <c r="E8" s="8" t="s">
        <v>22</v>
      </c>
      <c r="F8" s="5" t="s">
        <v>23</v>
      </c>
      <c r="G8" s="5" t="s">
        <v>24</v>
      </c>
      <c r="H8" s="12" t="s">
        <v>306</v>
      </c>
      <c r="I8" s="1"/>
      <c r="J8" s="1"/>
      <c r="K8" s="1"/>
      <c r="L8" s="1"/>
      <c r="M8" s="1"/>
      <c r="N8" s="1"/>
      <c r="O8" s="1"/>
    </row>
    <row r="9" spans="1:15" ht="14.25">
      <c r="A9" s="5">
        <v>3</v>
      </c>
      <c r="B9" s="5" t="s">
        <v>25</v>
      </c>
      <c r="C9" s="8" t="s">
        <v>26</v>
      </c>
      <c r="D9" s="8" t="s">
        <v>27</v>
      </c>
      <c r="E9" s="8" t="s">
        <v>28</v>
      </c>
      <c r="F9" s="5" t="s">
        <v>29</v>
      </c>
      <c r="G9" s="8" t="s">
        <v>30</v>
      </c>
      <c r="H9" s="12" t="s">
        <v>31</v>
      </c>
      <c r="I9" s="1"/>
      <c r="J9" s="1"/>
      <c r="K9" s="1"/>
      <c r="L9" s="1"/>
      <c r="M9" s="1"/>
      <c r="N9" s="1"/>
      <c r="O9" s="1"/>
    </row>
    <row r="10" spans="1:15" ht="14.25">
      <c r="A10" s="5">
        <v>4</v>
      </c>
      <c r="B10" s="5" t="s">
        <v>32</v>
      </c>
      <c r="C10" s="8" t="s">
        <v>33</v>
      </c>
      <c r="D10" s="8" t="s">
        <v>34</v>
      </c>
      <c r="E10" s="5" t="s">
        <v>35</v>
      </c>
      <c r="F10" s="5" t="s">
        <v>36</v>
      </c>
      <c r="G10" s="8" t="s">
        <v>37</v>
      </c>
      <c r="H10" s="12" t="s">
        <v>38</v>
      </c>
      <c r="I10" s="1"/>
      <c r="J10" s="1"/>
      <c r="K10" s="1"/>
      <c r="L10" s="1"/>
      <c r="M10" s="1"/>
      <c r="N10" s="1"/>
      <c r="O10" s="1"/>
    </row>
    <row r="11" spans="1:15" ht="28.5">
      <c r="A11" s="5">
        <v>5</v>
      </c>
      <c r="B11" s="5" t="s">
        <v>39</v>
      </c>
      <c r="C11" s="8" t="s">
        <v>40</v>
      </c>
      <c r="D11" s="5" t="s">
        <v>41</v>
      </c>
      <c r="E11" s="8" t="s">
        <v>42</v>
      </c>
      <c r="F11" s="8" t="s">
        <v>43</v>
      </c>
      <c r="G11" s="5" t="s">
        <v>44</v>
      </c>
      <c r="H11" s="12" t="s">
        <v>45</v>
      </c>
      <c r="I11" s="1"/>
      <c r="J11" s="1"/>
      <c r="K11" s="1"/>
      <c r="L11" s="1"/>
      <c r="M11" s="1"/>
      <c r="N11" s="1"/>
      <c r="O11" s="1"/>
    </row>
    <row r="12" spans="1:15" ht="14.25">
      <c r="A12" s="5">
        <v>6</v>
      </c>
      <c r="B12" s="5" t="s">
        <v>46</v>
      </c>
      <c r="C12" s="8" t="s">
        <v>47</v>
      </c>
      <c r="D12" s="5" t="s">
        <v>48</v>
      </c>
      <c r="E12" s="8" t="s">
        <v>49</v>
      </c>
      <c r="F12" s="5" t="s">
        <v>50</v>
      </c>
      <c r="G12" s="8" t="s">
        <v>51</v>
      </c>
      <c r="H12" s="12" t="s">
        <v>52</v>
      </c>
      <c r="I12" s="1"/>
      <c r="J12" s="1"/>
      <c r="K12" s="1"/>
      <c r="L12" s="1"/>
      <c r="M12" s="1"/>
      <c r="N12" s="1"/>
      <c r="O12" s="1"/>
    </row>
    <row r="13" spans="1:15" ht="14.25">
      <c r="A13" s="5">
        <v>7</v>
      </c>
      <c r="B13" s="5" t="s">
        <v>53</v>
      </c>
      <c r="C13" s="5" t="s">
        <v>307</v>
      </c>
      <c r="D13" s="8" t="s">
        <v>54</v>
      </c>
      <c r="E13" s="8" t="s">
        <v>55</v>
      </c>
      <c r="F13" s="5" t="s">
        <v>56</v>
      </c>
      <c r="G13" s="8" t="s">
        <v>57</v>
      </c>
      <c r="H13" s="11" t="s">
        <v>58</v>
      </c>
      <c r="I13" s="1"/>
      <c r="J13" s="1"/>
      <c r="K13" s="1"/>
      <c r="L13" s="1"/>
      <c r="M13" s="1"/>
      <c r="N13" s="1"/>
      <c r="O13" s="1"/>
    </row>
    <row r="14" spans="1:15" ht="14.25">
      <c r="A14" s="6">
        <v>8</v>
      </c>
      <c r="B14" s="6" t="s">
        <v>59</v>
      </c>
      <c r="C14" s="9" t="s">
        <v>60</v>
      </c>
      <c r="D14" s="6" t="s">
        <v>61</v>
      </c>
      <c r="E14" s="9" t="s">
        <v>62</v>
      </c>
      <c r="F14" s="6" t="s">
        <v>63</v>
      </c>
      <c r="G14" s="9" t="s">
        <v>64</v>
      </c>
      <c r="H14" s="7" t="s">
        <v>308</v>
      </c>
      <c r="I14" s="1"/>
      <c r="J14" s="1"/>
      <c r="K14" s="1"/>
      <c r="L14" s="1"/>
      <c r="M14" s="1"/>
      <c r="N14" s="1"/>
      <c r="O14" s="1"/>
    </row>
  </sheetData>
  <mergeCells count="1">
    <mergeCell ref="A1:H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1"/>
  <sheetViews>
    <sheetView workbookViewId="0"/>
  </sheetViews>
  <sheetFormatPr defaultRowHeight="13.5"/>
  <cols>
    <col min="1" max="1" width="39.25" customWidth="1"/>
    <col min="2" max="2" width="46.625" customWidth="1"/>
    <col min="3" max="3" width="16.1875" customWidth="1"/>
    <col min="4" max="4" width="17.1875" customWidth="1"/>
    <col min="5" max="6" width="52.5625" customWidth="1"/>
    <col min="7" max="15" width="10.5625" customWidth="1"/>
  </cols>
  <sheetData>
    <row r="1" spans="1:15" ht="20" customHeight="1">
      <c r="A1" s="39" t="s">
        <v>65</v>
      </c>
      <c r="B1" s="39"/>
      <c r="C1" s="39"/>
      <c r="D1" s="39"/>
      <c r="E1" s="39"/>
      <c r="F1" s="42"/>
      <c r="G1" s="1"/>
      <c r="H1" s="1"/>
      <c r="I1" s="1"/>
      <c r="J1" s="1"/>
      <c r="K1" s="1"/>
      <c r="L1" s="1"/>
      <c r="M1" s="1"/>
      <c r="N1" s="1"/>
      <c r="O1" s="1"/>
    </row>
    <row r="2" spans="1:15" ht="14.25">
      <c r="A2" s="2" t="s">
        <v>66</v>
      </c>
      <c r="B2" s="2" t="s">
        <v>67</v>
      </c>
      <c r="C2" s="2" t="s">
        <v>68</v>
      </c>
      <c r="D2" s="2" t="s">
        <v>69</v>
      </c>
      <c r="E2" s="2" t="s">
        <v>70</v>
      </c>
      <c r="F2" s="10" t="s">
        <v>12</v>
      </c>
      <c r="G2" s="1"/>
      <c r="H2" s="1"/>
      <c r="I2" s="1"/>
      <c r="J2" s="1"/>
      <c r="K2" s="1"/>
      <c r="L2" s="1"/>
      <c r="M2" s="1"/>
      <c r="N2" s="1"/>
      <c r="O2" s="1"/>
    </row>
    <row r="3" spans="1:15" ht="14.25">
      <c r="A3" s="3" t="s">
        <v>71</v>
      </c>
      <c r="B3" s="3" t="s">
        <v>283</v>
      </c>
      <c r="C3" s="5" t="s">
        <v>72</v>
      </c>
      <c r="D3" s="5" t="s">
        <v>73</v>
      </c>
      <c r="E3" s="8" t="s">
        <v>74</v>
      </c>
      <c r="F3" s="11" t="s">
        <v>284</v>
      </c>
      <c r="G3" s="1"/>
      <c r="H3" s="1"/>
      <c r="I3" s="1"/>
      <c r="J3" s="1"/>
      <c r="K3" s="1"/>
      <c r="L3" s="1"/>
      <c r="M3" s="1"/>
      <c r="N3" s="1"/>
      <c r="O3" s="1"/>
    </row>
    <row r="4" spans="1:15" ht="14.25">
      <c r="A4" s="3" t="s">
        <v>75</v>
      </c>
      <c r="B4" s="13" t="s">
        <v>235</v>
      </c>
      <c r="C4" s="5" t="s">
        <v>72</v>
      </c>
      <c r="D4" s="5" t="s">
        <v>73</v>
      </c>
      <c r="E4" s="5" t="s">
        <v>76</v>
      </c>
      <c r="F4" s="12" t="s">
        <v>77</v>
      </c>
      <c r="G4" s="1"/>
      <c r="H4" s="1"/>
      <c r="I4" s="1"/>
      <c r="J4" s="1"/>
      <c r="K4" s="1"/>
      <c r="L4" s="1"/>
      <c r="M4" s="1"/>
      <c r="N4" s="1"/>
      <c r="O4" s="1"/>
    </row>
    <row r="5" spans="1:15" ht="14.25">
      <c r="A5" s="3" t="s">
        <v>78</v>
      </c>
      <c r="B5" s="13" t="s">
        <v>285</v>
      </c>
      <c r="C5" s="5" t="s">
        <v>72</v>
      </c>
      <c r="D5" s="5" t="s">
        <v>73</v>
      </c>
      <c r="E5" s="5" t="s">
        <v>79</v>
      </c>
      <c r="F5" s="12" t="s">
        <v>80</v>
      </c>
      <c r="G5" s="1"/>
      <c r="H5" s="1"/>
      <c r="I5" s="1"/>
      <c r="J5" s="1"/>
      <c r="K5" s="1"/>
      <c r="L5" s="1"/>
      <c r="M5" s="1"/>
      <c r="N5" s="1"/>
      <c r="O5" s="1"/>
    </row>
    <row r="6" spans="1:15" ht="14.25">
      <c r="A6" s="3" t="s">
        <v>81</v>
      </c>
      <c r="B6" s="13">
        <v>12</v>
      </c>
      <c r="C6" s="5" t="s">
        <v>82</v>
      </c>
      <c r="D6" s="5" t="s">
        <v>73</v>
      </c>
      <c r="E6" s="5" t="s">
        <v>83</v>
      </c>
      <c r="F6" s="11" t="s">
        <v>84</v>
      </c>
      <c r="G6" s="1"/>
      <c r="H6" s="1"/>
      <c r="I6" s="1"/>
      <c r="J6" s="1"/>
      <c r="K6" s="1"/>
      <c r="L6" s="1"/>
      <c r="M6" s="1"/>
      <c r="N6" s="1"/>
      <c r="O6" s="1"/>
    </row>
    <row r="7" spans="1:15" ht="14.25">
      <c r="A7" s="3" t="s">
        <v>85</v>
      </c>
      <c r="B7" s="33">
        <v>19.43</v>
      </c>
      <c r="C7" s="5" t="s">
        <v>286</v>
      </c>
      <c r="D7" s="5" t="s">
        <v>73</v>
      </c>
      <c r="E7" s="8" t="s">
        <v>236</v>
      </c>
      <c r="F7" s="12" t="s">
        <v>86</v>
      </c>
      <c r="G7" s="1"/>
      <c r="H7" s="1"/>
      <c r="I7" s="1"/>
      <c r="J7" s="1"/>
      <c r="K7" s="1"/>
      <c r="L7" s="1"/>
      <c r="M7" s="1"/>
      <c r="N7" s="1"/>
      <c r="O7" s="1"/>
    </row>
    <row r="8" spans="1:15" ht="14.25">
      <c r="A8" s="3" t="s">
        <v>87</v>
      </c>
      <c r="B8" s="33">
        <v>5.1749999999999998</v>
      </c>
      <c r="C8" s="5" t="s">
        <v>237</v>
      </c>
      <c r="D8" s="5" t="s">
        <v>73</v>
      </c>
      <c r="E8" s="5" t="s">
        <v>88</v>
      </c>
      <c r="F8" s="11" t="s">
        <v>89</v>
      </c>
      <c r="G8" s="1"/>
      <c r="H8" s="1"/>
      <c r="I8" s="1"/>
      <c r="J8" s="1"/>
      <c r="K8" s="1"/>
      <c r="L8" s="1"/>
      <c r="M8" s="1"/>
      <c r="N8" s="1"/>
      <c r="O8" s="1"/>
    </row>
    <row r="9" spans="1:15" ht="14.25">
      <c r="A9" s="3" t="s">
        <v>90</v>
      </c>
      <c r="B9" s="19">
        <v>0.21</v>
      </c>
      <c r="C9" s="5" t="s">
        <v>91</v>
      </c>
      <c r="D9" s="5" t="s">
        <v>73</v>
      </c>
      <c r="E9" s="5" t="s">
        <v>92</v>
      </c>
      <c r="F9" s="12" t="s">
        <v>93</v>
      </c>
      <c r="G9" s="1"/>
      <c r="H9" s="1"/>
      <c r="I9" s="1"/>
      <c r="J9" s="1"/>
      <c r="K9" s="1"/>
      <c r="L9" s="1"/>
      <c r="M9" s="1"/>
      <c r="N9" s="1"/>
      <c r="O9" s="1"/>
    </row>
    <row r="10" spans="1:15" ht="14.25">
      <c r="A10" s="3" t="s">
        <v>94</v>
      </c>
      <c r="B10" s="19">
        <v>0.21149999999999999</v>
      </c>
      <c r="C10" s="5" t="s">
        <v>91</v>
      </c>
      <c r="D10" s="5" t="s">
        <v>73</v>
      </c>
      <c r="E10" s="8" t="s">
        <v>95</v>
      </c>
      <c r="F10" s="12" t="s">
        <v>96</v>
      </c>
      <c r="G10" s="1"/>
      <c r="H10" s="1"/>
      <c r="I10" s="1"/>
      <c r="J10" s="1"/>
      <c r="K10" s="1"/>
      <c r="L10" s="1"/>
      <c r="M10" s="1"/>
      <c r="N10" s="1"/>
      <c r="O10" s="1"/>
    </row>
    <row r="11" spans="1:15" ht="28.5">
      <c r="A11" s="3" t="s">
        <v>97</v>
      </c>
      <c r="B11" s="19">
        <v>0.84650000000000003</v>
      </c>
      <c r="C11" s="5" t="s">
        <v>98</v>
      </c>
      <c r="D11" s="5" t="s">
        <v>73</v>
      </c>
      <c r="E11" s="8" t="s">
        <v>99</v>
      </c>
      <c r="F11" s="12" t="s">
        <v>100</v>
      </c>
      <c r="G11" s="1"/>
      <c r="H11" s="1"/>
      <c r="I11" s="1"/>
      <c r="J11" s="1"/>
      <c r="K11" s="1"/>
      <c r="L11" s="1"/>
      <c r="M11" s="1"/>
      <c r="N11" s="1"/>
      <c r="O11" s="1"/>
    </row>
    <row r="12" spans="1:15" ht="14.25">
      <c r="A12" s="3" t="s">
        <v>101</v>
      </c>
      <c r="B12" s="34">
        <v>46298</v>
      </c>
      <c r="C12" s="5" t="s">
        <v>102</v>
      </c>
      <c r="D12" s="5" t="s">
        <v>73</v>
      </c>
      <c r="E12" s="5" t="s">
        <v>103</v>
      </c>
      <c r="F12" s="11" t="s">
        <v>104</v>
      </c>
      <c r="G12" s="1"/>
      <c r="H12" s="1"/>
      <c r="I12" s="1"/>
      <c r="J12" s="1"/>
      <c r="K12" s="1"/>
      <c r="L12" s="1"/>
      <c r="M12" s="1"/>
      <c r="N12" s="1"/>
      <c r="O12" s="1"/>
    </row>
    <row r="13" spans="1:15" ht="14.25">
      <c r="A13" s="2" t="s">
        <v>105</v>
      </c>
      <c r="B13" s="2" t="s">
        <v>106</v>
      </c>
      <c r="C13" s="2" t="s">
        <v>107</v>
      </c>
      <c r="D13" s="2" t="s">
        <v>108</v>
      </c>
      <c r="E13" s="2" t="s">
        <v>109</v>
      </c>
      <c r="F13" s="10" t="s">
        <v>12</v>
      </c>
      <c r="G13" s="1"/>
      <c r="H13" s="1"/>
      <c r="I13" s="1"/>
      <c r="J13" s="1"/>
      <c r="K13" s="1"/>
      <c r="L13" s="1"/>
      <c r="M13" s="1"/>
      <c r="N13" s="1"/>
      <c r="O13" s="1"/>
    </row>
    <row r="14" spans="1:15" ht="28.5">
      <c r="A14" s="3" t="s">
        <v>110</v>
      </c>
      <c r="B14" s="33">
        <v>1.3</v>
      </c>
      <c r="C14" s="33">
        <v>1.8180000000000001</v>
      </c>
      <c r="D14" s="33">
        <v>2.5</v>
      </c>
      <c r="E14" s="8" t="s">
        <v>287</v>
      </c>
      <c r="F14" s="12" t="s">
        <v>111</v>
      </c>
      <c r="G14" s="1"/>
      <c r="H14" s="1"/>
      <c r="I14" s="1"/>
      <c r="J14" s="1"/>
      <c r="K14" s="1"/>
      <c r="L14" s="1"/>
      <c r="M14" s="1"/>
      <c r="N14" s="1"/>
      <c r="O14" s="1"/>
    </row>
    <row r="15" spans="1:15" ht="14.25">
      <c r="A15" s="3" t="s">
        <v>112</v>
      </c>
      <c r="B15" s="33">
        <v>0.75</v>
      </c>
      <c r="C15" s="33">
        <v>0.9</v>
      </c>
      <c r="D15" s="33">
        <v>1</v>
      </c>
      <c r="E15" s="8" t="s">
        <v>113</v>
      </c>
      <c r="F15" s="12" t="s">
        <v>114</v>
      </c>
      <c r="G15" s="1"/>
      <c r="H15" s="1"/>
      <c r="I15" s="1"/>
      <c r="J15" s="1"/>
      <c r="K15" s="1"/>
      <c r="L15" s="1"/>
      <c r="M15" s="1"/>
      <c r="N15" s="1"/>
      <c r="O15" s="1"/>
    </row>
    <row r="16" spans="1:15" ht="28.5">
      <c r="A16" s="3" t="s">
        <v>115</v>
      </c>
      <c r="B16" s="33">
        <v>0.8</v>
      </c>
      <c r="C16" s="33">
        <v>1</v>
      </c>
      <c r="D16" s="33">
        <v>1.1499999999999999</v>
      </c>
      <c r="E16" s="8" t="s">
        <v>116</v>
      </c>
      <c r="F16" s="12" t="s">
        <v>117</v>
      </c>
      <c r="G16" s="1"/>
      <c r="H16" s="1"/>
      <c r="I16" s="1"/>
      <c r="J16" s="1"/>
      <c r="K16" s="1"/>
      <c r="L16" s="1"/>
      <c r="M16" s="1"/>
      <c r="N16" s="1"/>
      <c r="O16" s="1"/>
    </row>
    <row r="17" spans="1:15" ht="14.25">
      <c r="A17" s="3" t="s">
        <v>118</v>
      </c>
      <c r="B17" s="20">
        <v>0.02</v>
      </c>
      <c r="C17" s="20">
        <v>0.04</v>
      </c>
      <c r="D17" s="20">
        <v>7.0000000000000007E-2</v>
      </c>
      <c r="E17" s="8" t="s">
        <v>119</v>
      </c>
      <c r="F17" s="12" t="s">
        <v>120</v>
      </c>
      <c r="G17" s="1"/>
      <c r="H17" s="1"/>
      <c r="I17" s="1"/>
      <c r="J17" s="1"/>
      <c r="K17" s="1"/>
      <c r="L17" s="1"/>
      <c r="M17" s="1"/>
      <c r="N17" s="1"/>
      <c r="O17" s="1"/>
    </row>
    <row r="18" spans="1:15" ht="14.25">
      <c r="A18" s="3" t="s">
        <v>121</v>
      </c>
      <c r="B18" s="20">
        <v>0.03</v>
      </c>
      <c r="C18" s="20">
        <v>0.05</v>
      </c>
      <c r="D18" s="20">
        <v>0.08</v>
      </c>
      <c r="E18" s="8" t="s">
        <v>122</v>
      </c>
      <c r="F18" s="11" t="s">
        <v>123</v>
      </c>
      <c r="G18" s="1"/>
      <c r="H18" s="1"/>
      <c r="I18" s="1"/>
      <c r="J18" s="1"/>
      <c r="K18" s="1"/>
      <c r="L18" s="1"/>
      <c r="M18" s="1"/>
      <c r="N18" s="1"/>
      <c r="O18" s="1"/>
    </row>
    <row r="19" spans="1:15" ht="14.25">
      <c r="A19" s="3" t="s">
        <v>124</v>
      </c>
      <c r="B19" s="33">
        <v>0.88859999999999995</v>
      </c>
      <c r="C19" s="33">
        <v>1</v>
      </c>
      <c r="D19" s="33">
        <v>1.0441</v>
      </c>
      <c r="E19" s="8" t="s">
        <v>125</v>
      </c>
      <c r="F19" s="12" t="s">
        <v>126</v>
      </c>
      <c r="G19" s="1"/>
      <c r="H19" s="1"/>
      <c r="I19" s="1"/>
      <c r="J19" s="1"/>
      <c r="K19" s="1"/>
      <c r="L19" s="1"/>
      <c r="M19" s="1"/>
      <c r="N19" s="1"/>
      <c r="O19" s="1"/>
    </row>
    <row r="20" spans="1:15" ht="14.25">
      <c r="A20" s="3" t="s">
        <v>127</v>
      </c>
      <c r="B20" s="33">
        <v>3.12</v>
      </c>
      <c r="C20" s="33">
        <v>5.1749999999999998</v>
      </c>
      <c r="D20" s="33">
        <v>7.35</v>
      </c>
      <c r="E20" s="8" t="s">
        <v>128</v>
      </c>
      <c r="F20" s="11" t="s">
        <v>89</v>
      </c>
      <c r="G20" s="1"/>
      <c r="H20" s="1"/>
      <c r="I20" s="1"/>
      <c r="J20" s="1"/>
      <c r="K20" s="1"/>
      <c r="L20" s="1"/>
      <c r="M20" s="1"/>
      <c r="N20" s="1"/>
      <c r="O20" s="1"/>
    </row>
    <row r="21" spans="1:15" ht="14.25">
      <c r="A21" s="30" t="s">
        <v>129</v>
      </c>
      <c r="B21" s="21">
        <v>5.0000000000000001E-3</v>
      </c>
      <c r="C21" s="21">
        <v>1.4999999999999999E-2</v>
      </c>
      <c r="D21" s="21">
        <v>0.04</v>
      </c>
      <c r="E21" s="9" t="s">
        <v>130</v>
      </c>
      <c r="F21" s="7" t="s">
        <v>131</v>
      </c>
      <c r="G21" s="1"/>
      <c r="H21" s="1"/>
      <c r="I21" s="1"/>
      <c r="J21" s="1"/>
      <c r="K21" s="1"/>
      <c r="L21" s="1"/>
      <c r="M21" s="1"/>
      <c r="N21" s="1"/>
      <c r="O21" s="1"/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6"/>
  <sheetViews>
    <sheetView workbookViewId="0"/>
  </sheetViews>
  <sheetFormatPr defaultRowHeight="13.5"/>
  <cols>
    <col min="1" max="13" width="52.5625" customWidth="1"/>
    <col min="14" max="15" width="10.5625" customWidth="1"/>
  </cols>
  <sheetData>
    <row r="1" spans="1:15" ht="20" customHeight="1">
      <c r="A1" s="39" t="s">
        <v>132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42"/>
      <c r="N1" s="1"/>
      <c r="O1" s="1"/>
    </row>
    <row r="2" spans="1:15" ht="42.75">
      <c r="A2" s="3" t="s">
        <v>310</v>
      </c>
      <c r="B2" s="3" t="s">
        <v>310</v>
      </c>
      <c r="C2" s="3" t="s">
        <v>310</v>
      </c>
      <c r="D2" s="3" t="s">
        <v>310</v>
      </c>
      <c r="E2" s="3" t="s">
        <v>310</v>
      </c>
      <c r="F2" s="3" t="s">
        <v>310</v>
      </c>
      <c r="G2" s="3" t="s">
        <v>310</v>
      </c>
      <c r="H2" s="3" t="s">
        <v>310</v>
      </c>
      <c r="I2" s="3" t="s">
        <v>310</v>
      </c>
      <c r="J2" s="3" t="s">
        <v>310</v>
      </c>
      <c r="K2" s="3" t="s">
        <v>310</v>
      </c>
      <c r="L2" s="3" t="s">
        <v>310</v>
      </c>
      <c r="M2" s="4" t="s">
        <v>310</v>
      </c>
      <c r="N2" s="1"/>
      <c r="O2" s="1"/>
    </row>
    <row r="3" spans="1:15" ht="14.25">
      <c r="A3" s="2" t="s">
        <v>133</v>
      </c>
      <c r="B3" s="2" t="s">
        <v>134</v>
      </c>
      <c r="C3" s="2" t="s">
        <v>135</v>
      </c>
      <c r="D3" s="2" t="s">
        <v>136</v>
      </c>
      <c r="E3" s="2" t="s">
        <v>137</v>
      </c>
      <c r="F3" s="2" t="s">
        <v>90</v>
      </c>
      <c r="G3" s="2" t="s">
        <v>94</v>
      </c>
      <c r="H3" s="2" t="s">
        <v>138</v>
      </c>
      <c r="I3" s="2" t="s">
        <v>139</v>
      </c>
      <c r="J3" s="2" t="s">
        <v>140</v>
      </c>
      <c r="K3" s="2" t="s">
        <v>141</v>
      </c>
      <c r="L3" s="2" t="s">
        <v>142</v>
      </c>
      <c r="M3" s="10" t="s">
        <v>12</v>
      </c>
      <c r="N3" s="1"/>
      <c r="O3" s="1"/>
    </row>
    <row r="4" spans="1:15" ht="28.5">
      <c r="A4" s="5">
        <v>1</v>
      </c>
      <c r="B4" s="13" t="s">
        <v>238</v>
      </c>
      <c r="C4" s="13" t="s">
        <v>239</v>
      </c>
      <c r="D4" s="3" t="s">
        <v>288</v>
      </c>
      <c r="E4" s="16">
        <v>154111</v>
      </c>
      <c r="F4" s="19">
        <v>0.26539999999999997</v>
      </c>
      <c r="G4" s="19">
        <v>0.35</v>
      </c>
      <c r="H4" s="19">
        <v>0.85</v>
      </c>
      <c r="I4" s="16">
        <f t="shared" ref="I4:I15" si="0">IFERROR(E4*F4*G4*H4,0)</f>
        <v>12168.065171499999</v>
      </c>
      <c r="J4" s="16">
        <f t="shared" ref="J4:J15" si="1">I4*12</f>
        <v>146016.78205799998</v>
      </c>
      <c r="K4" s="20">
        <f t="shared" ref="K4:K15" si="2">IFERROR(I4/SUM($I$4:$I$15),0)</f>
        <v>0.1395631262304261</v>
      </c>
      <c r="L4" s="8" t="s">
        <v>240</v>
      </c>
      <c r="M4" s="12" t="s">
        <v>241</v>
      </c>
      <c r="N4" s="1"/>
      <c r="O4" s="1"/>
    </row>
    <row r="5" spans="1:15" ht="28.5">
      <c r="A5" s="5">
        <v>2</v>
      </c>
      <c r="B5" s="13" t="s">
        <v>242</v>
      </c>
      <c r="C5" s="13" t="s">
        <v>243</v>
      </c>
      <c r="D5" s="13" t="s">
        <v>244</v>
      </c>
      <c r="E5" s="16">
        <v>35325</v>
      </c>
      <c r="F5" s="19">
        <v>0.4395</v>
      </c>
      <c r="G5" s="19">
        <v>0.8</v>
      </c>
      <c r="H5" s="19">
        <v>0.85</v>
      </c>
      <c r="I5" s="16">
        <f t="shared" si="0"/>
        <v>10557.229499999999</v>
      </c>
      <c r="J5" s="16">
        <f t="shared" si="1"/>
        <v>126686.75399999999</v>
      </c>
      <c r="K5" s="20">
        <f t="shared" si="2"/>
        <v>0.12108744755929404</v>
      </c>
      <c r="L5" s="8" t="s">
        <v>245</v>
      </c>
      <c r="M5" s="12" t="s">
        <v>241</v>
      </c>
      <c r="N5" s="1"/>
      <c r="O5" s="1"/>
    </row>
    <row r="6" spans="1:15" ht="28.5">
      <c r="A6" s="5">
        <v>3</v>
      </c>
      <c r="B6" s="13" t="s">
        <v>246</v>
      </c>
      <c r="C6" s="13" t="s">
        <v>247</v>
      </c>
      <c r="D6" s="13" t="s">
        <v>248</v>
      </c>
      <c r="E6" s="16">
        <v>241737</v>
      </c>
      <c r="F6" s="19">
        <v>0.1091</v>
      </c>
      <c r="G6" s="19">
        <v>0.15</v>
      </c>
      <c r="H6" s="19">
        <v>0.85</v>
      </c>
      <c r="I6" s="16">
        <f t="shared" si="0"/>
        <v>3362.6221042500001</v>
      </c>
      <c r="J6" s="16">
        <f t="shared" si="1"/>
        <v>40351.465251000001</v>
      </c>
      <c r="K6" s="20">
        <f t="shared" si="2"/>
        <v>3.8568009505722582E-2</v>
      </c>
      <c r="L6" s="8" t="s">
        <v>249</v>
      </c>
      <c r="M6" s="12" t="s">
        <v>241</v>
      </c>
      <c r="N6" s="1"/>
      <c r="O6" s="1"/>
    </row>
    <row r="7" spans="1:15" ht="28.5">
      <c r="A7" s="5">
        <v>4</v>
      </c>
      <c r="B7" s="13" t="s">
        <v>250</v>
      </c>
      <c r="C7" s="13" t="s">
        <v>251</v>
      </c>
      <c r="D7" s="3" t="s">
        <v>289</v>
      </c>
      <c r="E7" s="16">
        <v>202178</v>
      </c>
      <c r="F7" s="19">
        <v>0.16220000000000001</v>
      </c>
      <c r="G7" s="19">
        <v>0.3</v>
      </c>
      <c r="H7" s="19">
        <v>0.85</v>
      </c>
      <c r="I7" s="16">
        <f t="shared" si="0"/>
        <v>8362.2842579999997</v>
      </c>
      <c r="J7" s="16">
        <f t="shared" si="1"/>
        <v>100347.411096</v>
      </c>
      <c r="K7" s="20">
        <f t="shared" si="2"/>
        <v>9.5912252032267081E-2</v>
      </c>
      <c r="L7" s="8" t="s">
        <v>252</v>
      </c>
      <c r="M7" s="12" t="s">
        <v>241</v>
      </c>
      <c r="N7" s="1"/>
      <c r="O7" s="1"/>
    </row>
    <row r="8" spans="1:15" ht="28.5">
      <c r="A8" s="5">
        <v>5</v>
      </c>
      <c r="B8" s="13" t="s">
        <v>253</v>
      </c>
      <c r="C8" s="13" t="s">
        <v>254</v>
      </c>
      <c r="D8" s="3" t="s">
        <v>290</v>
      </c>
      <c r="E8" s="16">
        <v>14688</v>
      </c>
      <c r="F8" s="19">
        <v>0.95979999999999999</v>
      </c>
      <c r="G8" s="19">
        <v>0.5</v>
      </c>
      <c r="H8" s="19">
        <v>0.8</v>
      </c>
      <c r="I8" s="16">
        <f t="shared" si="0"/>
        <v>5639.0169600000008</v>
      </c>
      <c r="J8" s="16">
        <f t="shared" si="1"/>
        <v>67668.20352000001</v>
      </c>
      <c r="K8" s="20">
        <f t="shared" si="2"/>
        <v>6.4677401436614573E-2</v>
      </c>
      <c r="L8" s="8" t="s">
        <v>255</v>
      </c>
      <c r="M8" s="12" t="s">
        <v>241</v>
      </c>
      <c r="N8" s="1"/>
      <c r="O8" s="1"/>
    </row>
    <row r="9" spans="1:15" ht="28.5">
      <c r="A9" s="5">
        <v>6</v>
      </c>
      <c r="B9" s="13" t="s">
        <v>256</v>
      </c>
      <c r="C9" s="13" t="s">
        <v>257</v>
      </c>
      <c r="D9" s="13" t="s">
        <v>244</v>
      </c>
      <c r="E9" s="16">
        <v>17824</v>
      </c>
      <c r="F9" s="19">
        <v>0.58709999999999996</v>
      </c>
      <c r="G9" s="19">
        <v>0.8</v>
      </c>
      <c r="H9" s="19">
        <v>0.8</v>
      </c>
      <c r="I9" s="16">
        <f t="shared" si="0"/>
        <v>6697.2610559999994</v>
      </c>
      <c r="J9" s="16">
        <f t="shared" si="1"/>
        <v>80367.132671999992</v>
      </c>
      <c r="K9" s="20">
        <f t="shared" si="2"/>
        <v>7.6815062787950403E-2</v>
      </c>
      <c r="L9" s="8" t="s">
        <v>258</v>
      </c>
      <c r="M9" s="12" t="s">
        <v>241</v>
      </c>
      <c r="N9" s="1"/>
      <c r="O9" s="1"/>
    </row>
    <row r="10" spans="1:15" ht="28.5">
      <c r="A10" s="5">
        <v>7</v>
      </c>
      <c r="B10" s="13" t="s">
        <v>259</v>
      </c>
      <c r="C10" s="13" t="s">
        <v>260</v>
      </c>
      <c r="D10" s="3" t="s">
        <v>289</v>
      </c>
      <c r="E10" s="16">
        <v>292214</v>
      </c>
      <c r="F10" s="19">
        <v>9.6499999999999989E-2</v>
      </c>
      <c r="G10" s="19">
        <v>0.3</v>
      </c>
      <c r="H10" s="19">
        <v>0.8</v>
      </c>
      <c r="I10" s="16">
        <f t="shared" si="0"/>
        <v>6767.6762399999998</v>
      </c>
      <c r="J10" s="16">
        <f t="shared" si="1"/>
        <v>81212.114879999994</v>
      </c>
      <c r="K10" s="20">
        <f t="shared" si="2"/>
        <v>7.7622698437054938E-2</v>
      </c>
      <c r="L10" s="8" t="s">
        <v>261</v>
      </c>
      <c r="M10" s="12" t="s">
        <v>241</v>
      </c>
      <c r="N10" s="1"/>
      <c r="O10" s="1"/>
    </row>
    <row r="11" spans="1:15" ht="28.5">
      <c r="A11" s="5">
        <v>8</v>
      </c>
      <c r="B11" s="13" t="s">
        <v>262</v>
      </c>
      <c r="C11" s="13" t="s">
        <v>263</v>
      </c>
      <c r="D11" s="3" t="s">
        <v>289</v>
      </c>
      <c r="E11" s="16">
        <v>116617</v>
      </c>
      <c r="F11" s="19">
        <v>0.18229999999999999</v>
      </c>
      <c r="G11" s="19">
        <v>0.25</v>
      </c>
      <c r="H11" s="19">
        <v>0.85</v>
      </c>
      <c r="I11" s="16">
        <f t="shared" si="0"/>
        <v>4517.5968087499996</v>
      </c>
      <c r="J11" s="16">
        <f t="shared" si="1"/>
        <v>54211.161704999991</v>
      </c>
      <c r="K11" s="20">
        <f t="shared" si="2"/>
        <v>5.1815134517398685E-2</v>
      </c>
      <c r="L11" s="8" t="s">
        <v>264</v>
      </c>
      <c r="M11" s="12" t="s">
        <v>241</v>
      </c>
      <c r="N11" s="1"/>
      <c r="O11" s="1"/>
    </row>
    <row r="12" spans="1:15" ht="28.5">
      <c r="A12" s="5">
        <v>9</v>
      </c>
      <c r="B12" s="13" t="s">
        <v>265</v>
      </c>
      <c r="C12" s="13" t="s">
        <v>266</v>
      </c>
      <c r="D12" s="3" t="s">
        <v>291</v>
      </c>
      <c r="E12" s="16">
        <v>222359</v>
      </c>
      <c r="F12" s="19">
        <v>0.76359999999999995</v>
      </c>
      <c r="G12" s="19">
        <v>0.15</v>
      </c>
      <c r="H12" s="19">
        <v>0.9</v>
      </c>
      <c r="I12" s="16">
        <f t="shared" si="0"/>
        <v>22922.099873999996</v>
      </c>
      <c r="J12" s="16">
        <f t="shared" si="1"/>
        <v>275065.19848799997</v>
      </c>
      <c r="K12" s="20">
        <f t="shared" si="2"/>
        <v>0.26290785536507233</v>
      </c>
      <c r="L12" s="8" t="s">
        <v>267</v>
      </c>
      <c r="M12" s="12" t="s">
        <v>241</v>
      </c>
      <c r="N12" s="1"/>
      <c r="O12" s="1"/>
    </row>
    <row r="13" spans="1:15" ht="28.5">
      <c r="A13" s="5">
        <v>10</v>
      </c>
      <c r="B13" s="13" t="s">
        <v>268</v>
      </c>
      <c r="C13" s="13" t="s">
        <v>269</v>
      </c>
      <c r="D13" s="13" t="s">
        <v>270</v>
      </c>
      <c r="E13" s="16">
        <v>701540</v>
      </c>
      <c r="F13" s="19">
        <v>8.199999999999999E-2</v>
      </c>
      <c r="G13" s="19">
        <v>0.1</v>
      </c>
      <c r="H13" s="19">
        <v>0.85</v>
      </c>
      <c r="I13" s="16">
        <f t="shared" si="0"/>
        <v>4889.7338</v>
      </c>
      <c r="J13" s="16">
        <f t="shared" si="1"/>
        <v>58676.8056</v>
      </c>
      <c r="K13" s="20">
        <f t="shared" si="2"/>
        <v>5.6083405697148821E-2</v>
      </c>
      <c r="L13" s="8" t="s">
        <v>271</v>
      </c>
      <c r="M13" s="12" t="s">
        <v>241</v>
      </c>
      <c r="N13" s="1"/>
      <c r="O13" s="1"/>
    </row>
    <row r="14" spans="1:15" ht="28.5">
      <c r="A14" s="5">
        <v>11</v>
      </c>
      <c r="B14" s="13" t="s">
        <v>272</v>
      </c>
      <c r="C14" s="13" t="s">
        <v>273</v>
      </c>
      <c r="D14" s="13" t="s">
        <v>244</v>
      </c>
      <c r="E14" s="16">
        <v>1935</v>
      </c>
      <c r="F14" s="19">
        <v>0.89460000000000006</v>
      </c>
      <c r="G14" s="19">
        <v>0.8</v>
      </c>
      <c r="H14" s="19">
        <v>0.6</v>
      </c>
      <c r="I14" s="16">
        <f t="shared" si="0"/>
        <v>830.90448000000004</v>
      </c>
      <c r="J14" s="16">
        <f t="shared" si="1"/>
        <v>9970.85376</v>
      </c>
      <c r="K14" s="20">
        <f t="shared" si="2"/>
        <v>9.5301615493707404E-3</v>
      </c>
      <c r="L14" s="8" t="s">
        <v>274</v>
      </c>
      <c r="M14" s="12" t="s">
        <v>241</v>
      </c>
      <c r="N14" s="1"/>
      <c r="O14" s="1"/>
    </row>
    <row r="15" spans="1:15" ht="28.5">
      <c r="A15" s="5">
        <v>12</v>
      </c>
      <c r="B15" s="13" t="s">
        <v>275</v>
      </c>
      <c r="C15" s="13" t="s">
        <v>276</v>
      </c>
      <c r="D15" s="3" t="s">
        <v>292</v>
      </c>
      <c r="E15" s="16">
        <v>5522</v>
      </c>
      <c r="F15" s="19">
        <v>0.47520000000000001</v>
      </c>
      <c r="G15" s="19">
        <v>0.3</v>
      </c>
      <c r="H15" s="19">
        <v>0.6</v>
      </c>
      <c r="I15" s="16">
        <f t="shared" si="0"/>
        <v>472.329792</v>
      </c>
      <c r="J15" s="16">
        <f t="shared" si="1"/>
        <v>5667.957504</v>
      </c>
      <c r="K15" s="20">
        <f t="shared" si="2"/>
        <v>5.417444881679636E-3</v>
      </c>
      <c r="L15" s="8" t="s">
        <v>277</v>
      </c>
      <c r="M15" s="12" t="s">
        <v>241</v>
      </c>
      <c r="N15" s="1"/>
      <c r="O15" s="1"/>
    </row>
    <row r="16" spans="1:15" ht="20" customHeight="1">
      <c r="A16" s="43" t="s">
        <v>143</v>
      </c>
      <c r="B16" s="43"/>
      <c r="C16" s="43"/>
      <c r="D16" s="43"/>
      <c r="E16" s="43"/>
      <c r="F16" s="43"/>
      <c r="G16" s="43"/>
      <c r="H16" s="43"/>
      <c r="I16" s="17">
        <f>SUM(I4:I15)</f>
        <v>87186.820044499997</v>
      </c>
      <c r="J16" s="17">
        <f>SUM(J4:J15)</f>
        <v>1046241.8405339998</v>
      </c>
      <c r="K16" s="6" t="s">
        <v>293</v>
      </c>
      <c r="L16" s="6" t="s">
        <v>293</v>
      </c>
      <c r="M16" s="7" t="s">
        <v>293</v>
      </c>
      <c r="N16" s="1"/>
      <c r="O16" s="1"/>
    </row>
  </sheetData>
  <mergeCells count="2">
    <mergeCell ref="A1:M1"/>
    <mergeCell ref="A16:H16"/>
  </mergeCells>
  <conditionalFormatting sqref="K4:K15">
    <cfRule type="dataBar" priority="3">
      <dataBar>
        <cfvo type="min"/>
        <cfvo type="max"/>
        <color rgb="FF5B9BD5"/>
      </dataBar>
    </cfRule>
  </conditionalFormatting>
  <conditionalFormatting sqref="K4:K15">
    <cfRule type="dataBar" priority="4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{5AEC2D89-F668-5C7B-7BCB-5F02112BBD80}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AEC2D89-F668-5C7B-7BCB-5F02112BBD80}">
            <x14:dataBar>
              <x14:cfvo type="min"/>
              <x14:cfvo type="max"/>
              <x14:negativeFillColor auto="1"/>
              <x14:axisColor auto="1"/>
            </x14:dataBar>
          </x14:cfRule>
          <xm:sqref>K4:K15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6"/>
  <sheetViews>
    <sheetView workbookViewId="0"/>
  </sheetViews>
  <sheetFormatPr defaultRowHeight="13.5"/>
  <cols>
    <col min="1" max="11" width="52.5625" customWidth="1"/>
    <col min="12" max="15" width="10.5625" customWidth="1"/>
  </cols>
  <sheetData>
    <row r="1" spans="1:15" ht="20" customHeight="1">
      <c r="A1" s="39" t="s">
        <v>144</v>
      </c>
      <c r="B1" s="39"/>
      <c r="C1" s="39"/>
      <c r="D1" s="39"/>
      <c r="E1" s="39"/>
      <c r="F1" s="39"/>
      <c r="G1" s="39"/>
      <c r="H1" s="39"/>
      <c r="I1" s="39"/>
      <c r="J1" s="39"/>
      <c r="K1" s="42"/>
      <c r="L1" s="1"/>
      <c r="M1" s="1"/>
      <c r="N1" s="1"/>
      <c r="O1" s="1"/>
    </row>
    <row r="2" spans="1:15" ht="42.75">
      <c r="A2" s="3" t="s">
        <v>145</v>
      </c>
      <c r="B2" s="3" t="s">
        <v>145</v>
      </c>
      <c r="C2" s="3" t="s">
        <v>145</v>
      </c>
      <c r="D2" s="3" t="s">
        <v>145</v>
      </c>
      <c r="E2" s="3" t="s">
        <v>145</v>
      </c>
      <c r="F2" s="3" t="s">
        <v>145</v>
      </c>
      <c r="G2" s="3" t="s">
        <v>145</v>
      </c>
      <c r="H2" s="3" t="s">
        <v>145</v>
      </c>
      <c r="I2" s="3" t="s">
        <v>145</v>
      </c>
      <c r="J2" s="3" t="s">
        <v>145</v>
      </c>
      <c r="K2" s="4" t="s">
        <v>145</v>
      </c>
      <c r="L2" s="1"/>
      <c r="M2" s="1"/>
      <c r="N2" s="1"/>
      <c r="O2" s="1"/>
    </row>
    <row r="3" spans="1:15" ht="14.25">
      <c r="A3" s="2" t="s">
        <v>146</v>
      </c>
      <c r="B3" s="2" t="s">
        <v>110</v>
      </c>
      <c r="C3" s="2" t="s">
        <v>112</v>
      </c>
      <c r="D3" s="2" t="s">
        <v>115</v>
      </c>
      <c r="E3" s="2" t="s">
        <v>147</v>
      </c>
      <c r="F3" s="2" t="s">
        <v>148</v>
      </c>
      <c r="G3" s="2" t="s">
        <v>149</v>
      </c>
      <c r="H3" s="2" t="s">
        <v>150</v>
      </c>
      <c r="I3" s="2" t="s">
        <v>151</v>
      </c>
      <c r="J3" s="2" t="s">
        <v>152</v>
      </c>
      <c r="K3" s="10" t="s">
        <v>12</v>
      </c>
      <c r="L3" s="1"/>
      <c r="M3" s="1"/>
      <c r="N3" s="1"/>
      <c r="O3" s="1"/>
    </row>
    <row r="4" spans="1:15" ht="28.5">
      <c r="A4" s="3" t="s">
        <v>106</v>
      </c>
      <c r="B4" s="36">
        <f>'01_Параметры'!B14</f>
        <v>1.3</v>
      </c>
      <c r="C4" s="36">
        <f>'01_Параметры'!B15</f>
        <v>0.75</v>
      </c>
      <c r="D4" s="36">
        <f>'01_Параметры'!B16</f>
        <v>0.8</v>
      </c>
      <c r="E4" s="16">
        <f>'02_Similarweb'!I16</f>
        <v>87186.820044499997</v>
      </c>
      <c r="F4" s="16">
        <f>E4*B4*C4*D4</f>
        <v>68005.719634709996</v>
      </c>
      <c r="G4" s="16">
        <f>F4*12</f>
        <v>816068.63561651995</v>
      </c>
      <c r="H4" s="16">
        <f>G4*0.85</f>
        <v>693658.34027404198</v>
      </c>
      <c r="I4" s="16">
        <f>G4*1.15</f>
        <v>938478.93095899792</v>
      </c>
      <c r="J4" s="8" t="s">
        <v>153</v>
      </c>
      <c r="K4" s="11" t="s">
        <v>293</v>
      </c>
      <c r="L4" s="1"/>
      <c r="M4" s="1"/>
      <c r="N4" s="1"/>
      <c r="O4" s="1"/>
    </row>
    <row r="5" spans="1:15" ht="14.25">
      <c r="A5" s="3" t="s">
        <v>107</v>
      </c>
      <c r="B5" s="36">
        <f>'01_Параметры'!C14</f>
        <v>1.8180000000000001</v>
      </c>
      <c r="C5" s="36">
        <f>'01_Параметры'!C15</f>
        <v>0.9</v>
      </c>
      <c r="D5" s="36">
        <f>'01_Параметры'!C16</f>
        <v>1</v>
      </c>
      <c r="E5" s="16">
        <f>'02_Similarweb'!I16</f>
        <v>87186.820044499997</v>
      </c>
      <c r="F5" s="16">
        <f>E5*B5*C5*D5</f>
        <v>142655.07495681089</v>
      </c>
      <c r="G5" s="16">
        <f>F5*12</f>
        <v>1711860.8994817305</v>
      </c>
      <c r="H5" s="16">
        <f>G5*0.85</f>
        <v>1455081.7645594708</v>
      </c>
      <c r="I5" s="16">
        <f>G5*1.15</f>
        <v>1968640.03440399</v>
      </c>
      <c r="J5" s="8" t="s">
        <v>154</v>
      </c>
      <c r="K5" s="11" t="s">
        <v>293</v>
      </c>
      <c r="L5" s="1"/>
      <c r="M5" s="1"/>
      <c r="N5" s="1"/>
      <c r="O5" s="1"/>
    </row>
    <row r="6" spans="1:15" ht="14.25">
      <c r="A6" s="30" t="s">
        <v>108</v>
      </c>
      <c r="B6" s="37">
        <f>'01_Параметры'!D14</f>
        <v>2.5</v>
      </c>
      <c r="C6" s="37">
        <f>'01_Параметры'!D15</f>
        <v>1</v>
      </c>
      <c r="D6" s="37">
        <f>'01_Параметры'!D16</f>
        <v>1.1499999999999999</v>
      </c>
      <c r="E6" s="17">
        <f>'02_Similarweb'!I16</f>
        <v>87186.820044499997</v>
      </c>
      <c r="F6" s="17">
        <f>E6*B6*C6*D6</f>
        <v>250662.10762793748</v>
      </c>
      <c r="G6" s="17">
        <f>F6*12</f>
        <v>3007945.2915352499</v>
      </c>
      <c r="H6" s="17">
        <f>G6*0.85</f>
        <v>2556753.4978049626</v>
      </c>
      <c r="I6" s="17">
        <f>G6*1.15</f>
        <v>3459137.0852655373</v>
      </c>
      <c r="J6" s="9" t="s">
        <v>155</v>
      </c>
      <c r="K6" s="7" t="s">
        <v>293</v>
      </c>
      <c r="L6" s="1"/>
      <c r="M6" s="1"/>
      <c r="N6" s="1"/>
      <c r="O6" s="1"/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"/>
  <sheetViews>
    <sheetView workbookViewId="0"/>
  </sheetViews>
  <sheetFormatPr defaultRowHeight="13.5"/>
  <cols>
    <col min="1" max="12" width="52.5625" customWidth="1"/>
    <col min="13" max="15" width="10.5625" customWidth="1"/>
  </cols>
  <sheetData>
    <row r="1" spans="1:15" ht="20" customHeight="1">
      <c r="A1" s="39" t="s">
        <v>156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42"/>
      <c r="M1" s="1"/>
      <c r="N1" s="1"/>
      <c r="O1" s="1"/>
    </row>
    <row r="2" spans="1:15" ht="42.75">
      <c r="A2" s="3" t="s">
        <v>157</v>
      </c>
      <c r="B2" s="3" t="s">
        <v>157</v>
      </c>
      <c r="C2" s="3" t="s">
        <v>157</v>
      </c>
      <c r="D2" s="3" t="s">
        <v>157</v>
      </c>
      <c r="E2" s="3" t="s">
        <v>157</v>
      </c>
      <c r="F2" s="3" t="s">
        <v>157</v>
      </c>
      <c r="G2" s="3" t="s">
        <v>157</v>
      </c>
      <c r="H2" s="3" t="s">
        <v>157</v>
      </c>
      <c r="I2" s="3" t="s">
        <v>157</v>
      </c>
      <c r="J2" s="3" t="s">
        <v>157</v>
      </c>
      <c r="K2" s="3" t="s">
        <v>157</v>
      </c>
      <c r="L2" s="4" t="s">
        <v>157</v>
      </c>
      <c r="M2" s="1"/>
      <c r="N2" s="1"/>
      <c r="O2" s="1"/>
    </row>
    <row r="3" spans="1:15" ht="14.25">
      <c r="A3" s="2" t="s">
        <v>146</v>
      </c>
      <c r="B3" s="2" t="s">
        <v>158</v>
      </c>
      <c r="C3" s="2" t="s">
        <v>118</v>
      </c>
      <c r="D3" s="2" t="s">
        <v>121</v>
      </c>
      <c r="E3" s="2" t="s">
        <v>159</v>
      </c>
      <c r="F3" s="2" t="s">
        <v>160</v>
      </c>
      <c r="G3" s="2" t="s">
        <v>127</v>
      </c>
      <c r="H3" s="2" t="s">
        <v>161</v>
      </c>
      <c r="I3" s="2" t="s">
        <v>162</v>
      </c>
      <c r="J3" s="2" t="s">
        <v>163</v>
      </c>
      <c r="K3" s="2" t="s">
        <v>164</v>
      </c>
      <c r="L3" s="10" t="s">
        <v>12</v>
      </c>
      <c r="M3" s="1"/>
      <c r="N3" s="1"/>
      <c r="O3" s="1"/>
    </row>
    <row r="4" spans="1:15" ht="14.25">
      <c r="A4" s="3" t="s">
        <v>106</v>
      </c>
      <c r="B4" s="16">
        <f>'03_Сценарии'!G4</f>
        <v>816068.63561651995</v>
      </c>
      <c r="C4" s="20">
        <f>'01_Параметры'!B17</f>
        <v>0.02</v>
      </c>
      <c r="D4" s="20">
        <f>'01_Параметры'!B18</f>
        <v>0.03</v>
      </c>
      <c r="E4" s="16">
        <f>B4*C4*D4</f>
        <v>489.64118136991198</v>
      </c>
      <c r="F4" s="22">
        <f>'01_Параметры'!$B$7*'01_Параметры'!B19</f>
        <v>17.265497999999997</v>
      </c>
      <c r="G4" s="33">
        <f>'01_Параметры'!B20</f>
        <v>3.12</v>
      </c>
      <c r="H4" s="22">
        <f>E4*F4*G4</f>
        <v>26376.164373498737</v>
      </c>
      <c r="I4" s="20">
        <f>'01_Параметры'!B21</f>
        <v>5.0000000000000001E-3</v>
      </c>
      <c r="J4" s="22">
        <f>H4*I4</f>
        <v>131.88082186749369</v>
      </c>
      <c r="K4" s="5" t="s">
        <v>165</v>
      </c>
      <c r="L4" s="11" t="s">
        <v>293</v>
      </c>
      <c r="M4" s="1"/>
      <c r="N4" s="1"/>
      <c r="O4" s="1"/>
    </row>
    <row r="5" spans="1:15" ht="14.25">
      <c r="A5" s="3" t="s">
        <v>107</v>
      </c>
      <c r="B5" s="16">
        <f>'03_Сценарии'!G5</f>
        <v>1711860.8994817305</v>
      </c>
      <c r="C5" s="20">
        <f>'01_Параметры'!C17</f>
        <v>0.04</v>
      </c>
      <c r="D5" s="20">
        <f>'01_Параметры'!C18</f>
        <v>0.05</v>
      </c>
      <c r="E5" s="16">
        <f>B5*C5*D5</f>
        <v>3423.7217989634614</v>
      </c>
      <c r="F5" s="22">
        <f>'01_Параметры'!$B$7*'01_Параметры'!C19</f>
        <v>19.43</v>
      </c>
      <c r="G5" s="33">
        <f>'01_Параметры'!C20</f>
        <v>5.1749999999999998</v>
      </c>
      <c r="H5" s="22">
        <f>E5*F5*G5</f>
        <v>344256.08281622577</v>
      </c>
      <c r="I5" s="20">
        <f>'01_Параметры'!C21</f>
        <v>1.4999999999999999E-2</v>
      </c>
      <c r="J5" s="22">
        <f>H5*I5</f>
        <v>5163.8412422433867</v>
      </c>
      <c r="K5" s="5" t="s">
        <v>165</v>
      </c>
      <c r="L5" s="11" t="s">
        <v>293</v>
      </c>
      <c r="M5" s="1"/>
      <c r="N5" s="1"/>
      <c r="O5" s="1"/>
    </row>
    <row r="6" spans="1:15" ht="14.25">
      <c r="A6" s="3" t="s">
        <v>108</v>
      </c>
      <c r="B6" s="16">
        <f>'03_Сценарии'!G6</f>
        <v>3007945.2915352499</v>
      </c>
      <c r="C6" s="20">
        <f>'01_Параметры'!D17</f>
        <v>7.0000000000000007E-2</v>
      </c>
      <c r="D6" s="20">
        <f>'01_Параметры'!D18</f>
        <v>0.08</v>
      </c>
      <c r="E6" s="17">
        <f>B6*C6*D6</f>
        <v>16844.493632597401</v>
      </c>
      <c r="F6" s="23">
        <f>'01_Параметры'!$B$7*'01_Параметры'!D19</f>
        <v>20.286863</v>
      </c>
      <c r="G6" s="35">
        <f>'01_Параметры'!D20</f>
        <v>7.35</v>
      </c>
      <c r="H6" s="23">
        <f>E6*F6*G6</f>
        <v>2511656.2195222373</v>
      </c>
      <c r="I6" s="21">
        <f>'01_Параметры'!D21</f>
        <v>0.04</v>
      </c>
      <c r="J6" s="23">
        <f>H6*I6</f>
        <v>100466.24878088949</v>
      </c>
      <c r="K6" s="6" t="s">
        <v>165</v>
      </c>
      <c r="L6" s="7" t="s">
        <v>293</v>
      </c>
      <c r="M6" s="1"/>
      <c r="N6" s="1"/>
      <c r="O6" s="1"/>
    </row>
    <row r="7" spans="1:15" ht="14.25">
      <c r="A7" s="2" t="s">
        <v>166</v>
      </c>
      <c r="B7" s="2" t="s">
        <v>106</v>
      </c>
      <c r="C7" s="2" t="s">
        <v>107</v>
      </c>
      <c r="D7" s="10" t="s">
        <v>108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14.25">
      <c r="A8" s="3" t="s">
        <v>161</v>
      </c>
      <c r="B8" s="22">
        <f>H4</f>
        <v>26376.164373498737</v>
      </c>
      <c r="C8" s="22">
        <f>H5</f>
        <v>344256.08281622577</v>
      </c>
      <c r="D8" s="25">
        <f>H6</f>
        <v>2511656.2195222373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14.25">
      <c r="A9" s="3" t="s">
        <v>163</v>
      </c>
      <c r="B9" s="22">
        <f>J4</f>
        <v>131.88082186749369</v>
      </c>
      <c r="C9" s="22">
        <f>J5</f>
        <v>5163.8412422433867</v>
      </c>
      <c r="D9" s="25">
        <f>J6</f>
        <v>100466.24878088949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14.25">
      <c r="A10" s="30" t="s">
        <v>159</v>
      </c>
      <c r="B10" s="17">
        <f>E4</f>
        <v>489.64118136991198</v>
      </c>
      <c r="C10" s="17">
        <f>E5</f>
        <v>3423.7217989634614</v>
      </c>
      <c r="D10" s="18">
        <f>E6</f>
        <v>16844.493632597401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</sheetData>
  <mergeCells count="1">
    <mergeCell ref="A1:L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6"/>
  <sheetViews>
    <sheetView workbookViewId="0"/>
  </sheetViews>
  <sheetFormatPr defaultRowHeight="13.5"/>
  <cols>
    <col min="1" max="11" width="52.5625" customWidth="1"/>
    <col min="12" max="15" width="10.5625" customWidth="1"/>
  </cols>
  <sheetData>
    <row r="1" spans="1:15" ht="20" customHeight="1">
      <c r="A1" s="39" t="s">
        <v>294</v>
      </c>
      <c r="B1" s="39"/>
      <c r="C1" s="39"/>
      <c r="D1" s="39"/>
      <c r="E1" s="39"/>
      <c r="F1" s="39"/>
      <c r="G1" s="39"/>
      <c r="H1" s="39"/>
      <c r="I1" s="39"/>
      <c r="J1" s="39"/>
      <c r="K1" s="42"/>
      <c r="L1" s="1"/>
      <c r="M1" s="1"/>
      <c r="N1" s="1"/>
      <c r="O1" s="1"/>
    </row>
    <row r="2" spans="1:15" ht="42.75">
      <c r="A2" s="3" t="s">
        <v>295</v>
      </c>
      <c r="B2" s="3" t="s">
        <v>295</v>
      </c>
      <c r="C2" s="3" t="s">
        <v>295</v>
      </c>
      <c r="D2" s="3" t="s">
        <v>295</v>
      </c>
      <c r="E2" s="3" t="s">
        <v>295</v>
      </c>
      <c r="F2" s="3" t="s">
        <v>295</v>
      </c>
      <c r="G2" s="3" t="s">
        <v>295</v>
      </c>
      <c r="H2" s="3" t="s">
        <v>295</v>
      </c>
      <c r="I2" s="3" t="s">
        <v>295</v>
      </c>
      <c r="J2" s="3" t="s">
        <v>295</v>
      </c>
      <c r="K2" s="4" t="s">
        <v>295</v>
      </c>
      <c r="L2" s="1"/>
      <c r="M2" s="1"/>
      <c r="N2" s="1"/>
      <c r="O2" s="1"/>
    </row>
    <row r="3" spans="1:15" ht="14.25">
      <c r="A3" s="2" t="s">
        <v>146</v>
      </c>
      <c r="B3" s="2" t="s">
        <v>158</v>
      </c>
      <c r="C3" s="2" t="s">
        <v>167</v>
      </c>
      <c r="D3" s="2" t="s">
        <v>168</v>
      </c>
      <c r="E3" s="2" t="s">
        <v>169</v>
      </c>
      <c r="F3" s="2" t="s">
        <v>170</v>
      </c>
      <c r="G3" s="2" t="s">
        <v>171</v>
      </c>
      <c r="H3" s="2" t="s">
        <v>172</v>
      </c>
      <c r="I3" s="2" t="s">
        <v>173</v>
      </c>
      <c r="J3" s="2" t="s">
        <v>162</v>
      </c>
      <c r="K3" s="10" t="s">
        <v>174</v>
      </c>
      <c r="L3" s="1"/>
      <c r="M3" s="1"/>
      <c r="N3" s="1"/>
      <c r="O3" s="1"/>
    </row>
    <row r="4" spans="1:15" ht="14.25">
      <c r="A4" s="3" t="s">
        <v>106</v>
      </c>
      <c r="B4" s="16">
        <f>'03_Сценарии'!G4</f>
        <v>816068.63561651995</v>
      </c>
      <c r="C4" s="20">
        <v>0.01</v>
      </c>
      <c r="D4" s="16">
        <f>B4*C4*0.3</f>
        <v>2448.2059068495601</v>
      </c>
      <c r="E4" s="33">
        <v>1</v>
      </c>
      <c r="F4" s="22">
        <v>17.27</v>
      </c>
      <c r="G4" s="22">
        <f>D4*E4*F4</f>
        <v>42280.516011291904</v>
      </c>
      <c r="H4" s="20">
        <v>0.03</v>
      </c>
      <c r="I4" s="22">
        <f>G4*H4</f>
        <v>1268.4154803387571</v>
      </c>
      <c r="J4" s="20">
        <v>5.0000000000000001E-3</v>
      </c>
      <c r="K4" s="25">
        <f>I4*J4</f>
        <v>6.3420774016937855</v>
      </c>
      <c r="L4" s="1"/>
      <c r="M4" s="1"/>
      <c r="N4" s="1"/>
      <c r="O4" s="1"/>
    </row>
    <row r="5" spans="1:15" ht="14.25">
      <c r="A5" s="3" t="s">
        <v>107</v>
      </c>
      <c r="B5" s="16">
        <f>'03_Сценарии'!G5</f>
        <v>1711860.8994817305</v>
      </c>
      <c r="C5" s="20">
        <v>0.03</v>
      </c>
      <c r="D5" s="16">
        <f>B5*C5*0.45</f>
        <v>23110.122143003362</v>
      </c>
      <c r="E5" s="33">
        <v>2</v>
      </c>
      <c r="F5" s="22">
        <v>19.43</v>
      </c>
      <c r="G5" s="22">
        <f>D5*E5*F5</f>
        <v>898059.34647711064</v>
      </c>
      <c r="H5" s="20">
        <v>0.03</v>
      </c>
      <c r="I5" s="22">
        <f>G5*H5</f>
        <v>26941.780394313319</v>
      </c>
      <c r="J5" s="20">
        <v>1.4999999999999999E-2</v>
      </c>
      <c r="K5" s="25">
        <f>I5*J5</f>
        <v>404.12670591469976</v>
      </c>
      <c r="L5" s="1"/>
      <c r="M5" s="1"/>
      <c r="N5" s="1"/>
      <c r="O5" s="1"/>
    </row>
    <row r="6" spans="1:15" ht="14.25">
      <c r="A6" s="30" t="s">
        <v>108</v>
      </c>
      <c r="B6" s="17">
        <f>'03_Сценарии'!G6</f>
        <v>3007945.2915352499</v>
      </c>
      <c r="C6" s="21">
        <v>0.06</v>
      </c>
      <c r="D6" s="17">
        <f>B6*C6*0.6</f>
        <v>108286.03049526899</v>
      </c>
      <c r="E6" s="35">
        <v>4</v>
      </c>
      <c r="F6" s="23">
        <v>20.29</v>
      </c>
      <c r="G6" s="23">
        <f>D6*E6*F6</f>
        <v>8788494.2349960301</v>
      </c>
      <c r="H6" s="21">
        <v>0.03</v>
      </c>
      <c r="I6" s="23">
        <f>G6*H6</f>
        <v>263654.82704988087</v>
      </c>
      <c r="J6" s="21">
        <v>0.04</v>
      </c>
      <c r="K6" s="24">
        <f>I6*J6</f>
        <v>10546.193081995236</v>
      </c>
      <c r="L6" s="1"/>
      <c r="M6" s="1"/>
      <c r="N6" s="1"/>
      <c r="O6" s="1"/>
    </row>
  </sheetData>
  <mergeCells count="1">
    <mergeCell ref="A1:K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13"/>
  <sheetViews>
    <sheetView workbookViewId="0"/>
  </sheetViews>
  <sheetFormatPr defaultRowHeight="13.5"/>
  <cols>
    <col min="1" max="8" width="52.5625" customWidth="1"/>
    <col min="9" max="15" width="10.5625" customWidth="1"/>
  </cols>
  <sheetData>
    <row r="1" spans="1:15" ht="20" customHeight="1">
      <c r="A1" s="39" t="s">
        <v>175</v>
      </c>
      <c r="B1" s="39"/>
      <c r="C1" s="39"/>
      <c r="D1" s="39"/>
      <c r="E1" s="39"/>
      <c r="F1" s="39"/>
      <c r="G1" s="39"/>
      <c r="H1" s="42"/>
      <c r="I1" s="1"/>
      <c r="J1" s="1"/>
      <c r="K1" s="1"/>
      <c r="L1" s="1"/>
      <c r="M1" s="1"/>
      <c r="N1" s="1"/>
      <c r="O1" s="1"/>
    </row>
    <row r="2" spans="1:15" ht="28.5">
      <c r="A2" s="3" t="s">
        <v>296</v>
      </c>
      <c r="B2" s="3" t="s">
        <v>296</v>
      </c>
      <c r="C2" s="3" t="s">
        <v>296</v>
      </c>
      <c r="D2" s="3" t="s">
        <v>296</v>
      </c>
      <c r="E2" s="3" t="s">
        <v>296</v>
      </c>
      <c r="F2" s="30" t="s">
        <v>296</v>
      </c>
      <c r="G2" s="30" t="s">
        <v>296</v>
      </c>
      <c r="H2" s="31" t="s">
        <v>296</v>
      </c>
      <c r="I2" s="1"/>
      <c r="J2" s="1"/>
      <c r="K2" s="1"/>
      <c r="L2" s="1"/>
      <c r="M2" s="1"/>
      <c r="N2" s="1"/>
      <c r="O2" s="1"/>
    </row>
    <row r="3" spans="1:15" ht="14.25">
      <c r="A3" s="2" t="s">
        <v>176</v>
      </c>
      <c r="B3" s="2" t="s">
        <v>106</v>
      </c>
      <c r="C3" s="2" t="s">
        <v>107</v>
      </c>
      <c r="D3" s="2" t="s">
        <v>108</v>
      </c>
      <c r="E3" s="10" t="s">
        <v>12</v>
      </c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14.25">
      <c r="A4" s="3" t="s">
        <v>177</v>
      </c>
      <c r="B4" s="22">
        <f>'04_Воронка'!J4</f>
        <v>131.88082186749369</v>
      </c>
      <c r="C4" s="22">
        <f>'04_Воронка'!J5</f>
        <v>5163.8412422433867</v>
      </c>
      <c r="D4" s="22">
        <f>'04_Воронка'!J6</f>
        <v>100466.24878088949</v>
      </c>
      <c r="E4" s="4" t="s">
        <v>178</v>
      </c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14.25">
      <c r="A5" s="3" t="s">
        <v>278</v>
      </c>
      <c r="B5" s="22">
        <f>'05_Платформа'!K4</f>
        <v>6.3420774016937855</v>
      </c>
      <c r="C5" s="22">
        <f>'05_Платформа'!K5</f>
        <v>404.12670591469976</v>
      </c>
      <c r="D5" s="22">
        <f>'05_Платформа'!K6</f>
        <v>10546.193081995236</v>
      </c>
      <c r="E5" s="4" t="s">
        <v>179</v>
      </c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8.5">
      <c r="A6" s="3" t="s">
        <v>297</v>
      </c>
      <c r="B6" s="22">
        <v>103</v>
      </c>
      <c r="C6" s="22">
        <v>1930</v>
      </c>
      <c r="D6" s="22">
        <v>21370</v>
      </c>
      <c r="E6" s="4" t="s">
        <v>298</v>
      </c>
      <c r="F6" s="1"/>
      <c r="G6" s="1"/>
      <c r="H6" s="1"/>
      <c r="I6" s="1"/>
      <c r="J6" s="1"/>
      <c r="K6" s="1"/>
      <c r="L6" s="1"/>
      <c r="M6" s="1"/>
      <c r="N6" s="1"/>
      <c r="O6" s="1"/>
    </row>
    <row r="7" spans="1:15" ht="14.25">
      <c r="A7" s="3" t="s">
        <v>299</v>
      </c>
      <c r="B7" s="22">
        <v>5040</v>
      </c>
      <c r="C7" s="22">
        <v>45504</v>
      </c>
      <c r="D7" s="22">
        <v>219978</v>
      </c>
      <c r="E7" s="4" t="s">
        <v>300</v>
      </c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14.25">
      <c r="A8" s="3" t="s">
        <v>301</v>
      </c>
      <c r="B8" s="22">
        <v>10501</v>
      </c>
      <c r="C8" s="22">
        <v>45504</v>
      </c>
      <c r="D8" s="22">
        <v>147013</v>
      </c>
      <c r="E8" s="27" t="s">
        <v>302</v>
      </c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14.25">
      <c r="A9" s="2" t="s">
        <v>180</v>
      </c>
      <c r="B9" s="26" t="s">
        <v>106</v>
      </c>
      <c r="C9" s="26" t="s">
        <v>107</v>
      </c>
      <c r="D9" s="26" t="s">
        <v>108</v>
      </c>
      <c r="E9" s="27" t="s">
        <v>152</v>
      </c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14.25">
      <c r="A10" s="8" t="s">
        <v>181</v>
      </c>
      <c r="B10" s="22">
        <f>MIN(B4,B6:B8)</f>
        <v>103</v>
      </c>
      <c r="C10" s="22">
        <f>MIN(C4,C6:C8)</f>
        <v>1930</v>
      </c>
      <c r="D10" s="22">
        <f>MIN(D4,D6:D8)</f>
        <v>21370</v>
      </c>
      <c r="E10" s="4" t="s">
        <v>182</v>
      </c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14.25">
      <c r="A11" s="8" t="s">
        <v>183</v>
      </c>
      <c r="B11" s="22">
        <f>AVERAGE(B4,B6:B8)</f>
        <v>3943.9702054668733</v>
      </c>
      <c r="C11" s="22">
        <f>AVERAGE(C4,C6:C8)</f>
        <v>24525.460310560848</v>
      </c>
      <c r="D11" s="22">
        <f>AVERAGE(D4,D6:D8)</f>
        <v>122206.81219522237</v>
      </c>
      <c r="E11" s="4" t="s">
        <v>184</v>
      </c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14.25">
      <c r="A12" s="8" t="s">
        <v>185</v>
      </c>
      <c r="B12" s="22">
        <f>MAX(B4,B6:B8)</f>
        <v>10501</v>
      </c>
      <c r="C12" s="22">
        <f>MAX(C4,C6:C8)</f>
        <v>45504</v>
      </c>
      <c r="D12" s="22">
        <f>MAX(D4,D6:D8)</f>
        <v>219978</v>
      </c>
      <c r="E12" s="4" t="s">
        <v>186</v>
      </c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14.25">
      <c r="A13" s="9" t="s">
        <v>187</v>
      </c>
      <c r="B13" s="14" t="str">
        <f>B10&amp;" – "&amp;B12</f>
        <v>103 – 10501</v>
      </c>
      <c r="C13" s="14" t="str">
        <f>C10&amp;" – "&amp;C12</f>
        <v>1930 – 45504</v>
      </c>
      <c r="D13" s="14" t="str">
        <f>D10&amp;" – "&amp;D12</f>
        <v>21370 – 219978</v>
      </c>
      <c r="E13" s="31" t="s">
        <v>188</v>
      </c>
      <c r="F13" s="1"/>
      <c r="G13" s="1"/>
      <c r="H13" s="1"/>
      <c r="I13" s="1"/>
      <c r="J13" s="1"/>
      <c r="K13" s="1"/>
      <c r="L13" s="1"/>
      <c r="M13" s="1"/>
      <c r="N13" s="1"/>
      <c r="O13" s="1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11"/>
  <sheetViews>
    <sheetView workbookViewId="0"/>
  </sheetViews>
  <sheetFormatPr defaultRowHeight="13.5"/>
  <cols>
    <col min="1" max="1" width="35.0625" customWidth="1"/>
    <col min="2" max="2" width="46.625" customWidth="1"/>
    <col min="3" max="3" width="10.5625" customWidth="1"/>
    <col min="4" max="4" width="26.6875" customWidth="1"/>
    <col min="5" max="5" width="15.125" customWidth="1"/>
    <col min="6" max="6" width="16.1875" customWidth="1"/>
    <col min="7" max="7" width="18.25" customWidth="1"/>
    <col min="8" max="8" width="34" customWidth="1"/>
    <col min="9" max="15" width="10.5625" customWidth="1"/>
  </cols>
  <sheetData>
    <row r="1" spans="1:15" ht="20" customHeight="1">
      <c r="A1" s="39" t="s">
        <v>189</v>
      </c>
      <c r="B1" s="39"/>
      <c r="C1" s="40"/>
      <c r="D1" s="39"/>
      <c r="E1" s="39"/>
      <c r="F1" s="39"/>
      <c r="G1" s="39"/>
      <c r="H1" s="42"/>
      <c r="I1" s="1"/>
      <c r="J1" s="1"/>
      <c r="K1" s="1"/>
      <c r="L1" s="1"/>
      <c r="M1" s="1"/>
      <c r="N1" s="1"/>
      <c r="O1" s="1"/>
    </row>
    <row r="2" spans="1:15" ht="14.25">
      <c r="A2" s="2" t="s">
        <v>190</v>
      </c>
      <c r="B2" s="10" t="s">
        <v>67</v>
      </c>
      <c r="C2" s="1"/>
      <c r="D2" s="44" t="s">
        <v>191</v>
      </c>
      <c r="E2" s="44"/>
      <c r="F2" s="44"/>
      <c r="G2" s="44"/>
      <c r="H2" s="45"/>
      <c r="I2" s="1"/>
      <c r="J2" s="1"/>
      <c r="K2" s="1"/>
      <c r="L2" s="1"/>
      <c r="M2" s="1"/>
      <c r="N2" s="1"/>
      <c r="O2" s="1"/>
    </row>
    <row r="3" spans="1:15" ht="14.25">
      <c r="A3" s="13" t="s">
        <v>192</v>
      </c>
      <c r="B3" s="4" t="str">
        <f>'01_Параметры'!B3</f>
        <v>TableMind - онлайн-проверка Excel-моделей</v>
      </c>
      <c r="C3" s="1"/>
      <c r="D3" s="2" t="s">
        <v>190</v>
      </c>
      <c r="E3" s="2" t="s">
        <v>106</v>
      </c>
      <c r="F3" s="2" t="s">
        <v>107</v>
      </c>
      <c r="G3" s="2" t="s">
        <v>108</v>
      </c>
      <c r="H3" s="10" t="s">
        <v>12</v>
      </c>
      <c r="I3" s="1"/>
      <c r="J3" s="1"/>
      <c r="K3" s="1"/>
      <c r="L3" s="1"/>
      <c r="M3" s="1"/>
      <c r="N3" s="1"/>
      <c r="O3" s="1"/>
    </row>
    <row r="4" spans="1:15" ht="14.25">
      <c r="A4" s="13" t="s">
        <v>193</v>
      </c>
      <c r="B4" s="27" t="str">
        <f>'01_Параметры'!B4</f>
        <v>Англоязычные страны и ЕС-27</v>
      </c>
      <c r="C4" s="1"/>
      <c r="D4" s="3" t="s">
        <v>194</v>
      </c>
      <c r="E4" s="16">
        <f>'03_Сценарии'!G4</f>
        <v>816068.63561651995</v>
      </c>
      <c r="F4" s="16">
        <f>'03_Сценарии'!G5</f>
        <v>1711860.8994817305</v>
      </c>
      <c r="G4" s="16">
        <f>'03_Сценарии'!G6</f>
        <v>3007945.2915352499</v>
      </c>
      <c r="H4" s="27" t="s">
        <v>195</v>
      </c>
      <c r="I4" s="1"/>
      <c r="J4" s="1"/>
      <c r="K4" s="1"/>
      <c r="L4" s="1"/>
      <c r="M4" s="1"/>
      <c r="N4" s="1"/>
      <c r="O4" s="1"/>
    </row>
    <row r="5" spans="1:15" ht="14.25">
      <c r="A5" s="13" t="s">
        <v>196</v>
      </c>
      <c r="B5" s="28">
        <f>'03_Сценарии'!G5</f>
        <v>1711860.8994817305</v>
      </c>
      <c r="C5" s="1"/>
      <c r="D5" s="3" t="s">
        <v>161</v>
      </c>
      <c r="E5" s="22">
        <f>'04_Воронка'!H4</f>
        <v>26376.164373498737</v>
      </c>
      <c r="F5" s="22">
        <f>'04_Воронка'!H5</f>
        <v>344256.08281622577</v>
      </c>
      <c r="G5" s="22">
        <f>'04_Воронка'!H6</f>
        <v>2511656.2195222373</v>
      </c>
      <c r="H5" s="4" t="s">
        <v>197</v>
      </c>
      <c r="I5" s="1"/>
      <c r="J5" s="1"/>
      <c r="K5" s="1"/>
      <c r="L5" s="1"/>
      <c r="M5" s="1"/>
      <c r="N5" s="1"/>
      <c r="O5" s="1"/>
    </row>
    <row r="6" spans="1:15" ht="14.25">
      <c r="A6" s="13" t="s">
        <v>198</v>
      </c>
      <c r="B6" s="25">
        <f>'04_Воронка'!H5</f>
        <v>344256.08281622577</v>
      </c>
      <c r="C6" s="1"/>
      <c r="D6" s="3" t="s">
        <v>163</v>
      </c>
      <c r="E6" s="22">
        <f>'04_Воронка'!J4</f>
        <v>131.88082186749369</v>
      </c>
      <c r="F6" s="22">
        <f>'04_Воронка'!J5</f>
        <v>5163.8412422433867</v>
      </c>
      <c r="G6" s="22">
        <f>'04_Воронка'!J6</f>
        <v>100466.24878088949</v>
      </c>
      <c r="H6" s="27" t="s">
        <v>199</v>
      </c>
      <c r="I6" s="1"/>
      <c r="J6" s="1"/>
      <c r="K6" s="1"/>
      <c r="L6" s="1"/>
      <c r="M6" s="1"/>
      <c r="N6" s="1"/>
      <c r="O6" s="1"/>
    </row>
    <row r="7" spans="1:15" ht="14.25">
      <c r="A7" s="3" t="s">
        <v>200</v>
      </c>
      <c r="B7" s="25">
        <f>'04_Воронка'!J5</f>
        <v>5163.8412422433867</v>
      </c>
      <c r="C7" s="1"/>
      <c r="D7" s="3" t="s">
        <v>201</v>
      </c>
      <c r="E7" s="22">
        <f>'05_Платформа'!G4</f>
        <v>42280.516011291904</v>
      </c>
      <c r="F7" s="22">
        <f>'05_Платформа'!G5</f>
        <v>898059.34647711064</v>
      </c>
      <c r="G7" s="22">
        <f>'05_Платформа'!G6</f>
        <v>8788494.2349960301</v>
      </c>
      <c r="H7" s="27" t="s">
        <v>202</v>
      </c>
      <c r="I7" s="1"/>
      <c r="J7" s="1"/>
      <c r="K7" s="1"/>
      <c r="L7" s="1"/>
      <c r="M7" s="1"/>
      <c r="N7" s="1"/>
      <c r="O7" s="1"/>
    </row>
    <row r="8" spans="1:15" ht="14.25">
      <c r="A8" s="3" t="s">
        <v>203</v>
      </c>
      <c r="B8" s="25">
        <f>'05_Платформа'!I5</f>
        <v>26941.780394313319</v>
      </c>
      <c r="C8" s="1"/>
      <c r="D8" s="30" t="s">
        <v>173</v>
      </c>
      <c r="E8" s="23">
        <f>'05_Платформа'!I4</f>
        <v>1268.4154803387571</v>
      </c>
      <c r="F8" s="23">
        <f>'05_Платформа'!I5</f>
        <v>26941.780394313319</v>
      </c>
      <c r="G8" s="23">
        <f>'05_Платформа'!I6</f>
        <v>263654.82704988087</v>
      </c>
      <c r="H8" s="15" t="s">
        <v>204</v>
      </c>
      <c r="I8" s="1"/>
      <c r="J8" s="1"/>
      <c r="K8" s="1"/>
      <c r="L8" s="1"/>
      <c r="M8" s="1"/>
      <c r="N8" s="1"/>
      <c r="O8" s="1"/>
    </row>
    <row r="9" spans="1:15" ht="14.25">
      <c r="A9" s="13" t="s">
        <v>205</v>
      </c>
      <c r="B9" s="25">
        <f>'06_Сверка'!C11</f>
        <v>24525.460310560848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0" customHeight="1">
      <c r="A10" s="46" t="s">
        <v>303</v>
      </c>
      <c r="B10" s="46"/>
      <c r="C10" s="46"/>
      <c r="D10" s="46"/>
      <c r="E10" s="46"/>
      <c r="F10" s="46"/>
      <c r="G10" s="46"/>
      <c r="H10" s="47"/>
      <c r="I10" s="1"/>
      <c r="J10" s="1"/>
      <c r="K10" s="1"/>
      <c r="L10" s="1"/>
      <c r="M10" s="1"/>
      <c r="N10" s="1"/>
      <c r="O10" s="1"/>
    </row>
    <row r="11" spans="1:15" ht="52.05" customHeight="1">
      <c r="A11" s="48" t="s">
        <v>304</v>
      </c>
      <c r="B11" s="48"/>
      <c r="C11" s="48"/>
      <c r="D11" s="48"/>
      <c r="E11" s="48"/>
      <c r="F11" s="48"/>
      <c r="G11" s="48"/>
      <c r="H11" s="49"/>
      <c r="I11" s="1"/>
      <c r="J11" s="1"/>
      <c r="K11" s="1"/>
      <c r="L11" s="1"/>
      <c r="M11" s="1"/>
      <c r="N11" s="1"/>
      <c r="O11" s="1"/>
    </row>
  </sheetData>
  <mergeCells count="4">
    <mergeCell ref="A1:H1"/>
    <mergeCell ref="D2:H2"/>
    <mergeCell ref="A10:H10"/>
    <mergeCell ref="A11:H1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7"/>
  <sheetViews>
    <sheetView workbookViewId="0"/>
  </sheetViews>
  <sheetFormatPr defaultRowHeight="13.5"/>
  <cols>
    <col min="1" max="1" width="10.5625" customWidth="1"/>
    <col min="2" max="2" width="39.25" customWidth="1"/>
    <col min="3" max="4" width="52.5625" customWidth="1"/>
    <col min="5" max="5" width="18.25" customWidth="1"/>
    <col min="6" max="6" width="29.8125" customWidth="1"/>
    <col min="7" max="7" width="52.5625" customWidth="1"/>
    <col min="8" max="15" width="10.5625" customWidth="1"/>
  </cols>
  <sheetData>
    <row r="1" spans="1:15" ht="20" customHeight="1">
      <c r="A1" s="39" t="s">
        <v>206</v>
      </c>
      <c r="B1" s="39"/>
      <c r="C1" s="39"/>
      <c r="D1" s="39"/>
      <c r="E1" s="39"/>
      <c r="F1" s="39"/>
      <c r="G1" s="42"/>
      <c r="H1" s="1"/>
      <c r="I1" s="1"/>
      <c r="J1" s="1"/>
      <c r="K1" s="1"/>
      <c r="L1" s="1"/>
      <c r="M1" s="1"/>
      <c r="N1" s="1"/>
      <c r="O1" s="1"/>
    </row>
    <row r="2" spans="1:15" ht="14.25">
      <c r="A2" s="2" t="s">
        <v>133</v>
      </c>
      <c r="B2" s="2" t="s">
        <v>207</v>
      </c>
      <c r="C2" s="2" t="s">
        <v>208</v>
      </c>
      <c r="D2" s="2" t="s">
        <v>209</v>
      </c>
      <c r="E2" s="2" t="s">
        <v>210</v>
      </c>
      <c r="F2" s="2" t="s">
        <v>211</v>
      </c>
      <c r="G2" s="10" t="s">
        <v>212</v>
      </c>
      <c r="H2" s="1"/>
      <c r="I2" s="1"/>
      <c r="J2" s="1"/>
      <c r="K2" s="1"/>
      <c r="L2" s="1"/>
      <c r="M2" s="1"/>
      <c r="N2" s="1"/>
      <c r="O2" s="1"/>
    </row>
    <row r="3" spans="1:15" ht="28.5">
      <c r="A3" s="5">
        <v>1</v>
      </c>
      <c r="B3" s="8" t="s">
        <v>213</v>
      </c>
      <c r="C3" s="8" t="s">
        <v>214</v>
      </c>
      <c r="D3" s="8" t="s">
        <v>215</v>
      </c>
      <c r="E3" s="29">
        <v>46298</v>
      </c>
      <c r="F3" s="5" t="s">
        <v>216</v>
      </c>
      <c r="G3" s="12" t="s">
        <v>217</v>
      </c>
      <c r="H3" s="1"/>
      <c r="I3" s="1"/>
      <c r="J3" s="1"/>
      <c r="K3" s="1"/>
      <c r="L3" s="1"/>
      <c r="M3" s="1"/>
      <c r="N3" s="1"/>
      <c r="O3" s="1"/>
    </row>
    <row r="4" spans="1:15" ht="28.5">
      <c r="A4" s="5">
        <v>2</v>
      </c>
      <c r="B4" s="5" t="s">
        <v>218</v>
      </c>
      <c r="C4" s="8" t="s">
        <v>219</v>
      </c>
      <c r="D4" s="8" t="s">
        <v>220</v>
      </c>
      <c r="E4" s="29">
        <v>46298</v>
      </c>
      <c r="F4" s="5" t="s">
        <v>221</v>
      </c>
      <c r="G4" s="12" t="s">
        <v>222</v>
      </c>
      <c r="H4" s="1"/>
      <c r="I4" s="1"/>
      <c r="J4" s="1"/>
      <c r="K4" s="1"/>
      <c r="L4" s="1"/>
      <c r="M4" s="1"/>
      <c r="N4" s="1"/>
      <c r="O4" s="1"/>
    </row>
    <row r="5" spans="1:15" ht="28.5">
      <c r="A5" s="5">
        <v>3</v>
      </c>
      <c r="B5" s="5" t="s">
        <v>223</v>
      </c>
      <c r="C5" s="8" t="s">
        <v>224</v>
      </c>
      <c r="D5" s="8" t="s">
        <v>225</v>
      </c>
      <c r="E5" s="29">
        <v>46298</v>
      </c>
      <c r="F5" s="5" t="s">
        <v>226</v>
      </c>
      <c r="G5" s="12" t="s">
        <v>227</v>
      </c>
      <c r="H5" s="1"/>
      <c r="I5" s="1"/>
      <c r="J5" s="1"/>
      <c r="K5" s="1"/>
      <c r="L5" s="1"/>
      <c r="M5" s="1"/>
      <c r="N5" s="1"/>
      <c r="O5" s="1"/>
    </row>
    <row r="6" spans="1:15" ht="14.25">
      <c r="A6" s="5">
        <v>4</v>
      </c>
      <c r="B6" s="5" t="s">
        <v>228</v>
      </c>
      <c r="C6" s="5" t="s">
        <v>309</v>
      </c>
      <c r="D6" s="8" t="s">
        <v>229</v>
      </c>
      <c r="E6" s="29">
        <v>46298</v>
      </c>
      <c r="F6" s="5" t="s">
        <v>230</v>
      </c>
      <c r="G6" s="12" t="s">
        <v>311</v>
      </c>
      <c r="H6" s="1"/>
      <c r="I6" s="1"/>
      <c r="J6" s="1"/>
      <c r="K6" s="1"/>
      <c r="L6" s="1"/>
      <c r="M6" s="1"/>
      <c r="N6" s="1"/>
      <c r="O6" s="1"/>
    </row>
    <row r="7" spans="1:15" ht="14.25">
      <c r="A7" s="6">
        <v>5</v>
      </c>
      <c r="B7" s="9" t="s">
        <v>231</v>
      </c>
      <c r="C7" s="6" t="s">
        <v>309</v>
      </c>
      <c r="D7" s="9" t="s">
        <v>232</v>
      </c>
      <c r="E7" s="38">
        <v>46298</v>
      </c>
      <c r="F7" s="6" t="s">
        <v>233</v>
      </c>
      <c r="G7" s="32" t="s">
        <v>234</v>
      </c>
      <c r="H7" s="1"/>
      <c r="I7" s="1"/>
      <c r="J7" s="1"/>
      <c r="K7" s="1"/>
      <c r="L7" s="1"/>
      <c r="M7" s="1"/>
      <c r="N7" s="1"/>
      <c r="O7" s="1"/>
    </row>
  </sheetData>
  <mergeCells count="1">
    <mergeCell ref="A1:G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02_Similarweb</vt:lpstr>
      <vt:lpstr>03_Сценарии</vt:lpstr>
      <vt:lpstr>04_Воронка</vt:lpstr>
      <vt:lpstr>05_Платформа</vt:lpstr>
      <vt:lpstr>06_Сверка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Р. В. Земляник</cp:lastModifiedBy>
  <dcterms:modified xsi:type="dcterms:W3CDTF">2026-10-06T21:30:10Z</dcterms:modified>
</cp:coreProperties>
</file>