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E91D17C2-7E8B-46C4-A91D-9BF856A51948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мантика" sheetId="3" r:id="rId3"/>
    <sheet name="03_Google_Trends" sheetId="4" r:id="rId4"/>
    <sheet name="04_Wordstat" sheetId="5" r:id="rId5"/>
    <sheet name="05_Нормализация" sheetId="6" r:id="rId6"/>
    <sheet name="06_Воронка" sheetId="7" r:id="rId7"/>
    <sheet name="07_Сценарии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" i="8" l="1"/>
  <c r="E5" i="8"/>
  <c r="E4" i="8"/>
  <c r="A15" i="6"/>
  <c r="A14" i="6"/>
  <c r="A13" i="6"/>
  <c r="A12" i="6"/>
  <c r="A11" i="6"/>
  <c r="A10" i="6"/>
  <c r="A9" i="6"/>
  <c r="A8" i="6"/>
  <c r="A7" i="6"/>
  <c r="B6" i="6"/>
  <c r="A6" i="6"/>
  <c r="A5" i="6"/>
  <c r="A4" i="6"/>
  <c r="F15" i="5"/>
  <c r="H15" i="5" s="1"/>
  <c r="D15" i="6" s="1"/>
  <c r="F14" i="5"/>
  <c r="H14" i="5" s="1"/>
  <c r="D14" i="6" s="1"/>
  <c r="F13" i="5"/>
  <c r="H13" i="5" s="1"/>
  <c r="D13" i="6" s="1"/>
  <c r="F12" i="5"/>
  <c r="H12" i="5" s="1"/>
  <c r="D12" i="6" s="1"/>
  <c r="F11" i="5"/>
  <c r="H11" i="5" s="1"/>
  <c r="D11" i="6" s="1"/>
  <c r="F10" i="5"/>
  <c r="H10" i="5" s="1"/>
  <c r="D10" i="6" s="1"/>
  <c r="F9" i="5"/>
  <c r="H9" i="5" s="1"/>
  <c r="D9" i="6" s="1"/>
  <c r="F8" i="5"/>
  <c r="H8" i="5" s="1"/>
  <c r="D8" i="6" s="1"/>
  <c r="F7" i="5"/>
  <c r="H7" i="5" s="1"/>
  <c r="D7" i="6" s="1"/>
  <c r="F6" i="5"/>
  <c r="H6" i="5" s="1"/>
  <c r="D6" i="6" s="1"/>
  <c r="F5" i="5"/>
  <c r="H5" i="5" s="1"/>
  <c r="D5" i="6" s="1"/>
  <c r="F4" i="5"/>
  <c r="H4" i="5" s="1"/>
  <c r="F15" i="4"/>
  <c r="B15" i="6" s="1"/>
  <c r="F14" i="4"/>
  <c r="B14" i="6" s="1"/>
  <c r="F13" i="4"/>
  <c r="B13" i="6" s="1"/>
  <c r="F12" i="4"/>
  <c r="B12" i="6" s="1"/>
  <c r="F11" i="4"/>
  <c r="B11" i="6" s="1"/>
  <c r="F10" i="4"/>
  <c r="B10" i="6" s="1"/>
  <c r="F9" i="4"/>
  <c r="B9" i="6" s="1"/>
  <c r="F8" i="4"/>
  <c r="B8" i="6" s="1"/>
  <c r="F7" i="4"/>
  <c r="B7" i="6" s="1"/>
  <c r="F6" i="4"/>
  <c r="F5" i="4"/>
  <c r="B5" i="6" s="1"/>
  <c r="F4" i="4"/>
  <c r="B4" i="6" s="1"/>
  <c r="J13" i="3"/>
  <c r="J12" i="3"/>
  <c r="J11" i="3"/>
  <c r="J10" i="3"/>
  <c r="J9" i="3"/>
  <c r="J8" i="3"/>
  <c r="J7" i="3"/>
  <c r="J6" i="3"/>
  <c r="J5" i="3"/>
  <c r="J4" i="3"/>
  <c r="C15" i="6" l="1"/>
  <c r="C6" i="6"/>
  <c r="C8" i="6"/>
  <c r="B6" i="9"/>
  <c r="D4" i="7"/>
  <c r="D6" i="7" s="1"/>
  <c r="C4" i="7"/>
  <c r="C6" i="7" s="1"/>
  <c r="D4" i="6"/>
  <c r="B4" i="7"/>
  <c r="B6" i="7" s="1"/>
  <c r="C13" i="6"/>
  <c r="C9" i="6"/>
  <c r="C14" i="6"/>
  <c r="C4" i="6"/>
  <c r="C7" i="6"/>
  <c r="C12" i="6"/>
  <c r="C10" i="6"/>
  <c r="C11" i="6"/>
  <c r="C5" i="6"/>
  <c r="E10" i="6" l="1"/>
  <c r="F10" i="6" s="1"/>
  <c r="G10" i="6" s="1"/>
  <c r="E5" i="6"/>
  <c r="F5" i="6" s="1"/>
  <c r="G5" i="6" s="1"/>
  <c r="E12" i="6"/>
  <c r="F12" i="6" s="1"/>
  <c r="G12" i="6" s="1"/>
  <c r="E7" i="6"/>
  <c r="F7" i="6" s="1"/>
  <c r="G7" i="6" s="1"/>
  <c r="E11" i="6"/>
  <c r="F11" i="6" s="1"/>
  <c r="G11" i="6" s="1"/>
  <c r="E13" i="6"/>
  <c r="F13" i="6" s="1"/>
  <c r="G13" i="6" s="1"/>
  <c r="E6" i="6"/>
  <c r="F6" i="6" s="1"/>
  <c r="G6" i="6" s="1"/>
  <c r="E14" i="6"/>
  <c r="F14" i="6" s="1"/>
  <c r="G14" i="6" s="1"/>
  <c r="E15" i="6"/>
  <c r="F15" i="6" s="1"/>
  <c r="G15" i="6" s="1"/>
  <c r="E8" i="6"/>
  <c r="F8" i="6" s="1"/>
  <c r="G8" i="6" s="1"/>
  <c r="E9" i="6"/>
  <c r="F9" i="6" s="1"/>
  <c r="G9" i="6" s="1"/>
  <c r="E4" i="6"/>
  <c r="F4" i="6" s="1"/>
  <c r="B8" i="7"/>
  <c r="B4" i="8"/>
  <c r="C8" i="7"/>
  <c r="B5" i="8"/>
  <c r="B6" i="8"/>
  <c r="D8" i="7"/>
  <c r="B5" i="9" l="1"/>
  <c r="B4" i="9"/>
  <c r="B10" i="9" s="1"/>
  <c r="G4" i="6"/>
  <c r="D10" i="7"/>
  <c r="C6" i="8"/>
  <c r="C10" i="7"/>
  <c r="C5" i="8"/>
  <c r="B10" i="7"/>
  <c r="C4" i="8"/>
  <c r="D4" i="8" l="1"/>
  <c r="B13" i="7"/>
  <c r="D5" i="8"/>
  <c r="C13" i="7"/>
  <c r="D13" i="7"/>
  <c r="D6" i="8"/>
  <c r="B7" i="9" l="1"/>
  <c r="F5" i="8"/>
  <c r="C14" i="7"/>
  <c r="F6" i="8"/>
  <c r="D14" i="7"/>
  <c r="G6" i="8" s="1"/>
  <c r="F4" i="8"/>
  <c r="B14" i="7"/>
  <c r="B9" i="9" l="1"/>
  <c r="G4" i="8"/>
  <c r="B8" i="9"/>
  <c r="G5" i="8"/>
</calcChain>
</file>

<file path=xl/sharedStrings.xml><?xml version="1.0" encoding="utf-8"?>
<sst xmlns="http://schemas.openxmlformats.org/spreadsheetml/2006/main" count="237" uniqueCount="184">
  <si>
    <t>Excel-шаблон: оценка объема рынка через поисковый спрос</t>
  </si>
  <si>
    <t>Назначение</t>
  </si>
  <si>
    <t>Шаблон переводит поисковый спрос в оценку потенциальных переходов, заявок, продаж и денежного объема рынка.</t>
  </si>
  <si>
    <t>Логика</t>
  </si>
  <si>
    <t>Семантическое ядро → частотность и индекс интереса → нормализация → цифровая воронка → сценарный диапазон рынка.</t>
  </si>
  <si>
    <t>Ключевое ограничение</t>
  </si>
  <si>
    <t>Поисковый спрос не равен фактическому объему рынка. Расчет показывает ориентир, который нужно проверять через конкурентов, статистику, платформы и реальные продажи.</t>
  </si>
  <si>
    <t>Источники данных</t>
  </si>
  <si>
    <t>Google Trends, Яндекс Вордстат, рекламные кабинеты, данные сайта, CRM, экспертные оценки среднего чека и конверсий.</t>
  </si>
  <si>
    <t>Как работать</t>
  </si>
  <si>
    <t>Заполните листы 01–04, проверьте расчет на листах 05–07 и используйте лист 08 для итогового вывода.</t>
  </si>
  <si>
    <t>Порядок заполнения</t>
  </si>
  <si>
    <t>№</t>
  </si>
  <si>
    <t>Действие</t>
  </si>
  <si>
    <t>Лист</t>
  </si>
  <si>
    <t>Заполнить параметры рынка и конверсий</t>
  </si>
  <si>
    <t>01_Параметры</t>
  </si>
  <si>
    <t>Внести запросы, группы и намерения аудитории</t>
  </si>
  <si>
    <t>02_Семантика</t>
  </si>
  <si>
    <t>Внести выгрузку Google Trends по месяцам</t>
  </si>
  <si>
    <t>03_Google_Trends</t>
  </si>
  <si>
    <t>Внести данные Яндекс Вордстат по частотности</t>
  </si>
  <si>
    <t>04_Wordstat</t>
  </si>
  <si>
    <t>Проверить нормализацию и сводный индекс</t>
  </si>
  <si>
    <t>05_Нормализация</t>
  </si>
  <si>
    <t>Рассчитать цифровую воронку</t>
  </si>
  <si>
    <t>06_Воронка</t>
  </si>
  <si>
    <t>Сравнить осторожный, базовый и оптимистичный сценарии</t>
  </si>
  <si>
    <t>07_Сценарии</t>
  </si>
  <si>
    <t>Сформулировать итоговый вывод</t>
  </si>
  <si>
    <t>08_Дашборд</t>
  </si>
  <si>
    <t>Исходные параметры и допущения</t>
  </si>
  <si>
    <t>Параметр</t>
  </si>
  <si>
    <t>Значение</t>
  </si>
  <si>
    <t>Единица</t>
  </si>
  <si>
    <t>Комментарий</t>
  </si>
  <si>
    <t>Регион анализа</t>
  </si>
  <si>
    <t>текст</t>
  </si>
  <si>
    <t>Можно заменить на страну, область или город.</t>
  </si>
  <si>
    <t>Период анализа</t>
  </si>
  <si>
    <t>Желательно использовать одинаковый период во всех источниках.</t>
  </si>
  <si>
    <t>Средний чек</t>
  </si>
  <si>
    <t>Доля переходов из поиска</t>
  </si>
  <si>
    <t>доля</t>
  </si>
  <si>
    <t>Оценка кликабельности по коммерческим запросам.</t>
  </si>
  <si>
    <t>Конверсия посетитель → заявка</t>
  </si>
  <si>
    <t>Доля посетителей, оставляющих заявку.</t>
  </si>
  <si>
    <t>Конверсия заявка → продажа</t>
  </si>
  <si>
    <t>Доля заявок, переходящих в оплату.</t>
  </si>
  <si>
    <t>Коэффициент учета повторных покупок</t>
  </si>
  <si>
    <t>раз</t>
  </si>
  <si>
    <t>Вес Google Trends в сводном индексе</t>
  </si>
  <si>
    <t>Вес Яндекс Вордстат в сводном индексе</t>
  </si>
  <si>
    <t>Сумма весов Google Trends и Вордстат должна быть равна 1.</t>
  </si>
  <si>
    <t>Минимальная коммерческая близость</t>
  </si>
  <si>
    <t>Запросы ниже порога требуют осторожной интерпретации.</t>
  </si>
  <si>
    <t>Семантическое ядро и коммерческая близость запросов</t>
  </si>
  <si>
    <t>Запрос</t>
  </si>
  <si>
    <t>Группа</t>
  </si>
  <si>
    <t>Намерение</t>
  </si>
  <si>
    <t>Регион</t>
  </si>
  <si>
    <t>Частотность Wordstat / мес.</t>
  </si>
  <si>
    <t>Вес релевантности</t>
  </si>
  <si>
    <t>Коммерческая близость</t>
  </si>
  <si>
    <t>Взвешенный спрос</t>
  </si>
  <si>
    <t>Проблемный спрос</t>
  </si>
  <si>
    <t>проблемное</t>
  </si>
  <si>
    <t>Инструментальный спрос</t>
  </si>
  <si>
    <t>Данные Google Trends: месячный индекс интереса</t>
  </si>
  <si>
    <t>Месяц</t>
  </si>
  <si>
    <t>Средний индекс GT</t>
  </si>
  <si>
    <t>Данные Яндекс Вордстат: частотность запросов</t>
  </si>
  <si>
    <t>Суммарная частотность</t>
  </si>
  <si>
    <t>Взвешенная частотность</t>
  </si>
  <si>
    <t>Нормализация данных и сводный индекс поискового спроса</t>
  </si>
  <si>
    <t>Нормированный GT</t>
  </si>
  <si>
    <t>Взвешенная частотность WS</t>
  </si>
  <si>
    <t>Нормированный WS</t>
  </si>
  <si>
    <t>Сводный индекс спроса</t>
  </si>
  <si>
    <t>Оценка уровня</t>
  </si>
  <si>
    <t>Цифровая воронка: перевод поискового спроса в продажи и выручку</t>
  </si>
  <si>
    <t>Показатель</t>
  </si>
  <si>
    <t>Осторожный</t>
  </si>
  <si>
    <t>Базовый</t>
  </si>
  <si>
    <t>Оптимистичный</t>
  </si>
  <si>
    <t>Взвешенный поисковый спрос / мес.</t>
  </si>
  <si>
    <t>Берется из листа 04_Wordstat как среднее значение.</t>
  </si>
  <si>
    <t>CTR или доля пользователей, перешедших на сайт / страницу.</t>
  </si>
  <si>
    <t>Посещения / мес.</t>
  </si>
  <si>
    <t>Поисковый спрос × доля переходов.</t>
  </si>
  <si>
    <t>Зависит от качества предложения и сайта.</t>
  </si>
  <si>
    <t>Заявки / мес.</t>
  </si>
  <si>
    <t>Посещения × конверсия в заявку.</t>
  </si>
  <si>
    <t>Доля заявок, закончившихся оплатой.</t>
  </si>
  <si>
    <t>Продажи / мес.</t>
  </si>
  <si>
    <t>Заявки × конверсия в продажу.</t>
  </si>
  <si>
    <t>Средний платеж клиента.</t>
  </si>
  <si>
    <t>Коэффициент повторных покупок</t>
  </si>
  <si>
    <t>Дополнительный множитель повторных продаж.</t>
  </si>
  <si>
    <t>Выручка / мес.</t>
  </si>
  <si>
    <t>Продажи × средний чек × повторные покупки.</t>
  </si>
  <si>
    <t>Выручка / год</t>
  </si>
  <si>
    <t>Месячная выручка × 12.</t>
  </si>
  <si>
    <t>Сценарная оценка объема рынка</t>
  </si>
  <si>
    <t>Сценарий</t>
  </si>
  <si>
    <t>Переходы / мес.</t>
  </si>
  <si>
    <t>Интерпретация</t>
  </si>
  <si>
    <t>Нижняя граница оценки при слабой конверсии.</t>
  </si>
  <si>
    <t>Рабочий ориентир для планирования.</t>
  </si>
  <si>
    <t>Верхняя граница при сильном предложении и продвижении.</t>
  </si>
  <si>
    <t>Итоговая панель оценки рынка через поисковый спрос</t>
  </si>
  <si>
    <t>Средний сводный индекс спроса</t>
  </si>
  <si>
    <t>Среднее по листу нормализации.</t>
  </si>
  <si>
    <t>Максимальный сводный индекс спроса</t>
  </si>
  <si>
    <t>Пик интереса за период.</t>
  </si>
  <si>
    <t>Средняя взвешенная частотность</t>
  </si>
  <si>
    <t>Средний коммерчески взвешенный спрос / мес.</t>
  </si>
  <si>
    <t>Базовая выручка / мес.</t>
  </si>
  <si>
    <t>Расчет по базовому сценарию.</t>
  </si>
  <si>
    <t>Базовая выручка / год</t>
  </si>
  <si>
    <t>Диапазон годовой выручки</t>
  </si>
  <si>
    <t>Осторожный — оптимистичный сценарий.</t>
  </si>
  <si>
    <t>Уровень интереса</t>
  </si>
  <si>
    <t>Автоматическая классификация по среднему индексу.</t>
  </si>
  <si>
    <t>Источники данных и журнал фиксации</t>
  </si>
  <si>
    <t>Источник</t>
  </si>
  <si>
    <t>Что брать</t>
  </si>
  <si>
    <t>Период / регион</t>
  </si>
  <si>
    <t>Дата фиксации</t>
  </si>
  <si>
    <t>Ссылка / примечание</t>
  </si>
  <si>
    <t>Google Trends</t>
  </si>
  <si>
    <t>Индекс интереса, динамика, региональность, связанные запросы</t>
  </si>
  <si>
    <t>указать</t>
  </si>
  <si>
    <t>https://trends.google.com/</t>
  </si>
  <si>
    <t>Справка Google Trends</t>
  </si>
  <si>
    <t>Описание нормированного индекса и выгрузки CSV</t>
  </si>
  <si>
    <t>общая методика</t>
  </si>
  <si>
    <t>https://support.google.com/trends/answer/4365533</t>
  </si>
  <si>
    <t>Яндекс Вордстат</t>
  </si>
  <si>
    <t>Частотность запросов, динамика, регионы, похожие запросы</t>
  </si>
  <si>
    <t>https://wordstat.yandex.ru/</t>
  </si>
  <si>
    <t>Справка Яндекс Вордстат</t>
  </si>
  <si>
    <t>Описание интерфейса, динамики, регионов и экспорта</t>
  </si>
  <si>
    <t>https://yandex.ru/support2/wordstat/ru/</t>
  </si>
  <si>
    <t>Рекламные кабинеты</t>
  </si>
  <si>
    <t>Оценка охвата, кликабельности, стоимости клика</t>
  </si>
  <si>
    <t>Сайт / CRM / продажи</t>
  </si>
  <si>
    <t>Фактические конверсии, заявки, средний чек</t>
  </si>
  <si>
    <t>EUR</t>
  </si>
  <si>
    <t>Россия и Беларусь (Вордстат; контрольный русскоязычный сегмент), Google Trends - весь мир</t>
  </si>
  <si>
    <t>последние 12 месяцев (10.2025-09.2026)</t>
  </si>
  <si>
    <t>Выручка первого года на платящего (Д-09)</t>
  </si>
  <si>
    <t>1: годовой чек уже учитывает платежи в течение года</t>
  </si>
  <si>
    <t>Веса источников 0,5/0,5 (допущение Д-06 ЛР1)</t>
  </si>
  <si>
    <t>excel audit</t>
  </si>
  <si>
    <t>spreadsheet audit</t>
  </si>
  <si>
    <t>excel formula checker</t>
  </si>
  <si>
    <t>financial model audit</t>
  </si>
  <si>
    <t>Google Trends, весь мир, недельные данные приведены к месяцам (ЛР1); индекс каждого запроса нормирован отдельно</t>
  </si>
  <si>
    <t>Услуговые и аудиторские запросы</t>
  </si>
  <si>
    <t>Проблемные запросы (ошибки)</t>
  </si>
  <si>
    <t>AI-инструменты</t>
  </si>
  <si>
    <t>Проверка формул</t>
  </si>
  <si>
    <t>Коммерческий коэффициент (инструментальные и услуговые запросы, ЛР1)</t>
  </si>
  <si>
    <t>проверка формул excel</t>
  </si>
  <si>
    <t>инструментальное</t>
  </si>
  <si>
    <t>РФ+РБ</t>
  </si>
  <si>
    <t>проверить excel на ошибки</t>
  </si>
  <si>
    <t>аудит excel</t>
  </si>
  <si>
    <t>Услуговый спрос</t>
  </si>
  <si>
    <t>услуговое</t>
  </si>
  <si>
    <t>проверка финансовой модели</t>
  </si>
  <si>
    <t>аудит финансовой модели</t>
  </si>
  <si>
    <t>ошибки в формулах excel</t>
  </si>
  <si>
    <t>ошибки в excel</t>
  </si>
  <si>
    <t>excel copilot</t>
  </si>
  <si>
    <t>AI</t>
  </si>
  <si>
    <t>нейросеть для excel</t>
  </si>
  <si>
    <t>chatgpt excel</t>
  </si>
  <si>
    <t>Индекс Google Trends (ближайший англоязычный аналог, среднее 12 мес.)</t>
  </si>
  <si>
    <t>весь мир, 5 лет (данные ЛР1)</t>
  </si>
  <si>
    <t>Россия 225, Беларусь 149, 2018-2026 (данные ЛР1)</t>
  </si>
  <si>
    <t>Рекламных кабинетов нет: ДОСНЯТЬ</t>
  </si>
  <si>
    <t>Сайта и CRM пока нет: ДОСНЯТЬ после MVP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</si>
</sst>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"/>
    <numFmt numFmtId="165" formatCode="yyyy\-mm"/>
    <numFmt numFmtId="166" formatCode="0.0"/>
    <numFmt numFmtId="167" formatCode="yyyy\-mm\-dd"/>
  </numFmts>
  <fonts count="5">
    <font>
      <sz val="11"/>
      <name val="Carlito"/>
    </font>
    <font>
      <b/>
      <sz val="14"/>
      <color rgb="FFFFFFFF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/>
    <xf numFmtId="10" fontId="0" fillId="5" borderId="0" xfId="1" applyNumberFormat="1" applyFont="1" applyFill="1"/>
    <xf numFmtId="164" fontId="0" fillId="5" borderId="0" xfId="1" applyNumberFormat="1" applyFont="1" applyFill="1"/>
    <xf numFmtId="164" fontId="0" fillId="0" borderId="0" xfId="1" applyNumberFormat="1" applyFont="1"/>
    <xf numFmtId="164" fontId="0" fillId="5" borderId="0" xfId="1" applyNumberFormat="1" applyFont="1" applyFill="1" applyAlignment="1">
      <alignment wrapText="1"/>
    </xf>
    <xf numFmtId="2" fontId="0" fillId="5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165" fontId="0" fillId="0" borderId="0" xfId="1" applyNumberFormat="1" applyFont="1"/>
    <xf numFmtId="166" fontId="0" fillId="0" borderId="0" xfId="1" applyNumberFormat="1" applyFont="1"/>
    <xf numFmtId="166" fontId="0" fillId="5" borderId="0" xfId="1" applyNumberFormat="1" applyFont="1" applyFill="1"/>
    <xf numFmtId="166" fontId="0" fillId="6" borderId="0" xfId="1" applyNumberFormat="1" applyFont="1" applyFill="1"/>
    <xf numFmtId="164" fontId="0" fillId="6" borderId="0" xfId="1" applyNumberFormat="1" applyFont="1" applyFill="1"/>
    <xf numFmtId="166" fontId="0" fillId="6" borderId="0" xfId="1" applyNumberFormat="1" applyFont="1" applyFill="1" applyAlignment="1">
      <alignment wrapText="1"/>
    </xf>
    <xf numFmtId="164" fontId="0" fillId="6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7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left" vertical="center"/>
    </xf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 спроса</c:v>
          </c:tx>
          <c:cat>
            <c:numRef>
              <c:f>'05_Нормализация'!$A$4:$A$15</c:f>
              <c:numCache>
                <c:formatCode>yyyy\-mm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</c:numRef>
          </c:cat>
          <c:val>
            <c:numRef>
              <c:f>'05_Нормализация'!$F$4:$F$15</c:f>
              <c:numCache>
                <c:formatCode>0.0</c:formatCode>
                <c:ptCount val="12"/>
                <c:pt idx="0">
                  <c:v>60.837861180534055</c:v>
                </c:pt>
                <c:pt idx="1">
                  <c:v>69.502285569789535</c:v>
                </c:pt>
                <c:pt idx="2">
                  <c:v>61.212255772646536</c:v>
                </c:pt>
                <c:pt idx="3">
                  <c:v>43.81243283783644</c:v>
                </c:pt>
                <c:pt idx="4">
                  <c:v>51.276659720758417</c:v>
                </c:pt>
                <c:pt idx="5">
                  <c:v>67.780431640952017</c:v>
                </c:pt>
                <c:pt idx="6">
                  <c:v>78.888336204402236</c:v>
                </c:pt>
                <c:pt idx="7">
                  <c:v>85.849666164118034</c:v>
                </c:pt>
                <c:pt idx="8">
                  <c:v>79.020071915080109</c:v>
                </c:pt>
                <c:pt idx="9">
                  <c:v>47.438462817075219</c:v>
                </c:pt>
                <c:pt idx="10">
                  <c:v>40.585928867625668</c:v>
                </c:pt>
                <c:pt idx="11">
                  <c:v>59.726254555529238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57-4A19-A572-B44E3C584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manticCore" displayName="SemanticCore" ref="A3:J13">
  <tableColumns count="10">
    <tableColumn id="1" xr3:uid="{00000000-0010-0000-0000-000001000000}" name="№"/>
    <tableColumn id="2" xr3:uid="{00000000-0010-0000-0000-000002000000}" name="Запрос"/>
    <tableColumn id="3" xr3:uid="{00000000-0010-0000-0000-000003000000}" name="Группа"/>
    <tableColumn id="4" xr3:uid="{00000000-0010-0000-0000-000004000000}" name="Намерение"/>
    <tableColumn id="5" xr3:uid="{00000000-0010-0000-0000-000005000000}" name="Регион"/>
    <tableColumn id="6" xr3:uid="{00000000-0010-0000-0000-000006000000}" name="Частотность Wordstat / мес."/>
    <tableColumn id="7" xr3:uid="{00000000-0010-0000-0000-000007000000}" name="Индекс Google Trends (ближайший англоязычный аналог, среднее 12 мес.)"/>
    <tableColumn id="8" xr3:uid="{00000000-0010-0000-0000-000008000000}" name="Вес релевантности"/>
    <tableColumn id="9" xr3:uid="{00000000-0010-0000-0000-000009000000}" name="Коммерческая близость"/>
    <tableColumn id="10" xr3:uid="{00000000-0010-0000-0000-00000A000000}" name="Взвешенный спрос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oogleTrends" displayName="GoogleTrends" ref="A3:G15">
  <tableColumns count="7">
    <tableColumn id="1" xr3:uid="{00000000-0010-0000-0100-000001000000}" name="Месяц"/>
    <tableColumn id="2" xr3:uid="{00000000-0010-0000-0100-000002000000}" name="excel audit"/>
    <tableColumn id="3" xr3:uid="{00000000-0010-0000-0100-000003000000}" name="spreadsheet audit"/>
    <tableColumn id="4" xr3:uid="{00000000-0010-0000-0100-000004000000}" name="excel formula checker"/>
    <tableColumn id="5" xr3:uid="{00000000-0010-0000-0100-000005000000}" name="financial model audit"/>
    <tableColumn id="6" xr3:uid="{00000000-0010-0000-0100-000006000000}" name="Средний индекс GT"/>
    <tableColumn id="7" xr3:uid="{00000000-0010-0000-0100-000007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dstat" displayName="Wordstat" ref="A3:H15">
  <tableColumns count="8">
    <tableColumn id="1" xr3:uid="{00000000-0010-0000-0200-000001000000}" name="Месяц"/>
    <tableColumn id="2" xr3:uid="{00000000-0010-0000-0200-000002000000}" name="Услуговые и аудиторские запросы"/>
    <tableColumn id="3" xr3:uid="{00000000-0010-0000-0200-000003000000}" name="Проблемные запросы (ошибки)"/>
    <tableColumn id="4" xr3:uid="{00000000-0010-0000-0200-000004000000}" name="AI-инструменты"/>
    <tableColumn id="5" xr3:uid="{00000000-0010-0000-0200-000005000000}" name="Проверка формул"/>
    <tableColumn id="6" xr3:uid="{00000000-0010-0000-0200-000006000000}" name="Суммарная частотность"/>
    <tableColumn id="7" xr3:uid="{00000000-0010-0000-0200-000007000000}" name="Коммерческий коэффициент (инструментальные и услуговые запросы, ЛР1)"/>
    <tableColumn id="8" xr3:uid="{00000000-0010-0000-0200-000008000000}" name="Взвешенная частотность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ormalizedDemand" displayName="NormalizedDemand" ref="A3:H15">
  <tableColumns count="8">
    <tableColumn id="1" xr3:uid="{00000000-0010-0000-0300-000001000000}" name="Месяц"/>
    <tableColumn id="2" xr3:uid="{00000000-0010-0000-0300-000002000000}" name="Средний индекс GT"/>
    <tableColumn id="3" xr3:uid="{00000000-0010-0000-0300-000003000000}" name="Нормированный GT"/>
    <tableColumn id="4" xr3:uid="{00000000-0010-0000-0300-000004000000}" name="Взвешенная частотность WS"/>
    <tableColumn id="5" xr3:uid="{00000000-0010-0000-0300-000005000000}" name="Нормированный WS"/>
    <tableColumn id="6" xr3:uid="{00000000-0010-0000-0300-000006000000}" name="Сводный индекс спроса"/>
    <tableColumn id="7" xr3:uid="{00000000-0010-0000-0300-000007000000}" name="Оценка уровня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Funnel" displayName="Funnel" ref="A3:E14">
  <tableColumns count="5">
    <tableColumn id="1" xr3:uid="{00000000-0010-0000-0400-000001000000}" name="Показатель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s" displayName="Scenarios" ref="A3:H6">
  <tableColumns count="8">
    <tableColumn id="1" xr3:uid="{00000000-0010-0000-0500-000001000000}" name="Сценарий"/>
    <tableColumn id="2" xr3:uid="{00000000-0010-0000-0500-000002000000}" name="Переходы / мес."/>
    <tableColumn id="3" xr3:uid="{00000000-0010-0000-0500-000003000000}" name="Заявки / мес."/>
    <tableColumn id="4" xr3:uid="{00000000-0010-0000-0500-000004000000}" name="Продажи / мес."/>
    <tableColumn id="5" xr3:uid="{00000000-0010-0000-0500-000005000000}" name="Средний чек"/>
    <tableColumn id="6" xr3:uid="{00000000-0010-0000-0500-000006000000}" name="Выручка / мес."/>
    <tableColumn id="7" xr3:uid="{00000000-0010-0000-0500-000007000000}" name="Выручка / год"/>
    <tableColumn id="8" xr3:uid="{00000000-0010-0000-0500-000008000000}" name="Интерпретация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ources" displayName="Sources" ref="A3:E9">
  <tableColumns count="5">
    <tableColumn id="1" xr3:uid="{00000000-0010-0000-0600-000001000000}" name="Источник"/>
    <tableColumn id="2" xr3:uid="{00000000-0010-0000-0600-000002000000}" name="Что брать"/>
    <tableColumn id="3" xr3:uid="{00000000-0010-0000-0600-000003000000}" name="Период / регион"/>
    <tableColumn id="4" xr3:uid="{00000000-0010-0000-0600-000004000000}" name="Дата фиксации"/>
    <tableColumn id="5" xr3:uid="{00000000-0010-0000-0600-000005000000}" name="Ссылка / примеча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sqref="A1:H1"/>
    </sheetView>
  </sheetViews>
  <sheetFormatPr defaultRowHeight="13.5"/>
  <cols>
    <col min="1" max="1" width="66.0625" customWidth="1"/>
    <col min="2" max="2" width="45" customWidth="1"/>
    <col min="3" max="3" width="24" customWidth="1"/>
  </cols>
  <sheetData>
    <row r="1" spans="1:8" ht="17.649999999999999">
      <c r="A1" s="20" t="s">
        <v>0</v>
      </c>
      <c r="B1" s="21"/>
      <c r="C1" s="21"/>
      <c r="D1" s="21"/>
      <c r="E1" s="21"/>
      <c r="F1" s="21"/>
      <c r="G1" s="21"/>
      <c r="H1" s="21"/>
    </row>
    <row r="3" spans="1:8" ht="40.5">
      <c r="A3" s="1" t="s">
        <v>1</v>
      </c>
      <c r="B3" s="2" t="s">
        <v>2</v>
      </c>
    </row>
    <row r="4" spans="1:8" ht="40.5">
      <c r="A4" s="1" t="s">
        <v>3</v>
      </c>
      <c r="B4" s="2" t="s">
        <v>4</v>
      </c>
    </row>
    <row r="5" spans="1:8" ht="54">
      <c r="A5" s="1" t="s">
        <v>5</v>
      </c>
      <c r="B5" s="2" t="s">
        <v>6</v>
      </c>
    </row>
    <row r="6" spans="1:8" ht="40.5">
      <c r="A6" s="1" t="s">
        <v>7</v>
      </c>
      <c r="B6" s="2" t="s">
        <v>8</v>
      </c>
    </row>
    <row r="7" spans="1:8" ht="40.5">
      <c r="A7" s="1" t="s">
        <v>9</v>
      </c>
      <c r="B7" s="2" t="s">
        <v>10</v>
      </c>
    </row>
    <row r="9" spans="1:8">
      <c r="A9" s="22" t="s">
        <v>11</v>
      </c>
      <c r="B9" s="21"/>
      <c r="C9" s="21"/>
      <c r="D9" s="21"/>
      <c r="E9" s="21"/>
      <c r="F9" s="21"/>
      <c r="G9" s="21"/>
      <c r="H9" s="21"/>
    </row>
    <row r="10" spans="1:8" ht="13.9">
      <c r="A10" s="3" t="s">
        <v>12</v>
      </c>
      <c r="B10" s="3" t="s">
        <v>13</v>
      </c>
      <c r="C10" s="3" t="s">
        <v>14</v>
      </c>
    </row>
    <row r="11" spans="1:8">
      <c r="A11">
        <v>1</v>
      </c>
      <c r="B11" t="s">
        <v>15</v>
      </c>
      <c r="C11" t="s">
        <v>16</v>
      </c>
    </row>
    <row r="12" spans="1:8">
      <c r="A12">
        <v>2</v>
      </c>
      <c r="B12" t="s">
        <v>17</v>
      </c>
      <c r="C12" t="s">
        <v>18</v>
      </c>
    </row>
    <row r="13" spans="1:8">
      <c r="A13">
        <v>3</v>
      </c>
      <c r="B13" t="s">
        <v>19</v>
      </c>
      <c r="C13" t="s">
        <v>20</v>
      </c>
    </row>
    <row r="14" spans="1:8">
      <c r="A14">
        <v>4</v>
      </c>
      <c r="B14" t="s">
        <v>21</v>
      </c>
      <c r="C14" t="s">
        <v>22</v>
      </c>
    </row>
    <row r="15" spans="1:8">
      <c r="A15">
        <v>5</v>
      </c>
      <c r="B15" t="s">
        <v>23</v>
      </c>
      <c r="C15" t="s">
        <v>24</v>
      </c>
    </row>
    <row r="16" spans="1:8">
      <c r="A16">
        <v>6</v>
      </c>
      <c r="B16" t="s">
        <v>25</v>
      </c>
      <c r="C16" t="s">
        <v>26</v>
      </c>
    </row>
    <row r="17" spans="1:3">
      <c r="A17">
        <v>7</v>
      </c>
      <c r="B17" t="s">
        <v>27</v>
      </c>
      <c r="C17" t="s">
        <v>28</v>
      </c>
    </row>
    <row r="18" spans="1:3">
      <c r="A18">
        <v>8</v>
      </c>
      <c r="B18" t="s">
        <v>29</v>
      </c>
      <c r="C18" t="s">
        <v>30</v>
      </c>
    </row>
  </sheetData>
  <mergeCells count="2">
    <mergeCell ref="A1:H1"/>
    <mergeCell ref="A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/>
  </sheetViews>
  <sheetFormatPr defaultRowHeight="13.5"/>
  <cols>
    <col min="1" max="1" width="36" customWidth="1"/>
    <col min="2" max="2" width="19" customWidth="1"/>
    <col min="3" max="3" width="7.375" customWidth="1"/>
    <col min="4" max="4" width="46" customWidth="1"/>
  </cols>
  <sheetData>
    <row r="1" spans="1:6" ht="17.649999999999999">
      <c r="A1" s="20" t="s">
        <v>31</v>
      </c>
      <c r="B1" s="21"/>
      <c r="C1" s="21"/>
      <c r="D1" s="23"/>
      <c r="E1" s="21"/>
      <c r="F1" s="21"/>
    </row>
    <row r="3" spans="1:6" ht="27.75">
      <c r="A3" s="3" t="s">
        <v>32</v>
      </c>
      <c r="B3" s="3" t="s">
        <v>33</v>
      </c>
      <c r="C3" s="3" t="s">
        <v>34</v>
      </c>
      <c r="D3" s="3" t="s">
        <v>35</v>
      </c>
    </row>
    <row r="4" spans="1:6">
      <c r="A4" t="s">
        <v>36</v>
      </c>
      <c r="B4" s="4" t="s">
        <v>149</v>
      </c>
      <c r="C4" t="s">
        <v>37</v>
      </c>
      <c r="D4" t="s">
        <v>38</v>
      </c>
    </row>
    <row r="5" spans="1:6">
      <c r="A5" t="s">
        <v>39</v>
      </c>
      <c r="B5" s="6" t="s">
        <v>150</v>
      </c>
      <c r="C5" t="s">
        <v>37</v>
      </c>
      <c r="D5" t="s">
        <v>40</v>
      </c>
    </row>
    <row r="6" spans="1:6">
      <c r="A6" t="s">
        <v>41</v>
      </c>
      <c r="B6" s="5">
        <v>100.58</v>
      </c>
      <c r="C6" t="s">
        <v>148</v>
      </c>
      <c r="D6" t="s">
        <v>151</v>
      </c>
    </row>
    <row r="7" spans="1:6">
      <c r="A7" t="s">
        <v>42</v>
      </c>
      <c r="B7" s="5">
        <v>0.08</v>
      </c>
      <c r="C7" t="s">
        <v>43</v>
      </c>
      <c r="D7" t="s">
        <v>44</v>
      </c>
    </row>
    <row r="8" spans="1:6">
      <c r="A8" t="s">
        <v>45</v>
      </c>
      <c r="B8" s="5">
        <v>0.04</v>
      </c>
      <c r="C8" t="s">
        <v>43</v>
      </c>
      <c r="D8" t="s">
        <v>46</v>
      </c>
    </row>
    <row r="9" spans="1:6">
      <c r="A9" t="s">
        <v>47</v>
      </c>
      <c r="B9" s="5">
        <v>0.05</v>
      </c>
      <c r="C9" t="s">
        <v>43</v>
      </c>
      <c r="D9" t="s">
        <v>48</v>
      </c>
    </row>
    <row r="10" spans="1:6">
      <c r="A10" t="s">
        <v>49</v>
      </c>
      <c r="B10" s="5">
        <v>1</v>
      </c>
      <c r="C10" t="s">
        <v>50</v>
      </c>
      <c r="D10" t="s">
        <v>152</v>
      </c>
    </row>
    <row r="11" spans="1:6">
      <c r="A11" t="s">
        <v>51</v>
      </c>
      <c r="B11" s="5">
        <v>0.5</v>
      </c>
      <c r="C11" t="s">
        <v>43</v>
      </c>
      <c r="D11" t="s">
        <v>153</v>
      </c>
    </row>
    <row r="12" spans="1:6">
      <c r="A12" t="s">
        <v>52</v>
      </c>
      <c r="B12" s="5">
        <v>0.5</v>
      </c>
      <c r="C12" t="s">
        <v>43</v>
      </c>
      <c r="D12" t="s">
        <v>53</v>
      </c>
    </row>
    <row r="13" spans="1:6">
      <c r="A13" t="s">
        <v>54</v>
      </c>
      <c r="B13" s="5">
        <v>0.5</v>
      </c>
      <c r="C13" t="s">
        <v>43</v>
      </c>
      <c r="D13" t="s">
        <v>55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defaultRowHeight="13.5"/>
  <cols>
    <col min="1" max="1" width="61.9375" customWidth="1"/>
    <col min="2" max="2" width="32" customWidth="1"/>
    <col min="3" max="3" width="28" customWidth="1"/>
    <col min="4" max="4" width="22" customWidth="1"/>
    <col min="5" max="5" width="5.9375" customWidth="1"/>
    <col min="6" max="6" width="23.6875" customWidth="1"/>
    <col min="7" max="7" width="18.3125" customWidth="1"/>
    <col min="8" max="8" width="16" customWidth="1"/>
    <col min="9" max="9" width="20.75" customWidth="1"/>
    <col min="10" max="10" width="16.3125" customWidth="1"/>
  </cols>
  <sheetData>
    <row r="1" spans="1:10" ht="17.649999999999999">
      <c r="A1" s="20" t="s">
        <v>56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83.25">
      <c r="A3" s="3" t="s">
        <v>12</v>
      </c>
      <c r="B3" s="3" t="s">
        <v>57</v>
      </c>
      <c r="C3" s="3" t="s">
        <v>58</v>
      </c>
      <c r="D3" s="3" t="s">
        <v>59</v>
      </c>
      <c r="E3" s="3" t="s">
        <v>60</v>
      </c>
      <c r="F3" s="3" t="s">
        <v>61</v>
      </c>
      <c r="G3" s="3" t="s">
        <v>179</v>
      </c>
      <c r="H3" s="3" t="s">
        <v>62</v>
      </c>
      <c r="I3" s="3" t="s">
        <v>63</v>
      </c>
      <c r="J3" s="3" t="s">
        <v>64</v>
      </c>
    </row>
    <row r="4" spans="1:10" ht="27">
      <c r="A4" s="2">
        <v>1</v>
      </c>
      <c r="B4" s="2" t="s">
        <v>164</v>
      </c>
      <c r="C4" s="2" t="s">
        <v>67</v>
      </c>
      <c r="D4" s="2" t="s">
        <v>165</v>
      </c>
      <c r="E4" s="2" t="s">
        <v>166</v>
      </c>
      <c r="F4" s="8">
        <v>322</v>
      </c>
      <c r="G4" s="9">
        <v>13.2</v>
      </c>
      <c r="H4" s="9">
        <v>1</v>
      </c>
      <c r="I4" s="9">
        <v>0.7</v>
      </c>
      <c r="J4" s="10">
        <f t="shared" ref="J4:J13" si="0">F4*H4*I4</f>
        <v>225.39999999999998</v>
      </c>
    </row>
    <row r="5" spans="1:10" ht="27">
      <c r="A5" s="2">
        <v>2</v>
      </c>
      <c r="B5" s="2" t="s">
        <v>167</v>
      </c>
      <c r="C5" s="2" t="s">
        <v>67</v>
      </c>
      <c r="D5" s="2" t="s">
        <v>165</v>
      </c>
      <c r="E5" s="2" t="s">
        <v>166</v>
      </c>
      <c r="F5" s="8">
        <v>50</v>
      </c>
      <c r="G5" s="9">
        <v>13.2</v>
      </c>
      <c r="H5" s="9">
        <v>1</v>
      </c>
      <c r="I5" s="9">
        <v>0.7</v>
      </c>
      <c r="J5" s="10">
        <f t="shared" si="0"/>
        <v>35</v>
      </c>
    </row>
    <row r="6" spans="1:10" ht="27">
      <c r="A6" s="2">
        <v>3</v>
      </c>
      <c r="B6" s="2" t="s">
        <v>168</v>
      </c>
      <c r="C6" s="2" t="s">
        <v>169</v>
      </c>
      <c r="D6" s="2" t="s">
        <v>170</v>
      </c>
      <c r="E6" s="2" t="s">
        <v>166</v>
      </c>
      <c r="F6" s="8">
        <v>52</v>
      </c>
      <c r="G6" s="9">
        <v>47.6</v>
      </c>
      <c r="H6" s="9">
        <v>1</v>
      </c>
      <c r="I6" s="9">
        <v>0.9</v>
      </c>
      <c r="J6" s="10">
        <f t="shared" si="0"/>
        <v>46.800000000000004</v>
      </c>
    </row>
    <row r="7" spans="1:10" ht="27">
      <c r="A7" s="2">
        <v>4</v>
      </c>
      <c r="B7" s="2" t="s">
        <v>171</v>
      </c>
      <c r="C7" s="2" t="s">
        <v>169</v>
      </c>
      <c r="D7" s="2" t="s">
        <v>170</v>
      </c>
      <c r="E7" s="2" t="s">
        <v>166</v>
      </c>
      <c r="F7" s="8">
        <v>140</v>
      </c>
      <c r="G7" s="9">
        <v>29</v>
      </c>
      <c r="H7" s="9">
        <v>0.9</v>
      </c>
      <c r="I7" s="9">
        <v>0.9</v>
      </c>
      <c r="J7" s="10">
        <f t="shared" si="0"/>
        <v>113.4</v>
      </c>
    </row>
    <row r="8" spans="1:10" ht="27">
      <c r="A8" s="2">
        <v>5</v>
      </c>
      <c r="B8" s="2" t="s">
        <v>172</v>
      </c>
      <c r="C8" s="2" t="s">
        <v>169</v>
      </c>
      <c r="D8" s="2" t="s">
        <v>170</v>
      </c>
      <c r="E8" s="2" t="s">
        <v>166</v>
      </c>
      <c r="F8" s="8">
        <v>36</v>
      </c>
      <c r="G8" s="9">
        <v>29</v>
      </c>
      <c r="H8" s="9">
        <v>0.9</v>
      </c>
      <c r="I8" s="9">
        <v>0.9</v>
      </c>
      <c r="J8" s="10">
        <f t="shared" si="0"/>
        <v>29.16</v>
      </c>
    </row>
    <row r="9" spans="1:10" ht="27">
      <c r="A9" s="2">
        <v>6</v>
      </c>
      <c r="B9" s="2" t="s">
        <v>173</v>
      </c>
      <c r="C9" s="2" t="s">
        <v>65</v>
      </c>
      <c r="D9" s="2" t="s">
        <v>66</v>
      </c>
      <c r="E9" s="2" t="s">
        <v>166</v>
      </c>
      <c r="F9" s="8">
        <v>1678</v>
      </c>
      <c r="G9" s="9">
        <v>32</v>
      </c>
      <c r="H9" s="9">
        <v>0.8</v>
      </c>
      <c r="I9" s="9">
        <v>0.35</v>
      </c>
      <c r="J9" s="10">
        <f t="shared" si="0"/>
        <v>469.84</v>
      </c>
    </row>
    <row r="10" spans="1:10" ht="27">
      <c r="A10" s="2">
        <v>7</v>
      </c>
      <c r="B10" s="2" t="s">
        <v>174</v>
      </c>
      <c r="C10" s="2" t="s">
        <v>65</v>
      </c>
      <c r="D10" s="2" t="s">
        <v>66</v>
      </c>
      <c r="E10" s="2" t="s">
        <v>166</v>
      </c>
      <c r="F10" s="8">
        <v>5815</v>
      </c>
      <c r="G10" s="9">
        <v>32</v>
      </c>
      <c r="H10" s="9">
        <v>0.7</v>
      </c>
      <c r="I10" s="9">
        <v>0.3</v>
      </c>
      <c r="J10" s="10">
        <f t="shared" si="0"/>
        <v>1221.1499999999999</v>
      </c>
    </row>
    <row r="11" spans="1:10" ht="27">
      <c r="A11" s="2">
        <v>8</v>
      </c>
      <c r="B11" s="2" t="s">
        <v>175</v>
      </c>
      <c r="C11" s="2" t="s">
        <v>161</v>
      </c>
      <c r="D11" s="2" t="s">
        <v>176</v>
      </c>
      <c r="E11" s="2" t="s">
        <v>166</v>
      </c>
      <c r="F11" s="8">
        <v>372</v>
      </c>
      <c r="G11" s="9">
        <v>13.2</v>
      </c>
      <c r="H11" s="9">
        <v>0.5</v>
      </c>
      <c r="I11" s="9">
        <v>0.25</v>
      </c>
      <c r="J11" s="10">
        <f t="shared" si="0"/>
        <v>46.5</v>
      </c>
    </row>
    <row r="12" spans="1:10" ht="27">
      <c r="A12" s="2">
        <v>9</v>
      </c>
      <c r="B12" s="2" t="s">
        <v>177</v>
      </c>
      <c r="C12" s="2" t="s">
        <v>161</v>
      </c>
      <c r="D12" s="2" t="s">
        <v>176</v>
      </c>
      <c r="E12" s="2" t="s">
        <v>166</v>
      </c>
      <c r="F12" s="8">
        <v>820</v>
      </c>
      <c r="G12" s="9">
        <v>13.2</v>
      </c>
      <c r="H12" s="9">
        <v>0.5</v>
      </c>
      <c r="I12" s="9">
        <v>0.25</v>
      </c>
      <c r="J12" s="10">
        <f t="shared" si="0"/>
        <v>102.5</v>
      </c>
    </row>
    <row r="13" spans="1:10" ht="27">
      <c r="A13" s="2">
        <v>10</v>
      </c>
      <c r="B13" s="2" t="s">
        <v>178</v>
      </c>
      <c r="C13" s="2" t="s">
        <v>161</v>
      </c>
      <c r="D13" s="2" t="s">
        <v>176</v>
      </c>
      <c r="E13" s="2" t="s">
        <v>166</v>
      </c>
      <c r="F13" s="8">
        <v>375</v>
      </c>
      <c r="G13" s="9">
        <v>13.2</v>
      </c>
      <c r="H13" s="9">
        <v>0.5</v>
      </c>
      <c r="I13" s="9">
        <v>0.25</v>
      </c>
      <c r="J13" s="10">
        <f t="shared" si="0"/>
        <v>46.875</v>
      </c>
    </row>
  </sheetData>
  <mergeCells count="1">
    <mergeCell ref="A1:J1"/>
  </mergeCells>
  <conditionalFormatting sqref="J4:J13">
    <cfRule type="dataBar" priority="1">
      <dataBar>
        <cfvo type="min"/>
        <cfvo type="max"/>
        <color rgb="FF5B9BD5"/>
      </dataBar>
    </cfRule>
  </conditionalFormatting>
  <conditionalFormatting sqref="J4:J13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{11F22920-8A79-DA3D-FDA2-11943E2D0ECB}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F22920-8A79-DA3D-FDA2-11943E2D0ECB}">
            <x14:dataBar>
              <x14:cfvo type="min"/>
              <x14:cfvo type="max"/>
              <x14:negativeFillColor auto="1"/>
              <x14:axisColor auto="1"/>
            </x14:dataBar>
          </x14:cfRule>
          <xm:sqref>J4:J13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/>
  </sheetViews>
  <sheetFormatPr defaultRowHeight="13.5"/>
  <cols>
    <col min="1" max="1" width="55.3125" customWidth="1"/>
    <col min="2" max="2" width="19.625" customWidth="1"/>
    <col min="3" max="3" width="19.375" customWidth="1"/>
    <col min="4" max="4" width="18.3125" customWidth="1"/>
    <col min="5" max="5" width="16.4375" customWidth="1"/>
    <col min="6" max="6" width="16.5625" customWidth="1"/>
    <col min="7" max="7" width="32" customWidth="1"/>
  </cols>
  <sheetData>
    <row r="1" spans="1:8" ht="17.649999999999999">
      <c r="A1" s="20" t="s">
        <v>68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154</v>
      </c>
      <c r="C3" s="3" t="s">
        <v>155</v>
      </c>
      <c r="D3" s="3" t="s">
        <v>156</v>
      </c>
      <c r="E3" s="3" t="s">
        <v>157</v>
      </c>
      <c r="F3" s="3" t="s">
        <v>70</v>
      </c>
      <c r="G3" s="3" t="s">
        <v>35</v>
      </c>
    </row>
    <row r="4" spans="1:8">
      <c r="A4" s="11">
        <v>45931</v>
      </c>
      <c r="B4" s="13">
        <v>26.25</v>
      </c>
      <c r="C4" s="13">
        <v>11.25</v>
      </c>
      <c r="D4" s="13">
        <v>15.5</v>
      </c>
      <c r="E4" s="13">
        <v>13</v>
      </c>
      <c r="F4" s="14">
        <f t="shared" ref="F4:F15" si="0">AVERAGE(B4:E4)</f>
        <v>16.5</v>
      </c>
      <c r="G4" t="s">
        <v>158</v>
      </c>
    </row>
    <row r="5" spans="1:8">
      <c r="A5" s="11">
        <v>45962</v>
      </c>
      <c r="B5" s="13">
        <v>31.2</v>
      </c>
      <c r="C5" s="13">
        <v>20.2</v>
      </c>
      <c r="D5" s="13">
        <v>30.4</v>
      </c>
      <c r="E5" s="13">
        <v>17</v>
      </c>
      <c r="F5" s="14">
        <f t="shared" si="0"/>
        <v>24.7</v>
      </c>
    </row>
    <row r="6" spans="1:8">
      <c r="A6" s="11">
        <v>45992</v>
      </c>
      <c r="B6" s="13">
        <v>22.25</v>
      </c>
      <c r="C6" s="13">
        <v>13.75</v>
      </c>
      <c r="D6" s="13">
        <v>0</v>
      </c>
      <c r="E6" s="13">
        <v>14.5</v>
      </c>
      <c r="F6" s="14">
        <f t="shared" si="0"/>
        <v>12.625</v>
      </c>
    </row>
    <row r="7" spans="1:8">
      <c r="A7" s="11">
        <v>46023</v>
      </c>
      <c r="B7" s="13">
        <v>26.25</v>
      </c>
      <c r="C7" s="13">
        <v>19.5</v>
      </c>
      <c r="D7" s="13">
        <v>0</v>
      </c>
      <c r="E7" s="13">
        <v>16.5</v>
      </c>
      <c r="F7" s="14">
        <f t="shared" si="0"/>
        <v>15.5625</v>
      </c>
    </row>
    <row r="8" spans="1:8">
      <c r="A8" s="11">
        <v>46054</v>
      </c>
      <c r="B8" s="13">
        <v>34</v>
      </c>
      <c r="C8" s="13">
        <v>29.25</v>
      </c>
      <c r="D8" s="13">
        <v>0</v>
      </c>
      <c r="E8" s="13">
        <v>26.75</v>
      </c>
      <c r="F8" s="14">
        <f t="shared" si="0"/>
        <v>22.5</v>
      </c>
    </row>
    <row r="9" spans="1:8">
      <c r="A9" s="11">
        <v>46082</v>
      </c>
      <c r="B9" s="13">
        <v>46</v>
      </c>
      <c r="C9" s="13">
        <v>39</v>
      </c>
      <c r="D9" s="13">
        <v>25.2</v>
      </c>
      <c r="E9" s="13">
        <v>33.6</v>
      </c>
      <c r="F9" s="14">
        <f t="shared" si="0"/>
        <v>35.950000000000003</v>
      </c>
    </row>
    <row r="10" spans="1:8">
      <c r="A10" s="11">
        <v>46113</v>
      </c>
      <c r="B10" s="13">
        <v>61.25</v>
      </c>
      <c r="C10" s="13">
        <v>46.75</v>
      </c>
      <c r="D10" s="13">
        <v>15.75</v>
      </c>
      <c r="E10" s="13">
        <v>46.75</v>
      </c>
      <c r="F10" s="14">
        <f t="shared" si="0"/>
        <v>42.625</v>
      </c>
    </row>
    <row r="11" spans="1:8">
      <c r="A11" s="11">
        <v>46143</v>
      </c>
      <c r="B11" s="13">
        <v>80.400000000000006</v>
      </c>
      <c r="C11" s="13">
        <v>56.2</v>
      </c>
      <c r="D11" s="13">
        <v>26.8</v>
      </c>
      <c r="E11" s="13">
        <v>61.8</v>
      </c>
      <c r="F11" s="14">
        <f t="shared" si="0"/>
        <v>56.300000000000011</v>
      </c>
    </row>
    <row r="12" spans="1:8">
      <c r="A12" s="11">
        <v>46174</v>
      </c>
      <c r="B12" s="13">
        <v>74</v>
      </c>
      <c r="C12" s="13">
        <v>44.75</v>
      </c>
      <c r="D12" s="13">
        <v>36</v>
      </c>
      <c r="E12" s="13">
        <v>44.75</v>
      </c>
      <c r="F12" s="14">
        <f t="shared" si="0"/>
        <v>49.875</v>
      </c>
    </row>
    <row r="13" spans="1:8">
      <c r="A13" s="11">
        <v>46204</v>
      </c>
      <c r="B13" s="13">
        <v>55</v>
      </c>
      <c r="C13" s="13">
        <v>36.5</v>
      </c>
      <c r="D13" s="13">
        <v>0</v>
      </c>
      <c r="E13" s="13">
        <v>23.75</v>
      </c>
      <c r="F13" s="14">
        <f t="shared" si="0"/>
        <v>28.8125</v>
      </c>
    </row>
    <row r="14" spans="1:8">
      <c r="A14" s="11">
        <v>46235</v>
      </c>
      <c r="B14" s="13">
        <v>54</v>
      </c>
      <c r="C14" s="13">
        <v>25.8</v>
      </c>
      <c r="D14" s="13">
        <v>0</v>
      </c>
      <c r="E14" s="13">
        <v>19.8</v>
      </c>
      <c r="F14" s="14">
        <f t="shared" si="0"/>
        <v>24.9</v>
      </c>
    </row>
    <row r="15" spans="1:8">
      <c r="A15" s="11">
        <v>46266</v>
      </c>
      <c r="B15" s="13">
        <v>60</v>
      </c>
      <c r="C15" s="13">
        <v>41</v>
      </c>
      <c r="D15" s="13">
        <v>8.33</v>
      </c>
      <c r="E15" s="13">
        <v>30.33</v>
      </c>
      <c r="F15" s="14">
        <f t="shared" si="0"/>
        <v>34.914999999999999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/>
  </sheetViews>
  <sheetFormatPr defaultRowHeight="13.5"/>
  <cols>
    <col min="1" max="1" width="51.9375" customWidth="1"/>
    <col min="2" max="2" width="20.4375" customWidth="1"/>
    <col min="3" max="3" width="18.8125" customWidth="1"/>
    <col min="4" max="4" width="24.25" customWidth="1"/>
    <col min="5" max="5" width="17.375" customWidth="1"/>
    <col min="6" max="6" width="20.3125" customWidth="1"/>
    <col min="7" max="7" width="25" customWidth="1"/>
    <col min="8" max="8" width="21" customWidth="1"/>
  </cols>
  <sheetData>
    <row r="1" spans="1:8" ht="17.649999999999999">
      <c r="A1" s="20" t="s">
        <v>71</v>
      </c>
      <c r="B1" s="21"/>
      <c r="C1" s="21"/>
      <c r="D1" s="21"/>
      <c r="E1" s="21"/>
      <c r="F1" s="21"/>
      <c r="G1" s="21"/>
      <c r="H1" s="21"/>
    </row>
    <row r="3" spans="1:8" ht="55.5">
      <c r="A3" s="3" t="s">
        <v>69</v>
      </c>
      <c r="B3" s="3" t="s">
        <v>159</v>
      </c>
      <c r="C3" s="3" t="s">
        <v>160</v>
      </c>
      <c r="D3" s="3" t="s">
        <v>161</v>
      </c>
      <c r="E3" s="3" t="s">
        <v>162</v>
      </c>
      <c r="F3" s="3" t="s">
        <v>72</v>
      </c>
      <c r="G3" s="3" t="s">
        <v>163</v>
      </c>
      <c r="H3" s="3" t="s">
        <v>73</v>
      </c>
    </row>
    <row r="4" spans="1:8">
      <c r="A4" s="11">
        <v>45931</v>
      </c>
      <c r="B4" s="6">
        <v>185</v>
      </c>
      <c r="C4" s="6">
        <v>9821</v>
      </c>
      <c r="D4" s="6">
        <v>2339</v>
      </c>
      <c r="E4" s="6">
        <v>521</v>
      </c>
      <c r="F4" s="15">
        <f t="shared" ref="F4:F15" si="0">SUM(B4:E4)</f>
        <v>12866</v>
      </c>
      <c r="G4" s="5">
        <v>0.109</v>
      </c>
      <c r="H4" s="15">
        <f t="shared" ref="H4:H15" si="1">F4*G4</f>
        <v>1402.394</v>
      </c>
    </row>
    <row r="5" spans="1:8">
      <c r="A5" s="11">
        <v>45962</v>
      </c>
      <c r="B5" s="6">
        <v>204</v>
      </c>
      <c r="C5" s="6">
        <v>10493</v>
      </c>
      <c r="D5" s="6">
        <v>2076</v>
      </c>
      <c r="E5" s="6">
        <v>478</v>
      </c>
      <c r="F5" s="15">
        <f t="shared" si="0"/>
        <v>13251</v>
      </c>
      <c r="G5" s="5">
        <v>0.109</v>
      </c>
      <c r="H5" s="15">
        <f t="shared" si="1"/>
        <v>1444.3589999999999</v>
      </c>
    </row>
    <row r="6" spans="1:8">
      <c r="A6" s="11">
        <v>45992</v>
      </c>
      <c r="B6" s="6">
        <v>198</v>
      </c>
      <c r="C6" s="6">
        <v>11113</v>
      </c>
      <c r="D6" s="6">
        <v>2135</v>
      </c>
      <c r="E6" s="6">
        <v>483</v>
      </c>
      <c r="F6" s="15">
        <f t="shared" si="0"/>
        <v>13929</v>
      </c>
      <c r="G6" s="5">
        <v>0.109</v>
      </c>
      <c r="H6" s="15">
        <f t="shared" si="1"/>
        <v>1518.261</v>
      </c>
    </row>
    <row r="7" spans="1:8">
      <c r="A7" s="11">
        <v>46023</v>
      </c>
      <c r="B7" s="6">
        <v>120</v>
      </c>
      <c r="C7" s="6">
        <v>6392</v>
      </c>
      <c r="D7" s="6">
        <v>1487</v>
      </c>
      <c r="E7" s="6">
        <v>356</v>
      </c>
      <c r="F7" s="15">
        <f t="shared" si="0"/>
        <v>8355</v>
      </c>
      <c r="G7" s="5">
        <v>0.109</v>
      </c>
      <c r="H7" s="15">
        <f t="shared" si="1"/>
        <v>910.69500000000005</v>
      </c>
    </row>
    <row r="8" spans="1:8">
      <c r="A8" s="11">
        <v>46054</v>
      </c>
      <c r="B8" s="6">
        <v>122</v>
      </c>
      <c r="C8" s="6">
        <v>6746</v>
      </c>
      <c r="D8" s="6">
        <v>1470</v>
      </c>
      <c r="E8" s="6">
        <v>380</v>
      </c>
      <c r="F8" s="15">
        <f t="shared" si="0"/>
        <v>8718</v>
      </c>
      <c r="G8" s="5">
        <v>0.109</v>
      </c>
      <c r="H8" s="15">
        <f t="shared" si="1"/>
        <v>950.26199999999994</v>
      </c>
    </row>
    <row r="9" spans="1:8">
      <c r="A9" s="11">
        <v>46082</v>
      </c>
      <c r="B9" s="6">
        <v>144</v>
      </c>
      <c r="C9" s="6">
        <v>7499</v>
      </c>
      <c r="D9" s="6">
        <v>1928</v>
      </c>
      <c r="E9" s="6">
        <v>417</v>
      </c>
      <c r="F9" s="15">
        <f t="shared" si="0"/>
        <v>9988</v>
      </c>
      <c r="G9" s="5">
        <v>0.109</v>
      </c>
      <c r="H9" s="15">
        <f t="shared" si="1"/>
        <v>1088.692</v>
      </c>
    </row>
    <row r="10" spans="1:8">
      <c r="A10" s="11">
        <v>46113</v>
      </c>
      <c r="B10" s="6">
        <v>147</v>
      </c>
      <c r="C10" s="6">
        <v>8997</v>
      </c>
      <c r="D10" s="6">
        <v>1882</v>
      </c>
      <c r="E10" s="6">
        <v>405</v>
      </c>
      <c r="F10" s="15">
        <f t="shared" si="0"/>
        <v>11431</v>
      </c>
      <c r="G10" s="5">
        <v>0.109</v>
      </c>
      <c r="H10" s="15">
        <f t="shared" si="1"/>
        <v>1245.979</v>
      </c>
    </row>
    <row r="11" spans="1:8">
      <c r="A11" s="11">
        <v>46143</v>
      </c>
      <c r="B11" s="6">
        <v>137</v>
      </c>
      <c r="C11" s="6">
        <v>7534</v>
      </c>
      <c r="D11" s="6">
        <v>2022</v>
      </c>
      <c r="E11" s="6">
        <v>294</v>
      </c>
      <c r="F11" s="15">
        <f t="shared" si="0"/>
        <v>9987</v>
      </c>
      <c r="G11" s="5">
        <v>0.109</v>
      </c>
      <c r="H11" s="15">
        <f t="shared" si="1"/>
        <v>1088.5830000000001</v>
      </c>
    </row>
    <row r="12" spans="1:8">
      <c r="A12" s="11">
        <v>46174</v>
      </c>
      <c r="B12" s="6">
        <v>133</v>
      </c>
      <c r="C12" s="6">
        <v>7263</v>
      </c>
      <c r="D12" s="6">
        <v>1930</v>
      </c>
      <c r="E12" s="6">
        <v>348</v>
      </c>
      <c r="F12" s="15">
        <f t="shared" si="0"/>
        <v>9674</v>
      </c>
      <c r="G12" s="5">
        <v>0.109</v>
      </c>
      <c r="H12" s="15">
        <f t="shared" si="1"/>
        <v>1054.4659999999999</v>
      </c>
    </row>
    <row r="13" spans="1:8">
      <c r="A13" s="11">
        <v>46204</v>
      </c>
      <c r="B13" s="6">
        <v>104</v>
      </c>
      <c r="C13" s="6">
        <v>4388</v>
      </c>
      <c r="D13" s="6">
        <v>1325</v>
      </c>
      <c r="E13" s="6">
        <v>270</v>
      </c>
      <c r="F13" s="15">
        <f t="shared" si="0"/>
        <v>6087</v>
      </c>
      <c r="G13" s="5">
        <v>0.109</v>
      </c>
      <c r="H13" s="15">
        <f t="shared" si="1"/>
        <v>663.48299999999995</v>
      </c>
    </row>
    <row r="14" spans="1:8">
      <c r="A14" s="11">
        <v>46235</v>
      </c>
      <c r="B14" s="6">
        <v>94</v>
      </c>
      <c r="C14" s="6">
        <v>3706</v>
      </c>
      <c r="D14" s="6">
        <v>1127</v>
      </c>
      <c r="E14" s="6">
        <v>219</v>
      </c>
      <c r="F14" s="15">
        <f t="shared" si="0"/>
        <v>5146</v>
      </c>
      <c r="G14" s="5">
        <v>0.109</v>
      </c>
      <c r="H14" s="15">
        <f t="shared" si="1"/>
        <v>560.91399999999999</v>
      </c>
    </row>
    <row r="15" spans="1:8">
      <c r="A15" s="11">
        <v>46266</v>
      </c>
      <c r="B15" s="6">
        <v>110.33333333333333</v>
      </c>
      <c r="C15" s="6">
        <v>5965</v>
      </c>
      <c r="D15" s="6">
        <v>1627</v>
      </c>
      <c r="E15" s="6">
        <v>298</v>
      </c>
      <c r="F15" s="15">
        <f t="shared" si="0"/>
        <v>8000.333333333333</v>
      </c>
      <c r="G15" s="5">
        <v>0.109</v>
      </c>
      <c r="H15" s="15">
        <f t="shared" si="1"/>
        <v>872.03633333333335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workbookViewId="0"/>
  </sheetViews>
  <sheetFormatPr defaultRowHeight="13.5"/>
  <cols>
    <col min="1" max="1" width="66.75" customWidth="1"/>
    <col min="2" max="2" width="16.5625" customWidth="1"/>
    <col min="3" max="3" width="17.25" customWidth="1"/>
    <col min="4" max="4" width="24.0625" customWidth="1"/>
    <col min="5" max="5" width="17.625" customWidth="1"/>
    <col min="6" max="6" width="20.4375" customWidth="1"/>
    <col min="7" max="7" width="12.9375" customWidth="1"/>
    <col min="8" max="8" width="30" customWidth="1"/>
  </cols>
  <sheetData>
    <row r="1" spans="1:8" ht="17.649999999999999">
      <c r="A1" s="20" t="s">
        <v>74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70</v>
      </c>
      <c r="C3" s="3" t="s">
        <v>75</v>
      </c>
      <c r="D3" s="3" t="s">
        <v>76</v>
      </c>
      <c r="E3" s="3" t="s">
        <v>77</v>
      </c>
      <c r="F3" s="3" t="s">
        <v>78</v>
      </c>
      <c r="G3" s="3" t="s">
        <v>79</v>
      </c>
      <c r="H3" s="3" t="s">
        <v>35</v>
      </c>
    </row>
    <row r="4" spans="1:8">
      <c r="A4" s="11">
        <f>'03_Google_Trends'!A4</f>
        <v>45931</v>
      </c>
      <c r="B4" s="12">
        <f>'03_Google_Trends'!F4</f>
        <v>16.5</v>
      </c>
      <c r="C4" s="12">
        <f t="shared" ref="C4:C15" si="0">IF(MAX($B$4:$B$15)=0,0,B4/MAX($B$4:$B$15)*100)</f>
        <v>29.307282415630542</v>
      </c>
      <c r="D4" s="7">
        <f>'04_Wordstat'!H4</f>
        <v>1402.394</v>
      </c>
      <c r="E4" s="12">
        <f t="shared" ref="E4:E15" si="1">IF(MAX($D$4:$D$15)=0,0,D4/MAX($D$4:$D$15)*100)</f>
        <v>92.368439945437572</v>
      </c>
      <c r="F4" s="14">
        <f>C4*'01_Параметры'!$B$11+E4*'01_Параметры'!$B$12</f>
        <v>60.837861180534055</v>
      </c>
      <c r="G4" t="str">
        <f t="shared" ref="G4:G15" si="2">IF(F4&gt;=75,"высокий",IF(F4&gt;=45,"средний","низкий"))</f>
        <v>средний</v>
      </c>
    </row>
    <row r="5" spans="1:8">
      <c r="A5" s="11">
        <f>'03_Google_Trends'!A5</f>
        <v>45962</v>
      </c>
      <c r="B5" s="12">
        <f>'03_Google_Trends'!F5</f>
        <v>24.7</v>
      </c>
      <c r="C5" s="12">
        <f t="shared" si="0"/>
        <v>43.872113676731786</v>
      </c>
      <c r="D5" s="7">
        <f>'04_Wordstat'!H5</f>
        <v>1444.3589999999999</v>
      </c>
      <c r="E5" s="12">
        <f t="shared" si="1"/>
        <v>95.132457462847299</v>
      </c>
      <c r="F5" s="14">
        <f>C5*'01_Параметры'!$B$11+E5*'01_Параметры'!$B$12</f>
        <v>69.502285569789535</v>
      </c>
      <c r="G5" t="str">
        <f t="shared" si="2"/>
        <v>средний</v>
      </c>
    </row>
    <row r="6" spans="1:8">
      <c r="A6" s="11">
        <f>'03_Google_Trends'!A6</f>
        <v>45992</v>
      </c>
      <c r="B6" s="12">
        <f>'03_Google_Trends'!F6</f>
        <v>12.625</v>
      </c>
      <c r="C6" s="12">
        <f t="shared" si="0"/>
        <v>22.424511545293068</v>
      </c>
      <c r="D6" s="7">
        <f>'04_Wordstat'!H6</f>
        <v>1518.261</v>
      </c>
      <c r="E6" s="12">
        <f t="shared" si="1"/>
        <v>100</v>
      </c>
      <c r="F6" s="14">
        <f>C6*'01_Параметры'!$B$11+E6*'01_Параметры'!$B$12</f>
        <v>61.212255772646536</v>
      </c>
      <c r="G6" t="str">
        <f t="shared" si="2"/>
        <v>средний</v>
      </c>
    </row>
    <row r="7" spans="1:8">
      <c r="A7" s="11">
        <f>'03_Google_Trends'!A7</f>
        <v>46023</v>
      </c>
      <c r="B7" s="12">
        <f>'03_Google_Trends'!F7</f>
        <v>15.5625</v>
      </c>
      <c r="C7" s="12">
        <f t="shared" si="0"/>
        <v>27.642095914742448</v>
      </c>
      <c r="D7" s="7">
        <f>'04_Wordstat'!H7</f>
        <v>910.69500000000005</v>
      </c>
      <c r="E7" s="12">
        <f t="shared" si="1"/>
        <v>59.982769760930431</v>
      </c>
      <c r="F7" s="14">
        <f>C7*'01_Параметры'!$B$11+E7*'01_Параметры'!$B$12</f>
        <v>43.81243283783644</v>
      </c>
      <c r="G7" t="str">
        <f t="shared" si="2"/>
        <v>низкий</v>
      </c>
    </row>
    <row r="8" spans="1:8">
      <c r="A8" s="11">
        <f>'03_Google_Trends'!A8</f>
        <v>46054</v>
      </c>
      <c r="B8" s="12">
        <f>'03_Google_Trends'!F8</f>
        <v>22.5</v>
      </c>
      <c r="C8" s="12">
        <f t="shared" si="0"/>
        <v>39.964476021314375</v>
      </c>
      <c r="D8" s="7">
        <f>'04_Wordstat'!H8</f>
        <v>950.26199999999994</v>
      </c>
      <c r="E8" s="12">
        <f t="shared" si="1"/>
        <v>62.588843420202458</v>
      </c>
      <c r="F8" s="14">
        <f>C8*'01_Параметры'!$B$11+E8*'01_Параметры'!$B$12</f>
        <v>51.276659720758417</v>
      </c>
      <c r="G8" t="str">
        <f t="shared" si="2"/>
        <v>средний</v>
      </c>
    </row>
    <row r="9" spans="1:8">
      <c r="A9" s="11">
        <f>'03_Google_Trends'!A9</f>
        <v>46082</v>
      </c>
      <c r="B9" s="12">
        <f>'03_Google_Trends'!F9</f>
        <v>35.950000000000003</v>
      </c>
      <c r="C9" s="12">
        <f t="shared" si="0"/>
        <v>63.854351687388977</v>
      </c>
      <c r="D9" s="7">
        <f>'04_Wordstat'!H9</f>
        <v>1088.692</v>
      </c>
      <c r="E9" s="12">
        <f t="shared" si="1"/>
        <v>71.70651159451505</v>
      </c>
      <c r="F9" s="14">
        <f>C9*'01_Параметры'!$B$11+E9*'01_Параметры'!$B$12</f>
        <v>67.780431640952017</v>
      </c>
      <c r="G9" t="str">
        <f t="shared" si="2"/>
        <v>средний</v>
      </c>
    </row>
    <row r="10" spans="1:8">
      <c r="A10" s="11">
        <f>'03_Google_Trends'!A10</f>
        <v>46113</v>
      </c>
      <c r="B10" s="12">
        <f>'03_Google_Trends'!F10</f>
        <v>42.625</v>
      </c>
      <c r="C10" s="12">
        <f t="shared" si="0"/>
        <v>75.710479573712234</v>
      </c>
      <c r="D10" s="7">
        <f>'04_Wordstat'!H10</f>
        <v>1245.979</v>
      </c>
      <c r="E10" s="12">
        <f t="shared" si="1"/>
        <v>82.066192835092252</v>
      </c>
      <c r="F10" s="14">
        <f>C10*'01_Параметры'!$B$11+E10*'01_Параметры'!$B$12</f>
        <v>78.888336204402236</v>
      </c>
      <c r="G10" t="str">
        <f t="shared" si="2"/>
        <v>высокий</v>
      </c>
    </row>
    <row r="11" spans="1:8">
      <c r="A11" s="11">
        <f>'03_Google_Trends'!A11</f>
        <v>46143</v>
      </c>
      <c r="B11" s="12">
        <f>'03_Google_Trends'!F11</f>
        <v>56.300000000000011</v>
      </c>
      <c r="C11" s="12">
        <f t="shared" si="0"/>
        <v>100</v>
      </c>
      <c r="D11" s="7">
        <f>'04_Wordstat'!H11</f>
        <v>1088.5830000000001</v>
      </c>
      <c r="E11" s="12">
        <f t="shared" si="1"/>
        <v>71.699332328236068</v>
      </c>
      <c r="F11" s="14">
        <f>C11*'01_Параметры'!$B$11+E11*'01_Параметры'!$B$12</f>
        <v>85.849666164118034</v>
      </c>
      <c r="G11" t="str">
        <f t="shared" si="2"/>
        <v>высокий</v>
      </c>
    </row>
    <row r="12" spans="1:8">
      <c r="A12" s="11">
        <f>'03_Google_Trends'!A12</f>
        <v>46174</v>
      </c>
      <c r="B12" s="12">
        <f>'03_Google_Trends'!F12</f>
        <v>49.875</v>
      </c>
      <c r="C12" s="12">
        <f t="shared" si="0"/>
        <v>88.587921847246875</v>
      </c>
      <c r="D12" s="7">
        <f>'04_Wordstat'!H12</f>
        <v>1054.4659999999999</v>
      </c>
      <c r="E12" s="12">
        <f t="shared" si="1"/>
        <v>69.452221982913343</v>
      </c>
      <c r="F12" s="14">
        <f>C12*'01_Параметры'!$B$11+E12*'01_Параметры'!$B$12</f>
        <v>79.020071915080109</v>
      </c>
      <c r="G12" t="str">
        <f t="shared" si="2"/>
        <v>высокий</v>
      </c>
    </row>
    <row r="13" spans="1:8">
      <c r="A13" s="11">
        <f>'03_Google_Trends'!A13</f>
        <v>46204</v>
      </c>
      <c r="B13" s="12">
        <f>'03_Google_Trends'!F13</f>
        <v>28.8125</v>
      </c>
      <c r="C13" s="12">
        <f t="shared" si="0"/>
        <v>51.176731793960919</v>
      </c>
      <c r="D13" s="7">
        <f>'04_Wordstat'!H13</f>
        <v>663.48299999999995</v>
      </c>
      <c r="E13" s="12">
        <f t="shared" si="1"/>
        <v>43.700193840189527</v>
      </c>
      <c r="F13" s="14">
        <f>C13*'01_Параметры'!$B$11+E13*'01_Параметры'!$B$12</f>
        <v>47.438462817075219</v>
      </c>
      <c r="G13" t="str">
        <f t="shared" si="2"/>
        <v>средний</v>
      </c>
    </row>
    <row r="14" spans="1:8">
      <c r="A14" s="11">
        <f>'03_Google_Trends'!A14</f>
        <v>46235</v>
      </c>
      <c r="B14" s="12">
        <f>'03_Google_Trends'!F14</f>
        <v>24.9</v>
      </c>
      <c r="C14" s="12">
        <f t="shared" si="0"/>
        <v>44.22735346358791</v>
      </c>
      <c r="D14" s="7">
        <f>'04_Wordstat'!H14</f>
        <v>560.91399999999999</v>
      </c>
      <c r="E14" s="12">
        <f t="shared" si="1"/>
        <v>36.944504271663433</v>
      </c>
      <c r="F14" s="14">
        <f>C14*'01_Параметры'!$B$11+E14*'01_Параметры'!$B$12</f>
        <v>40.585928867625668</v>
      </c>
      <c r="G14" t="str">
        <f t="shared" si="2"/>
        <v>низкий</v>
      </c>
    </row>
    <row r="15" spans="1:8">
      <c r="A15" s="11">
        <f>'03_Google_Trends'!A15</f>
        <v>46266</v>
      </c>
      <c r="B15" s="12">
        <f>'03_Google_Trends'!F15</f>
        <v>34.914999999999999</v>
      </c>
      <c r="C15" s="12">
        <f t="shared" si="0"/>
        <v>62.015985790408514</v>
      </c>
      <c r="D15" s="7">
        <f>'04_Wordstat'!H15</f>
        <v>872.03633333333335</v>
      </c>
      <c r="E15" s="12">
        <f t="shared" si="1"/>
        <v>57.436523320649968</v>
      </c>
      <c r="F15" s="14">
        <f>C15*'01_Параметры'!$B$11+E15*'01_Параметры'!$B$12</f>
        <v>59.726254555529238</v>
      </c>
      <c r="G15" t="str">
        <f t="shared" si="2"/>
        <v>средний</v>
      </c>
    </row>
  </sheetData>
  <mergeCells count="1">
    <mergeCell ref="A1:H1"/>
  </mergeCells>
  <conditionalFormatting sqref="F4:F15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"/>
  <sheetViews>
    <sheetView workbookViewId="0"/>
  </sheetViews>
  <sheetFormatPr defaultRowHeight="13.5"/>
  <cols>
    <col min="1" max="1" width="34" customWidth="1"/>
    <col min="2" max="2" width="11.0625" customWidth="1"/>
    <col min="3" max="3" width="7.375" customWidth="1"/>
    <col min="4" max="4" width="13.875" customWidth="1"/>
    <col min="5" max="5" width="42" customWidth="1"/>
  </cols>
  <sheetData>
    <row r="1" spans="1:10" ht="17.649999999999999">
      <c r="A1" s="20" t="s">
        <v>80</v>
      </c>
      <c r="B1" s="21"/>
      <c r="C1" s="21"/>
      <c r="D1" s="21"/>
      <c r="E1" s="23"/>
      <c r="F1" s="21"/>
      <c r="G1" s="21"/>
      <c r="H1" s="21"/>
      <c r="I1" s="21"/>
      <c r="J1" s="21"/>
    </row>
    <row r="3" spans="1:10" ht="27.75">
      <c r="A3" s="3" t="s">
        <v>81</v>
      </c>
      <c r="B3" s="3" t="s">
        <v>82</v>
      </c>
      <c r="C3" s="3" t="s">
        <v>83</v>
      </c>
      <c r="D3" s="3" t="s">
        <v>84</v>
      </c>
      <c r="E3" s="3" t="s">
        <v>35</v>
      </c>
    </row>
    <row r="4" spans="1:10">
      <c r="A4" t="s">
        <v>85</v>
      </c>
      <c r="B4" s="15">
        <f>AVERAGE('04_Wordstat'!$H$4:$H$15)</f>
        <v>1066.6770277777778</v>
      </c>
      <c r="C4" s="15">
        <f>AVERAGE('04_Wordstat'!$H$4:$H$15)</f>
        <v>1066.6770277777778</v>
      </c>
      <c r="D4" s="15">
        <f>AVERAGE('04_Wordstat'!$H$4:$H$15)</f>
        <v>1066.6770277777778</v>
      </c>
      <c r="E4" t="s">
        <v>86</v>
      </c>
    </row>
    <row r="5" spans="1:10">
      <c r="A5" t="s">
        <v>42</v>
      </c>
      <c r="B5" s="5">
        <v>0.04</v>
      </c>
      <c r="C5" s="5">
        <v>0.08</v>
      </c>
      <c r="D5" s="5">
        <v>0.12</v>
      </c>
      <c r="E5" t="s">
        <v>87</v>
      </c>
    </row>
    <row r="6" spans="1:10">
      <c r="A6" t="s">
        <v>88</v>
      </c>
      <c r="B6" s="15">
        <f>B4*B5</f>
        <v>42.667081111111109</v>
      </c>
      <c r="C6" s="15">
        <f>C4*C5</f>
        <v>85.334162222222218</v>
      </c>
      <c r="D6" s="15">
        <f>D4*D5</f>
        <v>128.00124333333332</v>
      </c>
      <c r="E6" t="s">
        <v>89</v>
      </c>
    </row>
    <row r="7" spans="1:10">
      <c r="A7" t="s">
        <v>45</v>
      </c>
      <c r="B7" s="5">
        <v>0.02</v>
      </c>
      <c r="C7" s="5">
        <v>0.04</v>
      </c>
      <c r="D7" s="5">
        <v>7.0000000000000007E-2</v>
      </c>
      <c r="E7" t="s">
        <v>90</v>
      </c>
    </row>
    <row r="8" spans="1:10">
      <c r="A8" t="s">
        <v>91</v>
      </c>
      <c r="B8" s="15">
        <f>B6*B7</f>
        <v>0.85334162222222221</v>
      </c>
      <c r="C8" s="15">
        <f>C6*C7</f>
        <v>3.4133664888888888</v>
      </c>
      <c r="D8" s="15">
        <f>D6*D7</f>
        <v>8.960087033333334</v>
      </c>
      <c r="E8" t="s">
        <v>92</v>
      </c>
    </row>
    <row r="9" spans="1:10">
      <c r="A9" t="s">
        <v>47</v>
      </c>
      <c r="B9" s="5">
        <v>0.03</v>
      </c>
      <c r="C9" s="5">
        <v>0.05</v>
      </c>
      <c r="D9" s="5">
        <v>0.08</v>
      </c>
      <c r="E9" t="s">
        <v>93</v>
      </c>
    </row>
    <row r="10" spans="1:10">
      <c r="A10" t="s">
        <v>94</v>
      </c>
      <c r="B10" s="14">
        <f>B8*B9</f>
        <v>2.5600248666666665E-2</v>
      </c>
      <c r="C10" s="14">
        <f>C8*C9</f>
        <v>0.17066832444444446</v>
      </c>
      <c r="D10" s="14">
        <f>D8*D9</f>
        <v>0.71680696266666677</v>
      </c>
      <c r="E10" t="s">
        <v>95</v>
      </c>
    </row>
    <row r="11" spans="1:10">
      <c r="A11" t="s">
        <v>41</v>
      </c>
      <c r="B11" s="6">
        <v>53.88</v>
      </c>
      <c r="C11" s="6">
        <v>100.58</v>
      </c>
      <c r="D11" s="6">
        <v>149.15</v>
      </c>
      <c r="E11" t="s">
        <v>96</v>
      </c>
    </row>
    <row r="12" spans="1:10">
      <c r="A12" t="s">
        <v>97</v>
      </c>
      <c r="B12" s="6">
        <v>1</v>
      </c>
      <c r="C12" s="6">
        <v>1</v>
      </c>
      <c r="D12" s="6">
        <v>1</v>
      </c>
      <c r="E12" t="s">
        <v>98</v>
      </c>
    </row>
    <row r="13" spans="1:10">
      <c r="A13" t="s">
        <v>99</v>
      </c>
      <c r="B13" s="15">
        <f>B10*B11*B12</f>
        <v>1.37934139816</v>
      </c>
      <c r="C13" s="15">
        <f>C10*C11*C12</f>
        <v>17.165820072622225</v>
      </c>
      <c r="D13" s="15">
        <f>D10*D11*D12</f>
        <v>106.91175848173336</v>
      </c>
      <c r="E13" t="s">
        <v>100</v>
      </c>
    </row>
    <row r="14" spans="1:10">
      <c r="A14" t="s">
        <v>101</v>
      </c>
      <c r="B14" s="15">
        <f>B13*12</f>
        <v>16.552096777919999</v>
      </c>
      <c r="C14" s="15">
        <f>C13*12</f>
        <v>205.9898408714667</v>
      </c>
      <c r="D14" s="15">
        <f>D13*12</f>
        <v>1282.9411017808002</v>
      </c>
      <c r="E14" t="s">
        <v>102</v>
      </c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"/>
  <sheetViews>
    <sheetView workbookViewId="0"/>
  </sheetViews>
  <sheetFormatPr defaultRowHeight="13.5"/>
  <cols>
    <col min="1" max="1" width="36.625" customWidth="1"/>
    <col min="2" max="2" width="14.125" customWidth="1"/>
    <col min="3" max="3" width="11.4375" customWidth="1"/>
    <col min="4" max="4" width="13.4375" customWidth="1"/>
    <col min="5" max="5" width="10.75" customWidth="1"/>
    <col min="6" max="6" width="12.8125" customWidth="1"/>
    <col min="7" max="7" width="12" customWidth="1"/>
    <col min="8" max="8" width="42" customWidth="1"/>
  </cols>
  <sheetData>
    <row r="1" spans="1:8" ht="17.649999999999999">
      <c r="A1" s="20" t="s">
        <v>103</v>
      </c>
      <c r="B1" s="21"/>
      <c r="C1" s="21"/>
      <c r="D1" s="21"/>
      <c r="E1" s="21"/>
      <c r="F1" s="21"/>
      <c r="G1" s="21"/>
      <c r="H1" s="23"/>
    </row>
    <row r="3" spans="1:8" ht="27.75">
      <c r="A3" s="3" t="s">
        <v>104</v>
      </c>
      <c r="B3" s="3" t="s">
        <v>105</v>
      </c>
      <c r="C3" s="3" t="s">
        <v>91</v>
      </c>
      <c r="D3" s="3" t="s">
        <v>94</v>
      </c>
      <c r="E3" s="3" t="s">
        <v>41</v>
      </c>
      <c r="F3" s="3" t="s">
        <v>99</v>
      </c>
      <c r="G3" s="3" t="s">
        <v>101</v>
      </c>
      <c r="H3" s="3" t="s">
        <v>106</v>
      </c>
    </row>
    <row r="4" spans="1:8">
      <c r="A4" t="s">
        <v>82</v>
      </c>
      <c r="B4" s="12">
        <f>'06_Воронка'!B6</f>
        <v>42.667081111111109</v>
      </c>
      <c r="C4" s="12">
        <f>'06_Воронка'!B8</f>
        <v>0.85334162222222221</v>
      </c>
      <c r="D4" s="12">
        <f>'06_Воронка'!B10</f>
        <v>2.5600248666666665E-2</v>
      </c>
      <c r="E4" s="7">
        <f>'06_Воронка'!B11</f>
        <v>53.88</v>
      </c>
      <c r="F4" s="7">
        <f>'06_Воронка'!B13</f>
        <v>1.37934139816</v>
      </c>
      <c r="G4" s="7">
        <f>'06_Воронка'!B14</f>
        <v>16.552096777919999</v>
      </c>
      <c r="H4" t="s">
        <v>107</v>
      </c>
    </row>
    <row r="5" spans="1:8">
      <c r="A5" t="s">
        <v>83</v>
      </c>
      <c r="B5" s="12">
        <f>'06_Воронка'!C6</f>
        <v>85.334162222222218</v>
      </c>
      <c r="C5" s="12">
        <f>'06_Воронка'!C8</f>
        <v>3.4133664888888888</v>
      </c>
      <c r="D5" s="12">
        <f>'06_Воронка'!C10</f>
        <v>0.17066832444444446</v>
      </c>
      <c r="E5" s="7">
        <f>'06_Воронка'!C11</f>
        <v>100.58</v>
      </c>
      <c r="F5" s="7">
        <f>'06_Воронка'!C13</f>
        <v>17.165820072622225</v>
      </c>
      <c r="G5" s="7">
        <f>'06_Воронка'!C14</f>
        <v>205.9898408714667</v>
      </c>
      <c r="H5" t="s">
        <v>108</v>
      </c>
    </row>
    <row r="6" spans="1:8">
      <c r="A6" t="s">
        <v>84</v>
      </c>
      <c r="B6" s="12">
        <f>'06_Воронка'!D6</f>
        <v>128.00124333333332</v>
      </c>
      <c r="C6" s="12">
        <f>'06_Воронка'!D8</f>
        <v>8.960087033333334</v>
      </c>
      <c r="D6" s="12">
        <f>'06_Воронка'!D10</f>
        <v>0.71680696266666677</v>
      </c>
      <c r="E6" s="7">
        <f>'06_Воронка'!D11</f>
        <v>149.15</v>
      </c>
      <c r="F6" s="7">
        <f>'06_Воронка'!D13</f>
        <v>106.91175848173336</v>
      </c>
      <c r="G6" s="7">
        <f>'06_Воронка'!D14</f>
        <v>1282.9411017808002</v>
      </c>
      <c r="H6" t="s">
        <v>109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34" customWidth="1"/>
    <col min="2" max="2" width="13.4375" customWidth="1"/>
    <col min="3" max="3" width="48" customWidth="1"/>
  </cols>
  <sheetData>
    <row r="1" spans="1:8" ht="17.649999999999999">
      <c r="A1" s="20" t="s">
        <v>110</v>
      </c>
      <c r="B1" s="21"/>
      <c r="C1" s="21"/>
      <c r="D1" s="21"/>
      <c r="E1" s="21"/>
      <c r="F1" s="21"/>
      <c r="G1" s="21"/>
      <c r="H1" s="21"/>
    </row>
    <row r="3" spans="1:8" ht="13.9">
      <c r="A3" s="3" t="s">
        <v>81</v>
      </c>
      <c r="B3" s="3" t="s">
        <v>33</v>
      </c>
      <c r="C3" s="3" t="s">
        <v>35</v>
      </c>
    </row>
    <row r="4" spans="1:8">
      <c r="A4" s="2" t="s">
        <v>111</v>
      </c>
      <c r="B4" s="16">
        <f>AVERAGE('05_Нормализация'!F4:F15)</f>
        <v>62.160887270528953</v>
      </c>
      <c r="C4" s="2" t="s">
        <v>112</v>
      </c>
    </row>
    <row r="5" spans="1:8" ht="27">
      <c r="A5" s="2" t="s">
        <v>113</v>
      </c>
      <c r="B5" s="16">
        <f>MAX('05_Нормализация'!F4:F15)</f>
        <v>85.849666164118034</v>
      </c>
      <c r="C5" s="2" t="s">
        <v>114</v>
      </c>
    </row>
    <row r="6" spans="1:8">
      <c r="A6" s="2" t="s">
        <v>115</v>
      </c>
      <c r="B6" s="17">
        <f>AVERAGE('04_Wordstat'!H4:H15)</f>
        <v>1066.6770277777778</v>
      </c>
      <c r="C6" s="2" t="s">
        <v>116</v>
      </c>
    </row>
    <row r="7" spans="1:8">
      <c r="A7" s="2" t="s">
        <v>117</v>
      </c>
      <c r="B7" s="17">
        <f>'06_Воронка'!C13</f>
        <v>17.165820072622225</v>
      </c>
      <c r="C7" s="2" t="s">
        <v>118</v>
      </c>
    </row>
    <row r="8" spans="1:8">
      <c r="A8" s="2" t="s">
        <v>119</v>
      </c>
      <c r="B8" s="17">
        <f>'06_Воронка'!C14</f>
        <v>205.9898408714667</v>
      </c>
      <c r="C8" s="2" t="s">
        <v>118</v>
      </c>
    </row>
    <row r="9" spans="1:8" ht="27">
      <c r="A9" s="2" t="s">
        <v>120</v>
      </c>
      <c r="B9" s="18" t="str">
        <f>TEXT('06_Воронка'!B14,"# ##0")&amp;" — "&amp;TEXT('06_Воронка'!D14,"# ##0")</f>
        <v>17 — 1 283</v>
      </c>
      <c r="C9" s="2" t="s">
        <v>121</v>
      </c>
    </row>
    <row r="10" spans="1:8">
      <c r="A10" s="2" t="s">
        <v>122</v>
      </c>
      <c r="B10" s="18" t="str">
        <f>IF(B4&gt;=75,"высокий",IF(B4&gt;=45,"средний","низкий"))</f>
        <v>средний</v>
      </c>
      <c r="C10" s="2" t="s">
        <v>123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9"/>
  <sheetViews>
    <sheetView workbookViewId="0"/>
  </sheetViews>
  <sheetFormatPr defaultRowHeight="13.5"/>
  <cols>
    <col min="1" max="1" width="42.6875" customWidth="1"/>
    <col min="2" max="2" width="48" customWidth="1"/>
    <col min="3" max="3" width="14.25" customWidth="1"/>
    <col min="4" max="4" width="12.9375" customWidth="1"/>
    <col min="5" max="5" width="58" customWidth="1"/>
  </cols>
  <sheetData>
    <row r="1" spans="1:5" ht="17.649999999999999">
      <c r="A1" s="20" t="s">
        <v>124</v>
      </c>
      <c r="B1" s="21"/>
      <c r="C1" s="21"/>
      <c r="D1" s="21"/>
      <c r="E1" s="21"/>
    </row>
    <row r="3" spans="1:5" ht="27.75">
      <c r="A3" s="3" t="s">
        <v>125</v>
      </c>
      <c r="B3" s="3" t="s">
        <v>126</v>
      </c>
      <c r="C3" s="3" t="s">
        <v>127</v>
      </c>
      <c r="D3" s="3" t="s">
        <v>128</v>
      </c>
      <c r="E3" s="3" t="s">
        <v>129</v>
      </c>
    </row>
    <row r="4" spans="1:5" ht="27">
      <c r="A4" s="2" t="s">
        <v>130</v>
      </c>
      <c r="B4" s="2" t="s">
        <v>131</v>
      </c>
      <c r="C4" s="2" t="s">
        <v>180</v>
      </c>
      <c r="D4" s="19">
        <v>46298</v>
      </c>
      <c r="E4" s="2" t="s">
        <v>133</v>
      </c>
    </row>
    <row r="5" spans="1:5" ht="27">
      <c r="A5" s="2" t="s">
        <v>134</v>
      </c>
      <c r="B5" s="2" t="s">
        <v>135</v>
      </c>
      <c r="C5" s="2" t="s">
        <v>136</v>
      </c>
      <c r="D5" s="19">
        <v>46298</v>
      </c>
      <c r="E5" s="2" t="s">
        <v>137</v>
      </c>
    </row>
    <row r="6" spans="1:5" ht="54">
      <c r="A6" s="2" t="s">
        <v>138</v>
      </c>
      <c r="B6" s="2" t="s">
        <v>139</v>
      </c>
      <c r="C6" s="2" t="s">
        <v>181</v>
      </c>
      <c r="D6" s="19">
        <v>46298</v>
      </c>
      <c r="E6" s="2" t="s">
        <v>140</v>
      </c>
    </row>
    <row r="7" spans="1:5" ht="27">
      <c r="A7" s="2" t="s">
        <v>141</v>
      </c>
      <c r="B7" s="2" t="s">
        <v>142</v>
      </c>
      <c r="C7" s="2" t="s">
        <v>136</v>
      </c>
      <c r="D7" s="19">
        <v>46298</v>
      </c>
      <c r="E7" s="2" t="s">
        <v>143</v>
      </c>
    </row>
    <row r="8" spans="1:5">
      <c r="A8" s="2" t="s">
        <v>144</v>
      </c>
      <c r="B8" s="2" t="s">
        <v>145</v>
      </c>
      <c r="C8" s="2" t="s">
        <v>132</v>
      </c>
      <c r="D8" s="19">
        <v>46298</v>
      </c>
      <c r="E8" s="2" t="s">
        <v>182</v>
      </c>
    </row>
    <row r="9" spans="1:5">
      <c r="A9" s="2" t="s">
        <v>146</v>
      </c>
      <c r="B9" s="2" t="s">
        <v>147</v>
      </c>
      <c r="C9" s="2" t="s">
        <v>132</v>
      </c>
      <c r="D9" s="19">
        <v>46298</v>
      </c>
      <c r="E9" s="2" t="s">
        <v>183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02_Семантика</vt:lpstr>
      <vt:lpstr>03_Google_Trends</vt:lpstr>
      <vt:lpstr>04_Wordstat</vt:lpstr>
      <vt:lpstr>05_Нормализация</vt:lpstr>
      <vt:lpstr>06_Воронка</vt:lpstr>
      <vt:lpstr>07_Сценарии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2026-10-04T12:30:12Z</dcterms:modified>
</cp:coreProperties>
</file>