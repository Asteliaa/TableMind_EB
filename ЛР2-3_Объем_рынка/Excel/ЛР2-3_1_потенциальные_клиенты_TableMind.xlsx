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65B9E5A6-16C7-4775-8EDF-49AADB62CD37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6" l="1"/>
  <c r="I12" i="6" s="1"/>
  <c r="M12" i="6" s="1"/>
  <c r="N12" i="6" s="1"/>
  <c r="O12" i="6" s="1"/>
  <c r="F11" i="6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G10" i="7"/>
  <c r="G9" i="7"/>
  <c r="G8" i="7"/>
  <c r="G7" i="7"/>
  <c r="G6" i="7"/>
  <c r="G5" i="7"/>
  <c r="D17" i="6"/>
  <c r="F15" i="6"/>
  <c r="I15" i="6" s="1"/>
  <c r="M15" i="6" s="1"/>
  <c r="N15" i="6" s="1"/>
  <c r="O15" i="6" s="1"/>
  <c r="F14" i="6"/>
  <c r="I14" i="6" s="1"/>
  <c r="M14" i="6" s="1"/>
  <c r="N14" i="6" s="1"/>
  <c r="O14" i="6" s="1"/>
  <c r="F13" i="6"/>
  <c r="I13" i="6" s="1"/>
  <c r="M13" i="6" s="1"/>
  <c r="N13" i="6" s="1"/>
  <c r="O13" i="6" s="1"/>
  <c r="F5" i="6"/>
  <c r="F4" i="6"/>
  <c r="I4" i="6" s="1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F5" i="3"/>
  <c r="J5" i="3" s="1"/>
  <c r="M5" i="3" s="1"/>
  <c r="F4" i="3"/>
  <c r="J4" i="3" s="1"/>
  <c r="I6" i="4" l="1"/>
  <c r="C16" i="7" s="1"/>
  <c r="F17" i="6"/>
  <c r="I4" i="4"/>
  <c r="J4" i="4" s="1"/>
  <c r="D14" i="7" s="1"/>
  <c r="O5" i="3"/>
  <c r="I6" i="7" s="1"/>
  <c r="H6" i="7"/>
  <c r="I17" i="6"/>
  <c r="M4" i="6"/>
  <c r="O8" i="3"/>
  <c r="I9" i="7" s="1"/>
  <c r="H9" i="7"/>
  <c r="H8" i="7"/>
  <c r="O7" i="3"/>
  <c r="I8" i="7" s="1"/>
  <c r="O9" i="3"/>
  <c r="I10" i="7" s="1"/>
  <c r="H10" i="7"/>
  <c r="M4" i="3"/>
  <c r="I5" i="4"/>
  <c r="J6" i="3"/>
  <c r="M6" i="3" s="1"/>
  <c r="J6" i="4"/>
  <c r="D16" i="7" s="1"/>
  <c r="I5" i="6"/>
  <c r="M5" i="6" s="1"/>
  <c r="N5" i="6" s="1"/>
  <c r="O5" i="6" s="1"/>
  <c r="F12" i="3"/>
  <c r="C5" i="5" s="1"/>
  <c r="C14" i="7" l="1"/>
  <c r="O4" i="3"/>
  <c r="M12" i="3"/>
  <c r="C7" i="5" s="1"/>
  <c r="H5" i="7"/>
  <c r="C15" i="7"/>
  <c r="J5" i="4"/>
  <c r="D15" i="7" s="1"/>
  <c r="M17" i="6"/>
  <c r="N4" i="6"/>
  <c r="H7" i="7"/>
  <c r="O6" i="3"/>
  <c r="I7" i="7" s="1"/>
  <c r="J12" i="3"/>
  <c r="C6" i="5" s="1"/>
  <c r="C14" i="5" l="1"/>
  <c r="B7" i="7"/>
  <c r="N17" i="6"/>
  <c r="O4" i="6"/>
  <c r="O17" i="6" s="1"/>
  <c r="N19" i="6" s="1"/>
  <c r="B8" i="7" s="1"/>
  <c r="C15" i="5"/>
  <c r="B5" i="7"/>
  <c r="O12" i="3"/>
  <c r="C8" i="5" s="1"/>
  <c r="I5" i="7"/>
  <c r="C16" i="5" l="1"/>
  <c r="C9" i="5"/>
  <c r="B9" i="7" s="1"/>
  <c r="B6" i="7"/>
</calcChain>
</file>

<file path=xl/sharedStrings.xml><?xml version="1.0" encoding="utf-8"?>
<sst xmlns="http://schemas.openxmlformats.org/spreadsheetml/2006/main" count="369" uniqueCount="286">
  <si>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</si>
  <si>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</si>
  <si>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</si>
  <si>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</si>
  <si>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</si>
  <si>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</si>
  <si>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</si>
  <si>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</si>
  <si>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</si>
  <si>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</si>
  <si>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</si>
  <si>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</si>
  <si>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</si>
  <si>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</si>
  <si>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</si>
  <si>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</si>
  <si>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</si>
  <si>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</si>
  <si>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</si>
  <si>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</si>
  <si>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</si>
  <si>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</si>
  <si>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</si>
  <si>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</si>
  <si>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</si>
  <si>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</si>
  <si>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</si>
  <si>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</si>
  <si>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</si>
  <si>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</si>
  <si>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</si>
  <si>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</si>
  <si>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</si>
  <si>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</si>
  <si>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</si>
  <si>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</si>
  <si>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</si>
  <si>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</si>
  <si>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</si>
  <si>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</si>
  <si>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</si>
  <si>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</si>
  <si>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</si>
  <si>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</si>
  <si>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</si>
  <si>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</si>
  <si>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</si>
  <si>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</si>
  <si>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</si>
  <si>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</si>
  <si>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</si>
  <si>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</si>
  <si>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</si>
  <si>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</si>
  <si>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</si>
  <si>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</si>
  <si>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</si>
  <si>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</si>
  <si>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</si>
  <si>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</si>
  <si>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</si>
  <si>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</si>
  <si>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</si>
  <si>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</si>
  <si>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</si>
  <si>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</si>
  <si>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</si>
  <si>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</si>
  <si>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</si>
  <si>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</si>
  <si>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</si>
  <si>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</si>
  <si>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</si>
  <si>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</si>
  <si>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</si>
  <si>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</si>
  <si>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</si>
  <si>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</si>
  <si>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</si>
  <si>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</si>
  <si>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</si>
  <si>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</si>
  <si>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</si>
  <si>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</si>
  <si>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</si>
  <si>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</si>
  <si>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</si>
  <si>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</si>
  <si>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</si>
  <si>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</si>
  <si>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</si>
  <si>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</si>
  <si>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</si>
  <si>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</si>
  <si>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</si>
  <si>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</si>
  <si>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</si>
  <si>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</si>
  <si>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</si>
  <si>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</si>
  <si>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</si>
  <si>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</si>
  <si>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</si>
  <si>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</si>
  <si>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</si>
  <si>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</si>
  <si>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</si>
  <si>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</si>
  <si>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</si>
  <si>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</si>
  <si>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</si>
  <si>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</si>
  <si>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</si>
  <si>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</si>
  <si>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</si>
  <si>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</si>
  <si>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</si>
  <si>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</si>
  <si>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</si>
  <si>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</si>
  <si>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</si>
  <si>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</si>
  <si>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</si>
  <si>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</si>
  <si>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</si>
  <si>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</si>
  <si>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</si>
  <si>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</si>
  <si>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</si>
  <si>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</si>
  <si>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</si>
  <si>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</si>
  <si>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</si>
  <si>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</si>
  <si>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</si>
  <si>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</si>
  <si>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</si>
  <si>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</si>
  <si>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</si>
  <si>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</si>
  <si>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</si>
  <si>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</si>
  <si>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</si>
  <si>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</si>
  <si>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</si>
  <si>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</si>
  <si>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</si>
  <si>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</si>
  <si>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</si>
  <si>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</si>
  <si>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</si>
  <si>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</si>
  <si>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</si>
  <si>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</si>
  <si>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</si>
  <si>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</si>
  <si>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</si>
  <si>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</si>
  <si>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</si>
  <si>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</si>
  <si>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</si>
  <si>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</si>
  <si>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</si>
  <si>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</si>
  <si>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</si>
  <si>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</si>
  <si>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</si>
  <si>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</si>
  <si>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</si>
  <si>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</si>
  <si>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</si>
  <si>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</si>
  <si>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</si>
  <si>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</si>
  <si>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</si>
  <si>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</si>
  <si>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</si>
  <si>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</si>
  <si>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</si>
  <si>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</si>
  <si>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</si>
  <si>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</si>
  <si>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</si>
  <si>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</si>
  <si>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</si>
  <si>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</si>
  <si>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</si>
  <si>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</si>
  <si>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</si>
  <si>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По результатам оценки через количество потенциальных клиентов базовый доступный объем рынка составляет ориентировочно [SAM] BYN в год, а реалистично достижимый объем для нового бизнеса составляет [SOM] BYN в год.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</si>
  <si>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</si>
  <si>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</si>
  <si>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</si>
  <si>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</si>
  <si>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</si>
  <si>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</si>
  <si>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</si>
  <si>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</si>
  <si>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</si>
  <si>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</si>
  <si>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</si>
  <si>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</si>
  <si>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</si>
  <si>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</si>
  <si>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</si>
  <si>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</si>
  <si>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</si>
  <si>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</si>
  <si>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</si>
  <si>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</si>
  <si>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</si>
  <si>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</si>
  <si>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TableMind: онлайн-сервис независимой проверки (аудита) Excel-моделей</t>
  </si>
  <si>
    <t>Проверка таблиц и финансовых моделей</t>
  </si>
  <si>
    <t>Веб-аудит файла Excel и надстройка: поиск ошибок формул, структуры и логики; тарифы Free, 9 EUR, Pro 19 EUR, Team 29 EUR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</si>
  <si>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</si>
  <si>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</si>
  <si>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EUR</t>
  </si>
  <si>
    <t>Курс НБРБ 03.10.2026: 1 EUR = 3,3860 BYN</t>
  </si>
  <si>
    <t>Р. В. Земляник, гр. 60131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</si>
  <si>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</si>
  <si>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</si>
  <si>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</si>
  <si>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</si>
  <si>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</si>
  <si>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</si>
  <si>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</si>
  <si>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</si>
  <si>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</si>
  <si>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</si>
  <si>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</si>
  <si>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</si>
  <si>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</si>
  <si>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Свободная строка шаблона.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</si>
  <si>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</si>
  <si>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</si>
  <si>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</si>
  <si>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</si>
  <si>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частичный: AI-агент для Excel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</si>
  <si>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</si>
  <si>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</si>
  <si>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</si>
  <si>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</si>
  <si>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</si>
  <si>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</si>
  <si>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</si>
  <si>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</si>
  <si>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заменитель: AI-помощник в таблицах</t>
  </si>
  <si>
    <t>Operis</t>
  </si>
  <si>
    <t>https://www.similarweb.com/website/operis.com/</t>
  </si>
  <si>
    <t>прямой: аудит финансовых моделей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</si>
  <si>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</si>
  <si>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</si>
  <si>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</si>
  <si>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</si>
  <si>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</si>
  <si>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</si>
  <si>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</si>
  <si>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</si>
  <si>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заменитель: FP&amp;A-платформа для Excel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</si>
  <si>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</si>
  <si>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</si>
  <si>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</si>
  <si>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</si>
  <si>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</si>
  <si>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</si>
  <si>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</si>
  <si>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частичный: риски пользовательских таблиц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</si>
  <si>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</si>
  <si>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</si>
  <si>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</si>
  <si>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</si>
  <si>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</si>
  <si>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</si>
  <si>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</si>
  <si>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</si>
  <si>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</si>
  <si>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Допущение Д-10; Similarweb: каналы поиск и прямые заходы</t>
  </si>
  <si>
    <t>similarweb_снимок_2026-10-03.csv</t>
  </si>
  <si>
    <t>Цены конкурентов (PerfectXL от 69 EUR, Numerous 10 USD, Copilot 18 USD) и тарифы ПЗ1</t>
  </si>
  <si>
    <t>внешние_данные_2026-10-03.md</t>
  </si>
  <si>
    <t>Выручка первого года на платящего</t>
  </si>
  <si>
    <t>Структура платящих (допущение Д-09) и тарифы 9/19/29 EUR</t>
  </si>
  <si>
    <t>inputs.py</t>
  </si>
  <si>
    <t>Расчет по допущению</t>
  </si>
  <si>
    <t>Similarweb Pro (пробный доступ), 06-08.2026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</si>
</sst>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F-40E1-997D-0239D1B8EC5D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F-40E1-997D-0239D1B8E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5-4A04-B558-7E7D27316634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D5-4A04-B558-7E7D27316634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D5-4A04-B558-7E7D27316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7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3125" customWidth="1"/>
  </cols>
  <sheetData>
    <row r="1" spans="1:26" ht="17.649999999999999">
      <c r="A1" s="16" t="s">
        <v>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7" t="s">
        <v>1</v>
      </c>
      <c r="B3" s="17"/>
      <c r="C3" s="17"/>
      <c r="D3" s="17"/>
      <c r="E3" s="17"/>
      <c r="F3" s="17"/>
      <c r="G3" s="17"/>
      <c r="H3" s="1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7" t="s">
        <v>12</v>
      </c>
      <c r="B10" s="17"/>
      <c r="C10" s="17"/>
      <c r="D10" s="17"/>
      <c r="E10" s="17"/>
      <c r="F10" s="17"/>
      <c r="G10" s="17"/>
      <c r="H10" s="1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7" t="s">
        <v>35</v>
      </c>
      <c r="B20" s="17"/>
      <c r="C20" s="17"/>
      <c r="D20" s="17"/>
      <c r="E20" s="17"/>
      <c r="F20" s="17"/>
      <c r="G20" s="17"/>
      <c r="H20" s="1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6" t="s">
        <v>48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1" t="s">
        <v>53</v>
      </c>
      <c r="B4" s="3" t="s">
        <v>212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3.9">
      <c r="A5" s="11" t="s">
        <v>56</v>
      </c>
      <c r="B5" s="3" t="s">
        <v>213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1" t="s">
        <v>59</v>
      </c>
      <c r="B6" s="3" t="s">
        <v>214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54">
      <c r="A7" s="11" t="s">
        <v>62</v>
      </c>
      <c r="B7" s="3" t="s">
        <v>215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216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217</v>
      </c>
      <c r="C9" s="10" t="s">
        <v>218</v>
      </c>
      <c r="D9" s="10" t="s">
        <v>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70</v>
      </c>
      <c r="B10" s="3" t="s">
        <v>71</v>
      </c>
      <c r="C10" s="10" t="s">
        <v>72</v>
      </c>
      <c r="D10" s="10" t="s">
        <v>69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73</v>
      </c>
      <c r="B11" s="4">
        <v>46298</v>
      </c>
      <c r="C11" s="10" t="s">
        <v>74</v>
      </c>
      <c r="D11" s="10" t="s">
        <v>75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76</v>
      </c>
      <c r="B12" s="3" t="s">
        <v>219</v>
      </c>
      <c r="C12" s="10" t="s">
        <v>77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7" t="s">
        <v>78</v>
      </c>
      <c r="B15" s="17"/>
      <c r="C15" s="17"/>
      <c r="D15" s="17"/>
      <c r="E15" s="17"/>
      <c r="F15" s="17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79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80</v>
      </c>
      <c r="B17" s="10" t="s">
        <v>81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82</v>
      </c>
      <c r="B18" s="10" t="s">
        <v>83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84</v>
      </c>
      <c r="B19" s="10" t="s">
        <v>85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86</v>
      </c>
      <c r="B20" s="10" t="s">
        <v>87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88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89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91</v>
      </c>
      <c r="B3" s="2" t="s">
        <v>92</v>
      </c>
      <c r="C3" s="2" t="s">
        <v>93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2" t="s">
        <v>84</v>
      </c>
      <c r="L3" s="2" t="s">
        <v>101</v>
      </c>
      <c r="M3" s="2" t="s">
        <v>102</v>
      </c>
      <c r="N3" s="2" t="s">
        <v>103</v>
      </c>
      <c r="O3" s="2" t="s">
        <v>104</v>
      </c>
      <c r="P3" s="2" t="s">
        <v>105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220</v>
      </c>
      <c r="B4" s="10" t="s">
        <v>221</v>
      </c>
      <c r="C4" s="10" t="s">
        <v>222</v>
      </c>
      <c r="D4" s="12">
        <v>1218525</v>
      </c>
      <c r="E4" s="13">
        <v>0.7</v>
      </c>
      <c r="F4" s="12">
        <f t="shared" ref="F4:F10" si="0">D4*E4</f>
        <v>852967.5</v>
      </c>
      <c r="G4" s="13">
        <v>0.3</v>
      </c>
      <c r="H4" s="13">
        <v>0.6</v>
      </c>
      <c r="I4" s="13">
        <v>0.35</v>
      </c>
      <c r="J4" s="12">
        <f t="shared" ref="J4:J10" si="1">F4*G4*H4*I4</f>
        <v>53736.952499999992</v>
      </c>
      <c r="K4" s="12">
        <v>120</v>
      </c>
      <c r="L4" s="14">
        <v>1</v>
      </c>
      <c r="M4" s="12">
        <f t="shared" ref="M4:M10" si="2">J4*K4*L4</f>
        <v>6448434.2999999989</v>
      </c>
      <c r="N4" s="15">
        <v>1.5E-3</v>
      </c>
      <c r="O4" s="12">
        <f t="shared" ref="O4:O10" si="3">M4*N4</f>
        <v>9672.6514499999994</v>
      </c>
      <c r="P4" s="10" t="s">
        <v>107</v>
      </c>
      <c r="Q4" s="10" t="s">
        <v>223</v>
      </c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224</v>
      </c>
      <c r="B5" s="10" t="s">
        <v>221</v>
      </c>
      <c r="C5" s="10" t="s">
        <v>222</v>
      </c>
      <c r="D5" s="12">
        <v>4386800</v>
      </c>
      <c r="E5" s="13">
        <v>0.35</v>
      </c>
      <c r="F5" s="12">
        <f t="shared" si="0"/>
        <v>1535380</v>
      </c>
      <c r="G5" s="13">
        <v>0.2</v>
      </c>
      <c r="H5" s="13">
        <v>0.6</v>
      </c>
      <c r="I5" s="13">
        <v>0.3</v>
      </c>
      <c r="J5" s="12">
        <f t="shared" si="1"/>
        <v>55273.68</v>
      </c>
      <c r="K5" s="12">
        <v>70</v>
      </c>
      <c r="L5" s="14">
        <v>1</v>
      </c>
      <c r="M5" s="12">
        <f t="shared" si="2"/>
        <v>3869157.6</v>
      </c>
      <c r="N5" s="15">
        <v>1E-3</v>
      </c>
      <c r="O5" s="12">
        <f t="shared" si="3"/>
        <v>3869.1576</v>
      </c>
      <c r="P5" s="10" t="s">
        <v>107</v>
      </c>
      <c r="Q5" s="10" t="s">
        <v>225</v>
      </c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226</v>
      </c>
      <c r="B6" s="10" t="s">
        <v>221</v>
      </c>
      <c r="C6" s="10" t="s">
        <v>222</v>
      </c>
      <c r="D6" s="12">
        <v>2962025</v>
      </c>
      <c r="E6" s="13">
        <v>0.4</v>
      </c>
      <c r="F6" s="12">
        <f t="shared" si="0"/>
        <v>1184810</v>
      </c>
      <c r="G6" s="13">
        <v>0.3</v>
      </c>
      <c r="H6" s="13">
        <v>0.7</v>
      </c>
      <c r="I6" s="13">
        <v>0.4</v>
      </c>
      <c r="J6" s="12">
        <f t="shared" si="1"/>
        <v>99524.04</v>
      </c>
      <c r="K6" s="12">
        <v>180</v>
      </c>
      <c r="L6" s="14">
        <v>1</v>
      </c>
      <c r="M6" s="12">
        <f t="shared" si="2"/>
        <v>17914327.199999999</v>
      </c>
      <c r="N6" s="15">
        <v>1.5E-3</v>
      </c>
      <c r="O6" s="12">
        <f t="shared" si="3"/>
        <v>26871.4908</v>
      </c>
      <c r="P6" s="10" t="s">
        <v>108</v>
      </c>
      <c r="Q6" s="10" t="s">
        <v>227</v>
      </c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228</v>
      </c>
      <c r="B7" s="10" t="s">
        <v>221</v>
      </c>
      <c r="C7" s="10" t="s">
        <v>229</v>
      </c>
      <c r="D7" s="12">
        <v>17415635</v>
      </c>
      <c r="E7" s="13">
        <v>0.03</v>
      </c>
      <c r="F7" s="12">
        <f t="shared" si="0"/>
        <v>522469.05</v>
      </c>
      <c r="G7" s="13">
        <v>0.3</v>
      </c>
      <c r="H7" s="13">
        <v>0.6</v>
      </c>
      <c r="I7" s="13">
        <v>0.3</v>
      </c>
      <c r="J7" s="12">
        <f t="shared" si="1"/>
        <v>28213.328699999995</v>
      </c>
      <c r="K7" s="12">
        <v>240</v>
      </c>
      <c r="L7" s="14">
        <v>1</v>
      </c>
      <c r="M7" s="12">
        <f t="shared" si="2"/>
        <v>6771198.8879999984</v>
      </c>
      <c r="N7" s="15">
        <v>5.0000000000000001E-4</v>
      </c>
      <c r="O7" s="12">
        <f t="shared" si="3"/>
        <v>3385.5994439999995</v>
      </c>
      <c r="P7" s="10" t="s">
        <v>108</v>
      </c>
      <c r="Q7" s="10" t="s">
        <v>230</v>
      </c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231</v>
      </c>
      <c r="B8" s="10" t="s">
        <v>106</v>
      </c>
      <c r="C8" s="10" t="s">
        <v>232</v>
      </c>
      <c r="D8" s="12">
        <v>0</v>
      </c>
      <c r="E8" s="13">
        <v>0</v>
      </c>
      <c r="F8" s="12">
        <f t="shared" si="0"/>
        <v>0</v>
      </c>
      <c r="G8" s="13">
        <v>0</v>
      </c>
      <c r="H8" s="13">
        <v>0</v>
      </c>
      <c r="I8" s="13">
        <v>0</v>
      </c>
      <c r="J8" s="12">
        <f t="shared" si="1"/>
        <v>0</v>
      </c>
      <c r="K8" s="12">
        <v>0</v>
      </c>
      <c r="L8" s="14">
        <v>0</v>
      </c>
      <c r="M8" s="12">
        <f t="shared" si="2"/>
        <v>0</v>
      </c>
      <c r="N8" s="15">
        <v>0</v>
      </c>
      <c r="O8" s="12">
        <f t="shared" si="3"/>
        <v>0</v>
      </c>
      <c r="P8" s="10" t="s">
        <v>109</v>
      </c>
      <c r="Q8" s="10" t="s">
        <v>233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231</v>
      </c>
      <c r="B9" s="10" t="s">
        <v>106</v>
      </c>
      <c r="C9" s="10" t="s">
        <v>232</v>
      </c>
      <c r="D9" s="12">
        <v>0</v>
      </c>
      <c r="E9" s="13">
        <v>0</v>
      </c>
      <c r="F9" s="12">
        <f t="shared" si="0"/>
        <v>0</v>
      </c>
      <c r="G9" s="13">
        <v>0</v>
      </c>
      <c r="H9" s="13">
        <v>0</v>
      </c>
      <c r="I9" s="13">
        <v>0</v>
      </c>
      <c r="J9" s="12">
        <f t="shared" si="1"/>
        <v>0</v>
      </c>
      <c r="K9" s="12">
        <v>0</v>
      </c>
      <c r="L9" s="14">
        <v>0</v>
      </c>
      <c r="M9" s="12">
        <f t="shared" si="2"/>
        <v>0</v>
      </c>
      <c r="N9" s="15">
        <v>0</v>
      </c>
      <c r="O9" s="12">
        <f t="shared" si="3"/>
        <v>0</v>
      </c>
      <c r="P9" s="10" t="s">
        <v>109</v>
      </c>
      <c r="Q9" s="10" t="s">
        <v>233</v>
      </c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 t="s">
        <v>231</v>
      </c>
      <c r="B10" s="10" t="s">
        <v>106</v>
      </c>
      <c r="C10" s="10" t="s">
        <v>232</v>
      </c>
      <c r="D10" s="12">
        <v>0</v>
      </c>
      <c r="E10" s="13">
        <v>0</v>
      </c>
      <c r="F10" s="12">
        <f t="shared" si="0"/>
        <v>0</v>
      </c>
      <c r="G10" s="13">
        <v>0</v>
      </c>
      <c r="H10" s="13">
        <v>0</v>
      </c>
      <c r="I10" s="13">
        <v>0</v>
      </c>
      <c r="J10" s="12">
        <f t="shared" si="1"/>
        <v>0</v>
      </c>
      <c r="K10" s="12">
        <v>0</v>
      </c>
      <c r="L10" s="14">
        <v>0</v>
      </c>
      <c r="M10" s="12">
        <f t="shared" si="2"/>
        <v>0</v>
      </c>
      <c r="N10" s="15">
        <v>0</v>
      </c>
      <c r="O10" s="12">
        <f t="shared" si="3"/>
        <v>0</v>
      </c>
      <c r="P10" s="10" t="s">
        <v>109</v>
      </c>
      <c r="Q10" s="10" t="s">
        <v>233</v>
      </c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110</v>
      </c>
      <c r="B12" s="1"/>
      <c r="C12" s="1"/>
      <c r="D12" s="5">
        <f>SUM(D4:D10)</f>
        <v>25982985</v>
      </c>
      <c r="E12" s="6"/>
      <c r="F12" s="5">
        <f>SUM(F4:F10)</f>
        <v>4095626.55</v>
      </c>
      <c r="G12" s="6"/>
      <c r="H12" s="6"/>
      <c r="I12" s="6"/>
      <c r="J12" s="5">
        <f>SUM(J4:J10)</f>
        <v>236748.00119999997</v>
      </c>
      <c r="K12" s="5"/>
      <c r="L12" s="7"/>
      <c r="M12" s="5">
        <f>SUM(M4:M10)</f>
        <v>35003117.987999998</v>
      </c>
      <c r="N12" s="8"/>
      <c r="O12" s="5">
        <f>SUM(O4:O10)</f>
        <v>43798.899293999995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</conditionalFormatting>
  <conditionalFormatting sqref="O4:O10">
    <cfRule type="dataBar" priority="2">
      <dataBar>
        <cfvo type="min"/>
        <cfvo type="max"/>
        <color rgb="FF5B9BD5"/>
      </dataBar>
    </cfRule>
  </conditionalFormatting>
  <conditionalFormatting sqref="M4:M10"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6" t="s">
        <v>111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67.5">
      <c r="A4" s="10" t="s">
        <v>119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5.0000000000000001E-4</v>
      </c>
      <c r="H4" s="12">
        <f>SUMPRODUCT('02_Сегменты'!$D$4:$D$10,'02_Сегменты'!$K$4:$K$10,'02_Сегменты'!$L$4:$L$10)*E4*F4</f>
        <v>3306378176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10080897.980544001</v>
      </c>
      <c r="J4" s="12">
        <f>I4*G4</f>
        <v>5040.4489902720006</v>
      </c>
      <c r="K4" s="10" t="s">
        <v>234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120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1.2999999999999999E-3</v>
      </c>
      <c r="H5" s="12">
        <f>SUMPRODUCT('02_Сегменты'!$D$4:$D$10,'02_Сегменты'!$K$4:$K$10,'02_Сегменты'!$L$4:$L$10)*E5*F5</f>
        <v>5166215900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35003117.987999998</v>
      </c>
      <c r="J5" s="12">
        <f>I5*G5</f>
        <v>45504.053384399995</v>
      </c>
      <c r="K5" s="10" t="s">
        <v>121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122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3.0000000000000001E-3</v>
      </c>
      <c r="H6" s="12">
        <f>SUMPRODUCT('02_Сегменты'!$D$4:$D$10,'02_Сегменты'!$K$4:$K$10,'02_Сегменты'!$L$4:$L$10)*E6*F6</f>
        <v>6535263113.500001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73325931.685981899</v>
      </c>
      <c r="J6" s="12">
        <f>I6*G6</f>
        <v>219977.79505794571</v>
      </c>
      <c r="K6" s="10" t="s">
        <v>235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</conditionalFormatting>
  <conditionalFormatting sqref="H4:J6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9.9375" customWidth="1"/>
    <col min="4" max="4" width="52" customWidth="1"/>
  </cols>
  <sheetData>
    <row r="1" spans="1:26" ht="17.649999999999999">
      <c r="A1" s="16" t="s">
        <v>123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124</v>
      </c>
      <c r="C3" s="2" t="s">
        <v>50</v>
      </c>
      <c r="D3" s="2" t="s">
        <v>125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126</v>
      </c>
      <c r="B4" s="10" t="s">
        <v>127</v>
      </c>
      <c r="C4" s="12">
        <f>SUMPRODUCT('02_Сегменты'!$D$4:$D$10,'02_Сегменты'!$K$4:$K$10,'02_Сегменты'!$L$4:$L$10)</f>
        <v>5166215900</v>
      </c>
      <c r="D4" s="10" t="s">
        <v>128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129</v>
      </c>
      <c r="B5" s="10" t="s">
        <v>130</v>
      </c>
      <c r="C5" s="12">
        <f>'02_Сегменты'!F12</f>
        <v>4095626.55</v>
      </c>
      <c r="D5" s="10" t="s">
        <v>131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132</v>
      </c>
      <c r="B6" s="10" t="s">
        <v>133</v>
      </c>
      <c r="C6" s="12">
        <f>'02_Сегменты'!J12</f>
        <v>236748.00119999997</v>
      </c>
      <c r="D6" s="10" t="s">
        <v>134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135</v>
      </c>
      <c r="C7" s="12">
        <f>'02_Сегменты'!M12</f>
        <v>35003117.987999998</v>
      </c>
      <c r="D7" s="10" t="s">
        <v>136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137</v>
      </c>
      <c r="C8" s="12">
        <f>'02_Сегменты'!O12</f>
        <v>43798.899293999995</v>
      </c>
      <c r="D8" s="10" t="s">
        <v>138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0" t="s">
        <v>140</v>
      </c>
      <c r="C9" s="15">
        <f>IFERROR(C8/C7,0)</f>
        <v>1.2512856514386925E-3</v>
      </c>
      <c r="D9" s="10" t="s">
        <v>141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142</v>
      </c>
      <c r="B12" s="17"/>
      <c r="C12" s="17"/>
      <c r="D12" s="17"/>
      <c r="E12" s="17"/>
      <c r="F12" s="17"/>
      <c r="G12" s="17"/>
      <c r="H12" s="1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143</v>
      </c>
      <c r="B13" s="2" t="s">
        <v>144</v>
      </c>
      <c r="C13" s="2" t="s">
        <v>50</v>
      </c>
      <c r="D13" s="2" t="s">
        <v>145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146</v>
      </c>
      <c r="B14" s="10" t="s">
        <v>147</v>
      </c>
      <c r="C14" s="15">
        <f>IFERROR(C6/C5,0)</f>
        <v>5.7805075318695741E-2</v>
      </c>
      <c r="D14" s="10" t="s">
        <v>148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149</v>
      </c>
      <c r="B15" s="10" t="s">
        <v>150</v>
      </c>
      <c r="C15" s="12">
        <f>IFERROR(C7/C6,0)</f>
        <v>147.84968747605208</v>
      </c>
      <c r="D15" s="10" t="s">
        <v>151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152</v>
      </c>
      <c r="B16" s="10" t="s">
        <v>153</v>
      </c>
      <c r="C16" s="15">
        <f>IFERROR(C8/'05_Similarweb'!N19,0)</f>
        <v>0.20811868612979134</v>
      </c>
      <c r="D16" s="10" t="s">
        <v>154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7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6" t="s">
        <v>155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156</v>
      </c>
      <c r="B3" s="2" t="s">
        <v>157</v>
      </c>
      <c r="C3" s="2" t="s">
        <v>158</v>
      </c>
      <c r="D3" s="2" t="s">
        <v>159</v>
      </c>
      <c r="E3" s="2" t="s">
        <v>160</v>
      </c>
      <c r="F3" s="2" t="s">
        <v>161</v>
      </c>
      <c r="G3" s="2" t="s">
        <v>162</v>
      </c>
      <c r="H3" s="2" t="s">
        <v>163</v>
      </c>
      <c r="I3" s="2" t="s">
        <v>164</v>
      </c>
      <c r="J3" s="2" t="s">
        <v>165</v>
      </c>
      <c r="K3" s="2" t="s">
        <v>166</v>
      </c>
      <c r="L3" s="2" t="s">
        <v>84</v>
      </c>
      <c r="M3" s="2" t="s">
        <v>167</v>
      </c>
      <c r="N3" s="2" t="s">
        <v>168</v>
      </c>
      <c r="O3" s="2" t="s">
        <v>169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236</v>
      </c>
      <c r="B4" s="10" t="s">
        <v>237</v>
      </c>
      <c r="C4" s="10" t="s">
        <v>238</v>
      </c>
      <c r="D4" s="12">
        <v>154111</v>
      </c>
      <c r="E4" s="13">
        <v>0.26539999999999997</v>
      </c>
      <c r="F4" s="12">
        <f>D4*E4</f>
        <v>40901.059399999998</v>
      </c>
      <c r="G4" s="13">
        <v>0.35</v>
      </c>
      <c r="H4" s="13">
        <v>0.85</v>
      </c>
      <c r="I4" s="12">
        <f>F4*G4*H4</f>
        <v>12168.065171499999</v>
      </c>
      <c r="J4" s="15">
        <v>0.04</v>
      </c>
      <c r="K4" s="15">
        <v>0.05</v>
      </c>
      <c r="L4" s="12">
        <v>100.575</v>
      </c>
      <c r="M4" s="12">
        <f>I4*J4*K4</f>
        <v>24.336130342999997</v>
      </c>
      <c r="N4" s="12">
        <f>M4*L4</f>
        <v>2447.606309247225</v>
      </c>
      <c r="O4" s="12">
        <f>N4*12</f>
        <v>29371.2757109667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239</v>
      </c>
      <c r="B5" s="10" t="s">
        <v>240</v>
      </c>
      <c r="C5" s="10" t="s">
        <v>241</v>
      </c>
      <c r="D5" s="12">
        <v>35325</v>
      </c>
      <c r="E5" s="13">
        <v>0.4395</v>
      </c>
      <c r="F5" s="12">
        <f>D5*E5</f>
        <v>15525.3375</v>
      </c>
      <c r="G5" s="13">
        <v>0.8</v>
      </c>
      <c r="H5" s="13">
        <v>0.85</v>
      </c>
      <c r="I5" s="12">
        <f>F5*G5*H5</f>
        <v>10557.229499999999</v>
      </c>
      <c r="J5" s="15">
        <v>0.04</v>
      </c>
      <c r="K5" s="15">
        <v>0.05</v>
      </c>
      <c r="L5" s="12">
        <v>100.575</v>
      </c>
      <c r="M5" s="12">
        <f>I5*J5*K5</f>
        <v>21.114459</v>
      </c>
      <c r="N5" s="12">
        <f>M5*L5</f>
        <v>2123.5867139249999</v>
      </c>
      <c r="O5" s="12">
        <f>N5*12</f>
        <v>25483.040567099997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242</v>
      </c>
      <c r="B6" s="10" t="s">
        <v>243</v>
      </c>
      <c r="C6" s="10" t="s">
        <v>244</v>
      </c>
      <c r="D6" s="12">
        <v>241737</v>
      </c>
      <c r="E6" s="13">
        <v>0.1091</v>
      </c>
      <c r="F6" s="12">
        <f>D6*E6</f>
        <v>26373.506700000002</v>
      </c>
      <c r="G6" s="13">
        <v>0.15</v>
      </c>
      <c r="H6" s="13">
        <v>0.85</v>
      </c>
      <c r="I6" s="12">
        <f>F6*G6*H6</f>
        <v>3362.6221042500001</v>
      </c>
      <c r="J6" s="15">
        <v>0.04</v>
      </c>
      <c r="K6" s="15">
        <v>0.05</v>
      </c>
      <c r="L6" s="12">
        <v>100.575</v>
      </c>
      <c r="M6" s="12">
        <f>I6*J6*K6</f>
        <v>6.7252442085000004</v>
      </c>
      <c r="N6" s="12">
        <f>M6*L6</f>
        <v>676.39143626988755</v>
      </c>
      <c r="O6" s="12">
        <f>N6*12</f>
        <v>8116.697235238651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245</v>
      </c>
      <c r="B7" s="10" t="s">
        <v>246</v>
      </c>
      <c r="C7" s="10" t="s">
        <v>247</v>
      </c>
      <c r="D7" s="12">
        <v>202178</v>
      </c>
      <c r="E7" s="13">
        <v>0.16220000000000001</v>
      </c>
      <c r="F7" s="12">
        <f>D7*E7</f>
        <v>32793.2716</v>
      </c>
      <c r="G7" s="13">
        <v>0.3</v>
      </c>
      <c r="H7" s="13">
        <v>0.85</v>
      </c>
      <c r="I7" s="12">
        <f>F7*G7*H7</f>
        <v>8362.2842579999997</v>
      </c>
      <c r="J7" s="15">
        <v>0.04</v>
      </c>
      <c r="K7" s="15">
        <v>0.05</v>
      </c>
      <c r="L7" s="12">
        <v>100.575</v>
      </c>
      <c r="M7" s="12">
        <f>I7*J7*K7</f>
        <v>16.724568516000001</v>
      </c>
      <c r="N7" s="12">
        <f>M7*L7</f>
        <v>1682.0734784967001</v>
      </c>
      <c r="O7" s="12">
        <f>N7*12</f>
        <v>20184.881741960402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248</v>
      </c>
      <c r="B8" s="10" t="s">
        <v>249</v>
      </c>
      <c r="C8" s="10" t="s">
        <v>250</v>
      </c>
      <c r="D8" s="12">
        <v>14688</v>
      </c>
      <c r="E8" s="13">
        <v>0.95979999999999999</v>
      </c>
      <c r="F8" s="12">
        <f>D8*E8</f>
        <v>14097.5424</v>
      </c>
      <c r="G8" s="13">
        <v>0.5</v>
      </c>
      <c r="H8" s="13">
        <v>0.8</v>
      </c>
      <c r="I8" s="12">
        <f>F8*G8*H8</f>
        <v>5639.0169600000008</v>
      </c>
      <c r="J8" s="15">
        <v>0.04</v>
      </c>
      <c r="K8" s="15">
        <v>0.05</v>
      </c>
      <c r="L8" s="12">
        <v>100.575</v>
      </c>
      <c r="M8" s="12">
        <f>I8*J8*K8</f>
        <v>11.278033920000002</v>
      </c>
      <c r="N8" s="12">
        <f>M8*L8</f>
        <v>1134.2882615040003</v>
      </c>
      <c r="O8" s="12">
        <f>N8*12</f>
        <v>13611.459138048003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251</v>
      </c>
      <c r="B9" s="10" t="s">
        <v>252</v>
      </c>
      <c r="C9" s="10" t="s">
        <v>241</v>
      </c>
      <c r="D9" s="12">
        <v>17824</v>
      </c>
      <c r="E9" s="13">
        <v>0.58709999999999996</v>
      </c>
      <c r="F9" s="12">
        <f>D9*E9</f>
        <v>10464.470399999998</v>
      </c>
      <c r="G9" s="13">
        <v>0.8</v>
      </c>
      <c r="H9" s="13">
        <v>0.8</v>
      </c>
      <c r="I9" s="12">
        <f>F9*G9*H9</f>
        <v>6697.2610559999994</v>
      </c>
      <c r="J9" s="15">
        <v>0.04</v>
      </c>
      <c r="K9" s="15">
        <v>0.05</v>
      </c>
      <c r="L9" s="12">
        <v>100.575</v>
      </c>
      <c r="M9" s="12">
        <f>I9*J9*K9</f>
        <v>13.394522111999999</v>
      </c>
      <c r="N9" s="12">
        <f>M9*L9</f>
        <v>1347.1540614143998</v>
      </c>
      <c r="O9" s="12">
        <f>N9*12</f>
        <v>16165.848736972799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0" t="s">
        <v>253</v>
      </c>
      <c r="B10" s="10" t="s">
        <v>254</v>
      </c>
      <c r="C10" s="10" t="s">
        <v>247</v>
      </c>
      <c r="D10" s="12">
        <v>292214</v>
      </c>
      <c r="E10" s="13">
        <v>9.6499999999999989E-2</v>
      </c>
      <c r="F10" s="12">
        <f>D10*E10</f>
        <v>28198.650999999998</v>
      </c>
      <c r="G10" s="13">
        <v>0.3</v>
      </c>
      <c r="H10" s="13">
        <v>0.8</v>
      </c>
      <c r="I10" s="12">
        <f>F10*G10*H10</f>
        <v>6767.6762399999998</v>
      </c>
      <c r="J10" s="15">
        <v>0.04</v>
      </c>
      <c r="K10" s="15">
        <v>0.05</v>
      </c>
      <c r="L10" s="12">
        <v>100.575</v>
      </c>
      <c r="M10" s="12">
        <f>I10*J10*K10</f>
        <v>13.53535248</v>
      </c>
      <c r="N10" s="12">
        <f>M10*L10</f>
        <v>1361.318075676</v>
      </c>
      <c r="O10" s="12">
        <f>N10*12</f>
        <v>16335.816908112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7">
      <c r="A11" s="10" t="s">
        <v>255</v>
      </c>
      <c r="B11" s="10" t="s">
        <v>256</v>
      </c>
      <c r="C11" s="10" t="s">
        <v>247</v>
      </c>
      <c r="D11" s="12">
        <v>116617</v>
      </c>
      <c r="E11" s="13">
        <v>0.18229999999999999</v>
      </c>
      <c r="F11" s="12">
        <f>D11*E11</f>
        <v>21259.2791</v>
      </c>
      <c r="G11" s="13">
        <v>0.25</v>
      </c>
      <c r="H11" s="13">
        <v>0.85</v>
      </c>
      <c r="I11" s="12">
        <f>F11*G11*H11</f>
        <v>4517.5968087499996</v>
      </c>
      <c r="J11" s="15">
        <v>0.04</v>
      </c>
      <c r="K11" s="15">
        <v>0.05</v>
      </c>
      <c r="L11" s="12">
        <v>100.575</v>
      </c>
      <c r="M11" s="12">
        <f>I11*J11*K11</f>
        <v>9.0351936174999992</v>
      </c>
      <c r="N11" s="12">
        <f>M11*L11</f>
        <v>908.71459808006239</v>
      </c>
      <c r="O11" s="12">
        <f>N11*12</f>
        <v>10904.575176960749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257</v>
      </c>
      <c r="B12" s="10" t="s">
        <v>258</v>
      </c>
      <c r="C12" s="10" t="s">
        <v>259</v>
      </c>
      <c r="D12" s="12">
        <v>222359</v>
      </c>
      <c r="E12" s="13">
        <v>0.76359999999999995</v>
      </c>
      <c r="F12" s="12">
        <f>D12*E12</f>
        <v>169793.33239999998</v>
      </c>
      <c r="G12" s="13">
        <v>0.15</v>
      </c>
      <c r="H12" s="13">
        <v>0.9</v>
      </c>
      <c r="I12" s="12">
        <f>F12*G12*H12</f>
        <v>22922.099873999996</v>
      </c>
      <c r="J12" s="15">
        <v>0.04</v>
      </c>
      <c r="K12" s="15">
        <v>0.05</v>
      </c>
      <c r="L12" s="12">
        <v>100.575</v>
      </c>
      <c r="M12" s="12">
        <f>I12*J12*K12</f>
        <v>45.844199747999994</v>
      </c>
      <c r="N12" s="12">
        <f>M12*L12</f>
        <v>4610.7803896550995</v>
      </c>
      <c r="O12" s="12">
        <f>N12*12</f>
        <v>55329.364675861194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7">
      <c r="A13" s="10" t="s">
        <v>260</v>
      </c>
      <c r="B13" s="10" t="s">
        <v>261</v>
      </c>
      <c r="C13" s="10" t="s">
        <v>262</v>
      </c>
      <c r="D13" s="12">
        <v>701540</v>
      </c>
      <c r="E13" s="13">
        <v>8.199999999999999E-2</v>
      </c>
      <c r="F13" s="12">
        <f>D13*E13</f>
        <v>57526.279999999992</v>
      </c>
      <c r="G13" s="13">
        <v>0.1</v>
      </c>
      <c r="H13" s="13">
        <v>0.85</v>
      </c>
      <c r="I13" s="12">
        <f>F13*G13*H13</f>
        <v>4889.7338</v>
      </c>
      <c r="J13" s="15">
        <v>0.04</v>
      </c>
      <c r="K13" s="15">
        <v>0.05</v>
      </c>
      <c r="L13" s="12">
        <v>100.575</v>
      </c>
      <c r="M13" s="12">
        <f>I13*J13*K13</f>
        <v>9.7794676000000003</v>
      </c>
      <c r="N13" s="12">
        <f>M13*L13</f>
        <v>983.56995387000006</v>
      </c>
      <c r="O13" s="12">
        <f>N13*12</f>
        <v>11802.839446440001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263</v>
      </c>
      <c r="B14" s="10" t="s">
        <v>264</v>
      </c>
      <c r="C14" s="10" t="s">
        <v>241</v>
      </c>
      <c r="D14" s="12">
        <v>1935</v>
      </c>
      <c r="E14" s="13">
        <v>0.89460000000000006</v>
      </c>
      <c r="F14" s="12">
        <f>D14*E14</f>
        <v>1731.0510000000002</v>
      </c>
      <c r="G14" s="13">
        <v>0.8</v>
      </c>
      <c r="H14" s="13">
        <v>0.6</v>
      </c>
      <c r="I14" s="12">
        <f>F14*G14*H14</f>
        <v>830.90448000000004</v>
      </c>
      <c r="J14" s="15">
        <v>0.04</v>
      </c>
      <c r="K14" s="15">
        <v>0.05</v>
      </c>
      <c r="L14" s="12">
        <v>100.575</v>
      </c>
      <c r="M14" s="12">
        <f>I14*J14*K14</f>
        <v>1.6618089600000001</v>
      </c>
      <c r="N14" s="12">
        <f>M14*L14</f>
        <v>167.13643615200002</v>
      </c>
      <c r="O14" s="12">
        <f>N14*12</f>
        <v>2005.6372338240003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265</v>
      </c>
      <c r="B15" s="10" t="s">
        <v>266</v>
      </c>
      <c r="C15" s="10" t="s">
        <v>267</v>
      </c>
      <c r="D15" s="12">
        <v>5522</v>
      </c>
      <c r="E15" s="13">
        <v>0.47520000000000001</v>
      </c>
      <c r="F15" s="12">
        <f>D15*E15</f>
        <v>2624.0544</v>
      </c>
      <c r="G15" s="13">
        <v>0.3</v>
      </c>
      <c r="H15" s="13">
        <v>0.6</v>
      </c>
      <c r="I15" s="12">
        <f>F15*G15*H15</f>
        <v>472.329792</v>
      </c>
      <c r="J15" s="15">
        <v>0.04</v>
      </c>
      <c r="K15" s="15">
        <v>0.05</v>
      </c>
      <c r="L15" s="12">
        <v>100.575</v>
      </c>
      <c r="M15" s="12">
        <f>I15*J15*K15</f>
        <v>0.94465958400000005</v>
      </c>
      <c r="N15" s="12">
        <f>M15*L15</f>
        <v>95.009137660800008</v>
      </c>
      <c r="O15" s="12">
        <f>N15*12</f>
        <v>1140.1096519296002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2"/>
      <c r="E16" s="13"/>
      <c r="F16" s="12"/>
      <c r="G16" s="13"/>
      <c r="H16" s="13"/>
      <c r="I16" s="12"/>
      <c r="J16" s="15"/>
      <c r="K16" s="15"/>
      <c r="L16" s="12"/>
      <c r="M16" s="12"/>
      <c r="N16" s="12"/>
      <c r="O16" s="12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3.9">
      <c r="A17" s="1" t="s">
        <v>170</v>
      </c>
      <c r="B17" s="1"/>
      <c r="C17" s="1"/>
      <c r="D17" s="5">
        <f>SUM(D4:D15)</f>
        <v>2006050</v>
      </c>
      <c r="E17" s="6"/>
      <c r="F17" s="5">
        <f>SUM(F4:F15)</f>
        <v>421287.83589999989</v>
      </c>
      <c r="G17" s="6"/>
      <c r="H17" s="6"/>
      <c r="I17" s="5">
        <f>SUM(I4:I15)</f>
        <v>87186.820044499997</v>
      </c>
      <c r="J17" s="8"/>
      <c r="K17" s="8"/>
      <c r="L17" s="5"/>
      <c r="M17" s="5">
        <f>SUM(M4:M15)</f>
        <v>174.37364008899999</v>
      </c>
      <c r="N17" s="5">
        <f>SUM(N4:N15)</f>
        <v>17537.628851951173</v>
      </c>
      <c r="O17" s="5">
        <f>SUM(O4:O15)</f>
        <v>210451.5462234141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2"/>
      <c r="M18" s="12"/>
      <c r="N18" s="12"/>
      <c r="O18" s="12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41.65">
      <c r="A19" s="1" t="s">
        <v>171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>
        <f>O17</f>
        <v>210451.5462234141</v>
      </c>
      <c r="O19" s="5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</sheetData>
  <mergeCells count="1">
    <mergeCell ref="A1:O1"/>
  </mergeCells>
  <conditionalFormatting sqref="I4:I5 I13:I15">
    <cfRule type="dataBar" priority="29">
      <dataBar>
        <cfvo type="min"/>
        <cfvo type="max"/>
        <color rgb="FFED7D31"/>
      </dataBar>
    </cfRule>
  </conditionalFormatting>
  <conditionalFormatting sqref="O4:O5 O13:O15">
    <cfRule type="dataBar" priority="30">
      <dataBar>
        <cfvo type="min"/>
        <cfvo type="max"/>
        <color rgb="FF4472C4"/>
      </dataBar>
    </cfRule>
  </conditionalFormatting>
  <conditionalFormatting sqref="I4:I5 I13:I15">
    <cfRule type="dataBar" priority="3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5 O13:O15">
    <cfRule type="dataBar" priority="3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6">
    <cfRule type="dataBar" priority="25">
      <dataBar>
        <cfvo type="min"/>
        <cfvo type="max"/>
        <color rgb="FFED7D31"/>
      </dataBar>
    </cfRule>
  </conditionalFormatting>
  <conditionalFormatting sqref="O6">
    <cfRule type="dataBar" priority="26">
      <dataBar>
        <cfvo type="min"/>
        <cfvo type="max"/>
        <color rgb="FF4472C4"/>
      </dataBar>
    </cfRule>
  </conditionalFormatting>
  <conditionalFormatting sqref="I6">
    <cfRule type="dataBar" priority="2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{0F1359F6-991C-4F4E-9624-B82D7495C786}</x14:id>
        </ext>
      </extLst>
    </cfRule>
  </conditionalFormatting>
  <conditionalFormatting sqref="O6">
    <cfRule type="dataBar" priority="2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{5AF3E2CD-A54F-49F0-955E-AD4F5CD9F574}</x14:id>
        </ext>
      </extLst>
    </cfRule>
  </conditionalFormatting>
  <conditionalFormatting sqref="I7">
    <cfRule type="dataBar" priority="21">
      <dataBar>
        <cfvo type="min"/>
        <cfvo type="max"/>
        <color rgb="FFED7D31"/>
      </dataBar>
    </cfRule>
  </conditionalFormatting>
  <conditionalFormatting sqref="O7">
    <cfRule type="dataBar" priority="22">
      <dataBar>
        <cfvo type="min"/>
        <cfvo type="max"/>
        <color rgb="FF4472C4"/>
      </dataBar>
    </cfRule>
  </conditionalFormatting>
  <conditionalFormatting sqref="I7">
    <cfRule type="dataBar" priority="2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{82670BB8-7A48-4638-882E-45A10998687B}</x14:id>
        </ext>
      </extLst>
    </cfRule>
  </conditionalFormatting>
  <conditionalFormatting sqref="O7">
    <cfRule type="dataBar" priority="2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{62E9F17A-C996-41EF-986B-E09180F6B3FD}</x14:id>
        </ext>
      </extLst>
    </cfRule>
  </conditionalFormatting>
  <conditionalFormatting sqref="I8">
    <cfRule type="dataBar" priority="17">
      <dataBar>
        <cfvo type="min"/>
        <cfvo type="max"/>
        <color rgb="FFED7D31"/>
      </dataBar>
    </cfRule>
  </conditionalFormatting>
  <conditionalFormatting sqref="O8">
    <cfRule type="dataBar" priority="18">
      <dataBar>
        <cfvo type="min"/>
        <cfvo type="max"/>
        <color rgb="FF4472C4"/>
      </dataBar>
    </cfRule>
  </conditionalFormatting>
  <conditionalFormatting sqref="I8">
    <cfRule type="dataBar" priority="1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{F2E11A1B-BB3C-4D87-B1C9-E3771FC5C4BC}</x14:id>
        </ext>
      </extLst>
    </cfRule>
  </conditionalFormatting>
  <conditionalFormatting sqref="O8">
    <cfRule type="dataBar" priority="2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{19DD2E6F-F9E0-400B-8D83-9A70D5A0D7CF}</x14:id>
        </ext>
      </extLst>
    </cfRule>
  </conditionalFormatting>
  <conditionalFormatting sqref="I9">
    <cfRule type="dataBar" priority="13">
      <dataBar>
        <cfvo type="min"/>
        <cfvo type="max"/>
        <color rgb="FFED7D31"/>
      </dataBar>
    </cfRule>
  </conditionalFormatting>
  <conditionalFormatting sqref="O9">
    <cfRule type="dataBar" priority="14">
      <dataBar>
        <cfvo type="min"/>
        <cfvo type="max"/>
        <color rgb="FF4472C4"/>
      </dataBar>
    </cfRule>
  </conditionalFormatting>
  <conditionalFormatting sqref="I9">
    <cfRule type="dataBar" priority="1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{4CAA12EC-D22E-47C8-8F6D-F8269CB46114}</x14:id>
        </ext>
      </extLst>
    </cfRule>
  </conditionalFormatting>
  <conditionalFormatting sqref="O9">
    <cfRule type="dataBar" priority="16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{E5A711C8-750A-4E7B-A932-1EAE65A353FC}</x14:id>
        </ext>
      </extLst>
    </cfRule>
  </conditionalFormatting>
  <conditionalFormatting sqref="I10">
    <cfRule type="dataBar" priority="9">
      <dataBar>
        <cfvo type="min"/>
        <cfvo type="max"/>
        <color rgb="FFED7D31"/>
      </dataBar>
    </cfRule>
  </conditionalFormatting>
  <conditionalFormatting sqref="O10">
    <cfRule type="dataBar" priority="10">
      <dataBar>
        <cfvo type="min"/>
        <cfvo type="max"/>
        <color rgb="FF4472C4"/>
      </dataBar>
    </cfRule>
  </conditionalFormatting>
  <conditionalFormatting sqref="I10">
    <cfRule type="dataBar" priority="1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{F6BB9F28-FB0D-46F9-BBD4-EE0BAB036DDB}</x14:id>
        </ext>
      </extLst>
    </cfRule>
  </conditionalFormatting>
  <conditionalFormatting sqref="O10">
    <cfRule type="dataBar" priority="1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{C6F8082E-AEBD-4407-AA61-464BDE36823D}</x14:id>
        </ext>
      </extLst>
    </cfRule>
  </conditionalFormatting>
  <conditionalFormatting sqref="I11">
    <cfRule type="dataBar" priority="5">
      <dataBar>
        <cfvo type="min"/>
        <cfvo type="max"/>
        <color rgb="FFED7D31"/>
      </dataBar>
    </cfRule>
  </conditionalFormatting>
  <conditionalFormatting sqref="O11">
    <cfRule type="dataBar" priority="6">
      <dataBar>
        <cfvo type="min"/>
        <cfvo type="max"/>
        <color rgb="FF4472C4"/>
      </dataBar>
    </cfRule>
  </conditionalFormatting>
  <conditionalFormatting sqref="I11">
    <cfRule type="dataBar" priority="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{5C3FA386-FBFD-43EC-BEC4-C231ABF02710}</x14:id>
        </ext>
      </extLst>
    </cfRule>
  </conditionalFormatting>
  <conditionalFormatting sqref="O11"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{40ED7FC0-2EDA-4B13-BBAF-F84A2DB02224}</x14:id>
        </ext>
      </extLst>
    </cfRule>
  </conditionalFormatting>
  <conditionalFormatting sqref="I12">
    <cfRule type="dataBar" priority="1">
      <dataBar>
        <cfvo type="min"/>
        <cfvo type="max"/>
        <color rgb="FFED7D31"/>
      </dataBar>
    </cfRule>
  </conditionalFormatting>
  <conditionalFormatting sqref="O12">
    <cfRule type="dataBar" priority="2">
      <dataBar>
        <cfvo type="min"/>
        <cfvo type="max"/>
        <color rgb="FF4472C4"/>
      </dataBar>
    </cfRule>
  </conditionalFormatting>
  <conditionalFormatting sqref="I12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{11505EF9-0401-43AA-822D-3ACE70E665ED}</x14:id>
        </ext>
      </extLst>
    </cfRule>
  </conditionalFormatting>
  <conditionalFormatting sqref="O12"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{2C856E50-25F3-4C0A-A214-3CEF1D5F734D}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I4:I5 I13:I15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O4:O5 O13:O15</xm:sqref>
        </x14:conditionalFormatting>
        <x14:conditionalFormatting xmlns:xm="http://schemas.microsoft.com/office/excel/2006/main">
          <x14:cfRule type="dataBar" id="{0F1359F6-991C-4F4E-9624-B82D7495C786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5AF3E2CD-A54F-49F0-955E-AD4F5CD9F574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82670BB8-7A48-4638-882E-45A10998687B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62E9F17A-C996-41EF-986B-E09180F6B3FD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F2E11A1B-BB3C-4D87-B1C9-E3771FC5C4BC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19DD2E6F-F9E0-400B-8D83-9A70D5A0D7CF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4CAA12EC-D22E-47C8-8F6D-F8269CB46114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E5A711C8-750A-4E7B-A932-1EAE65A353FC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F6BB9F28-FB0D-46F9-BBD4-EE0BAB036DDB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C6F8082E-AEBD-4407-AA61-464BDE36823D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5C3FA386-FBFD-43EC-BEC4-C231ABF02710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40ED7FC0-2EDA-4B13-BBAF-F84A2DB02224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  <x14:conditionalFormatting xmlns:xm="http://schemas.microsoft.com/office/excel/2006/main">
          <x14:cfRule type="dataBar" id="{11505EF9-0401-43AA-822D-3ACE70E665ED}">
            <x14:dataBar>
              <x14:cfvo type="min"/>
              <x14:cfvo type="max"/>
              <x14:negativeFillColor auto="1"/>
              <x14:axisColor auto="1"/>
            </x14:dataBar>
          </x14:cfRule>
          <xm:sqref>I12</xm:sqref>
        </x14:conditionalFormatting>
        <x14:conditionalFormatting xmlns:xm="http://schemas.microsoft.com/office/excel/2006/main">
          <x14:cfRule type="dataBar" id="{2C856E50-25F3-4C0A-A214-3CEF1D5F734D}">
            <x14:dataBar>
              <x14:cfvo type="min"/>
              <x14:cfvo type="max"/>
              <x14:negativeFillColor auto="1"/>
              <x14:axisColor auto="1"/>
            </x14:dataBar>
          </x14:cfRule>
          <xm:sqref>O12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7.9375" customWidth="1"/>
    <col min="5" max="5" width="42" customWidth="1"/>
    <col min="7" max="7" width="32" customWidth="1"/>
    <col min="8" max="8" width="7.9375" customWidth="1"/>
    <col min="9" max="9" width="6.4375" customWidth="1"/>
  </cols>
  <sheetData>
    <row r="1" spans="1:26" ht="17.649999999999999">
      <c r="A1" s="1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125</v>
      </c>
      <c r="D3" s="9"/>
      <c r="E3" s="9"/>
      <c r="F3" s="9"/>
      <c r="G3" s="17" t="s">
        <v>173</v>
      </c>
      <c r="H3" s="17"/>
      <c r="I3" s="17"/>
      <c r="J3" s="17"/>
      <c r="K3" s="17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5166215900</v>
      </c>
      <c r="C4" s="10" t="s">
        <v>174</v>
      </c>
      <c r="D4" s="9"/>
      <c r="E4" s="9"/>
      <c r="F4" s="9"/>
      <c r="G4" s="2" t="s">
        <v>175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40</v>
      </c>
      <c r="B5" s="12">
        <f>'04_Расчет'!C7</f>
        <v>35003117.987999998</v>
      </c>
      <c r="C5" s="10" t="s">
        <v>176</v>
      </c>
      <c r="D5" s="9"/>
      <c r="E5" s="9"/>
      <c r="F5" s="9"/>
      <c r="G5" s="10" t="str">
        <f>'02_Сегменты'!A4</f>
        <v>Финансовые аналитики и FP&amp;A</v>
      </c>
      <c r="H5" s="12">
        <f>'02_Сегменты'!M4</f>
        <v>6448434.2999999989</v>
      </c>
      <c r="I5" s="12">
        <f>'02_Сегменты'!O4</f>
        <v>9672.6514499999994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10" t="s">
        <v>42</v>
      </c>
      <c r="B6" s="12">
        <f>'04_Расчет'!C8</f>
        <v>43798.899293999995</v>
      </c>
      <c r="C6" s="10" t="s">
        <v>177</v>
      </c>
      <c r="D6" s="9"/>
      <c r="E6" s="9"/>
      <c r="F6" s="9"/>
      <c r="G6" s="10" t="str">
        <f>'02_Сегменты'!A5</f>
        <v>Бухгалтеры и аудиторы</v>
      </c>
      <c r="H6" s="12">
        <f>'02_Сегменты'!M5</f>
        <v>3869157.6</v>
      </c>
      <c r="I6" s="12">
        <f>'02_Сегменты'!O5</f>
        <v>3869.1576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178</v>
      </c>
      <c r="B7" s="12">
        <f>'04_Расчет'!C6</f>
        <v>236748.00119999997</v>
      </c>
      <c r="C7" s="10" t="s">
        <v>179</v>
      </c>
      <c r="D7" s="9"/>
      <c r="E7" s="9"/>
      <c r="F7" s="9"/>
      <c r="G7" s="10" t="str">
        <f>'02_Сегменты'!A6</f>
        <v>Консультанты по управлению</v>
      </c>
      <c r="H7" s="12">
        <f>'02_Сегменты'!M6</f>
        <v>17914327.199999999</v>
      </c>
      <c r="I7" s="12">
        <f>'02_Сегменты'!O6</f>
        <v>26871.4908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180</v>
      </c>
      <c r="B8" s="12">
        <f>'05_Similarweb'!N19</f>
        <v>210451.5462234141</v>
      </c>
      <c r="C8" s="10" t="s">
        <v>181</v>
      </c>
      <c r="D8" s="9"/>
      <c r="E8" s="9"/>
      <c r="F8" s="9"/>
      <c r="G8" s="10" t="str">
        <f>'02_Сегменты'!A7</f>
        <v>МСП с финансовой функцией</v>
      </c>
      <c r="H8" s="12">
        <f>'02_Сегменты'!M7</f>
        <v>6771198.8879999984</v>
      </c>
      <c r="I8" s="12">
        <f>'02_Сегменты'!O7</f>
        <v>3385.5994439999995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139</v>
      </c>
      <c r="B9" s="15">
        <f>'04_Расчет'!C9</f>
        <v>1.2512856514386925E-3</v>
      </c>
      <c r="C9" s="10" t="s">
        <v>182</v>
      </c>
      <c r="D9" s="9"/>
      <c r="E9" s="9"/>
      <c r="F9" s="9"/>
      <c r="G9" s="10" t="str">
        <f>'02_Сегменты'!A8</f>
        <v>Резерв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 t="str">
        <f>'02_Сегменты'!A9</f>
        <v>Резерв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183</v>
      </c>
      <c r="B12" s="17"/>
      <c r="C12" s="17"/>
      <c r="D12" s="17"/>
      <c r="E12" s="17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112</v>
      </c>
      <c r="B13" s="2" t="s">
        <v>38</v>
      </c>
      <c r="C13" s="2" t="s">
        <v>40</v>
      </c>
      <c r="D13" s="2" t="s">
        <v>42</v>
      </c>
      <c r="E13" s="2" t="s">
        <v>184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119</v>
      </c>
      <c r="B14" s="12">
        <f>'03_Сценарии'!H4</f>
        <v>3306378176</v>
      </c>
      <c r="C14" s="12">
        <f>'03_Сценарии'!I4</f>
        <v>10080897.980544001</v>
      </c>
      <c r="D14" s="12">
        <f>'03_Сценарии'!J4</f>
        <v>5040.4489902720006</v>
      </c>
      <c r="E14" s="10" t="s">
        <v>185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120</v>
      </c>
      <c r="B15" s="12">
        <f>'03_Сценарии'!H5</f>
        <v>5166215900</v>
      </c>
      <c r="C15" s="12">
        <f>'03_Сценарии'!I5</f>
        <v>35003117.987999998</v>
      </c>
      <c r="D15" s="12">
        <f>'03_Сценарии'!J5</f>
        <v>45504.053384399995</v>
      </c>
      <c r="E15" s="10" t="s">
        <v>186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122</v>
      </c>
      <c r="B16" s="12">
        <f>'03_Сценарии'!H6</f>
        <v>6535263113.500001</v>
      </c>
      <c r="C16" s="12">
        <f>'03_Сценарии'!I6</f>
        <v>73325931.685981899</v>
      </c>
      <c r="D16" s="12">
        <f>'03_Сценарии'!J6</f>
        <v>219977.79505794571</v>
      </c>
      <c r="E16" s="10" t="s">
        <v>187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7" t="s">
        <v>188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8" t="s">
        <v>189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6" t="s">
        <v>190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191</v>
      </c>
      <c r="B3" s="2" t="s">
        <v>36</v>
      </c>
      <c r="C3" s="2" t="s">
        <v>192</v>
      </c>
      <c r="D3" s="2" t="s">
        <v>193</v>
      </c>
      <c r="E3" s="2" t="s">
        <v>194</v>
      </c>
      <c r="F3" s="2" t="s">
        <v>195</v>
      </c>
      <c r="G3" s="2" t="s">
        <v>196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80</v>
      </c>
      <c r="B4" s="10" t="s">
        <v>268</v>
      </c>
      <c r="C4" s="10" t="s">
        <v>269</v>
      </c>
      <c r="D4" s="10" t="s">
        <v>270</v>
      </c>
      <c r="E4" s="10">
        <v>46298</v>
      </c>
      <c r="F4" s="10" t="s">
        <v>271</v>
      </c>
      <c r="G4" s="10" t="s">
        <v>107</v>
      </c>
      <c r="H4" s="10" t="s">
        <v>272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40.5">
      <c r="A5" s="10" t="s">
        <v>198</v>
      </c>
      <c r="B5" s="10" t="s">
        <v>273</v>
      </c>
      <c r="C5" s="10" t="s">
        <v>274</v>
      </c>
      <c r="D5" s="10" t="s">
        <v>275</v>
      </c>
      <c r="E5" s="10">
        <v>46298</v>
      </c>
      <c r="F5" s="10" t="s">
        <v>199</v>
      </c>
      <c r="G5" s="10" t="s">
        <v>108</v>
      </c>
      <c r="H5" s="10" t="s">
        <v>272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200</v>
      </c>
      <c r="B6" s="10" t="s">
        <v>276</v>
      </c>
      <c r="C6" s="10" t="s">
        <v>277</v>
      </c>
      <c r="D6" s="10" t="s">
        <v>278</v>
      </c>
      <c r="E6" s="10">
        <v>46298</v>
      </c>
      <c r="F6" s="10" t="s">
        <v>197</v>
      </c>
      <c r="G6" s="10" t="s">
        <v>107</v>
      </c>
      <c r="H6" s="10" t="s">
        <v>272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201</v>
      </c>
      <c r="B7" s="10" t="s">
        <v>202</v>
      </c>
      <c r="C7" s="10" t="s">
        <v>279</v>
      </c>
      <c r="D7" s="10" t="s">
        <v>280</v>
      </c>
      <c r="E7" s="10">
        <v>46298</v>
      </c>
      <c r="F7" s="10" t="s">
        <v>197</v>
      </c>
      <c r="G7" s="10" t="s">
        <v>107</v>
      </c>
      <c r="H7" s="10" t="s">
        <v>272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84</v>
      </c>
      <c r="B8" s="10" t="s">
        <v>281</v>
      </c>
      <c r="C8" s="10" t="s">
        <v>282</v>
      </c>
      <c r="D8" s="10" t="s">
        <v>283</v>
      </c>
      <c r="E8" s="10">
        <v>46298</v>
      </c>
      <c r="F8" s="10" t="s">
        <v>284</v>
      </c>
      <c r="G8" s="10" t="s">
        <v>107</v>
      </c>
      <c r="H8" s="10" t="s">
        <v>272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203</v>
      </c>
      <c r="B9" s="10" t="s">
        <v>204</v>
      </c>
      <c r="C9" s="10" t="s">
        <v>285</v>
      </c>
      <c r="D9" s="10" t="s">
        <v>205</v>
      </c>
      <c r="E9" s="10">
        <v>46298</v>
      </c>
      <c r="F9" s="10" t="s">
        <v>197</v>
      </c>
      <c r="G9" s="10" t="s">
        <v>107</v>
      </c>
      <c r="H9" s="10" t="s">
        <v>272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10"/>
      <c r="F10" s="10"/>
      <c r="G10" s="10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10"/>
      <c r="B12" s="10"/>
      <c r="C12" s="10"/>
      <c r="D12" s="10"/>
      <c r="E12" s="10"/>
      <c r="F12" s="10"/>
      <c r="G12" s="10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/>
      <c r="B13" s="10"/>
      <c r="C13" s="10"/>
      <c r="D13" s="10"/>
      <c r="E13" s="10"/>
      <c r="F13" s="10"/>
      <c r="G13" s="10"/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5625" customWidth="1"/>
    <col min="2" max="2" width="19.625" customWidth="1"/>
    <col min="3" max="3" width="10.375" customWidth="1"/>
    <col min="4" max="4" width="13.4375" customWidth="1"/>
  </cols>
  <sheetData>
    <row r="1" spans="1:26" ht="17.649999999999999">
      <c r="A1" s="16" t="s">
        <v>206</v>
      </c>
      <c r="B1" s="16"/>
      <c r="C1" s="16"/>
      <c r="D1" s="16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92</v>
      </c>
      <c r="B3" s="2" t="s">
        <v>195</v>
      </c>
      <c r="C3" s="2" t="s">
        <v>196</v>
      </c>
      <c r="D3" s="2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106</v>
      </c>
      <c r="B4" s="9" t="s">
        <v>207</v>
      </c>
      <c r="C4" s="9" t="s">
        <v>208</v>
      </c>
      <c r="D4" s="9" t="s">
        <v>119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209</v>
      </c>
      <c r="B5" s="9" t="s">
        <v>197</v>
      </c>
      <c r="C5" s="9" t="s">
        <v>107</v>
      </c>
      <c r="D5" s="9" t="s">
        <v>120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210</v>
      </c>
      <c r="B6" s="9" t="s">
        <v>199</v>
      </c>
      <c r="C6" s="9" t="s">
        <v>108</v>
      </c>
      <c r="D6" s="9" t="s">
        <v>122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211</v>
      </c>
      <c r="B7" s="9" t="s">
        <v>109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2026-10-03T05:57:47Z</dcterms:modified>
</cp:coreProperties>
</file>