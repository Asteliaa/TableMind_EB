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2-3_Объем_рынка\Excel\"/>
    </mc:Choice>
  </mc:AlternateContent>
  <xr:revisionPtr revIDLastSave="0" documentId="13_ncr:1_{0F6D6D31-175C-458B-B2AC-50134AF29623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Сценарии" sheetId="4" r:id="rId4"/>
    <sheet name="04_Расчет" sheetId="5" r:id="rId5"/>
    <sheet name="05_Similarweb" sheetId="6" r:id="rId6"/>
    <sheet name="06_Дашборд" sheetId="7" r:id="rId7"/>
    <sheet name="07_Источники" sheetId="8" r:id="rId8"/>
    <sheet name="08_Справочник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6" l="1"/>
  <c r="I12" i="6" s="1"/>
  <c r="M12" i="6" s="1"/>
  <c r="N12" i="6" s="1"/>
  <c r="O12" i="6" s="1"/>
  <c r="F11" i="6"/>
  <c r="I11" i="6" s="1"/>
  <c r="M11" i="6" s="1"/>
  <c r="N11" i="6" s="1"/>
  <c r="O11" i="6" s="1"/>
  <c r="F10" i="6"/>
  <c r="I10" i="6" s="1"/>
  <c r="M10" i="6" s="1"/>
  <c r="N10" i="6" s="1"/>
  <c r="O10" i="6" s="1"/>
  <c r="F9" i="6"/>
  <c r="I9" i="6" s="1"/>
  <c r="M9" i="6" s="1"/>
  <c r="N9" i="6" s="1"/>
  <c r="O9" i="6" s="1"/>
  <c r="F8" i="6"/>
  <c r="I8" i="6" s="1"/>
  <c r="M8" i="6" s="1"/>
  <c r="N8" i="6" s="1"/>
  <c r="O8" i="6" s="1"/>
  <c r="F7" i="6"/>
  <c r="I7" i="6" s="1"/>
  <c r="M7" i="6" s="1"/>
  <c r="N7" i="6" s="1"/>
  <c r="O7" i="6" s="1"/>
  <c r="F6" i="6"/>
  <c r="I6" i="6" s="1"/>
  <c r="M6" i="6" s="1"/>
  <c r="N6" i="6" s="1"/>
  <c r="O6" i="6" s="1"/>
  <c r="G10" i="7"/>
  <c r="G9" i="7"/>
  <c r="G8" i="7"/>
  <c r="G7" i="7"/>
  <c r="G6" i="7"/>
  <c r="G5" i="7"/>
  <c r="D17" i="6"/>
  <c r="F15" i="6"/>
  <c r="I15" i="6" s="1"/>
  <c r="M15" i="6" s="1"/>
  <c r="N15" i="6" s="1"/>
  <c r="O15" i="6" s="1"/>
  <c r="F14" i="6"/>
  <c r="I14" i="6" s="1"/>
  <c r="M14" i="6" s="1"/>
  <c r="N14" i="6" s="1"/>
  <c r="O14" i="6" s="1"/>
  <c r="F13" i="6"/>
  <c r="I13" i="6" s="1"/>
  <c r="M13" i="6" s="1"/>
  <c r="N13" i="6" s="1"/>
  <c r="O13" i="6" s="1"/>
  <c r="F5" i="6"/>
  <c r="F4" i="6"/>
  <c r="I4" i="6" s="1"/>
  <c r="C4" i="5"/>
  <c r="B4" i="7" s="1"/>
  <c r="H6" i="4"/>
  <c r="B16" i="7" s="1"/>
  <c r="H5" i="4"/>
  <c r="B15" i="7" s="1"/>
  <c r="H4" i="4"/>
  <c r="B14" i="7" s="1"/>
  <c r="D12" i="3"/>
  <c r="F10" i="3"/>
  <c r="J10" i="3" s="1"/>
  <c r="M10" i="3" s="1"/>
  <c r="O10" i="3" s="1"/>
  <c r="F9" i="3"/>
  <c r="J9" i="3" s="1"/>
  <c r="M9" i="3" s="1"/>
  <c r="F8" i="3"/>
  <c r="J8" i="3" s="1"/>
  <c r="M8" i="3" s="1"/>
  <c r="F7" i="3"/>
  <c r="J7" i="3" s="1"/>
  <c r="M7" i="3" s="1"/>
  <c r="F6" i="3"/>
  <c r="J6" i="3" s="1"/>
  <c r="M6" i="3" s="1"/>
  <c r="F5" i="3"/>
  <c r="F4" i="3"/>
  <c r="J4" i="3" s="1"/>
  <c r="M4" i="3" s="1"/>
  <c r="F17" i="6" l="1"/>
  <c r="I4" i="4"/>
  <c r="J4" i="4" s="1"/>
  <c r="D14" i="7" s="1"/>
  <c r="M4" i="6"/>
  <c r="O4" i="3"/>
  <c r="H5" i="7"/>
  <c r="H10" i="7"/>
  <c r="O9" i="3"/>
  <c r="I10" i="7" s="1"/>
  <c r="H7" i="7"/>
  <c r="O6" i="3"/>
  <c r="I7" i="7" s="1"/>
  <c r="H8" i="7"/>
  <c r="O7" i="3"/>
  <c r="I8" i="7" s="1"/>
  <c r="O8" i="3"/>
  <c r="I9" i="7" s="1"/>
  <c r="H9" i="7"/>
  <c r="J5" i="3"/>
  <c r="M5" i="3" s="1"/>
  <c r="I5" i="4"/>
  <c r="I6" i="4"/>
  <c r="I5" i="6"/>
  <c r="M5" i="6" s="1"/>
  <c r="N5" i="6" s="1"/>
  <c r="O5" i="6" s="1"/>
  <c r="F12" i="3"/>
  <c r="C5" i="5" s="1"/>
  <c r="C14" i="7" l="1"/>
  <c r="H6" i="7"/>
  <c r="O5" i="3"/>
  <c r="I6" i="7" s="1"/>
  <c r="M12" i="3"/>
  <c r="C7" i="5" s="1"/>
  <c r="J12" i="3"/>
  <c r="C6" i="5" s="1"/>
  <c r="C16" i="7"/>
  <c r="J6" i="4"/>
  <c r="D16" i="7" s="1"/>
  <c r="N4" i="6"/>
  <c r="M17" i="6"/>
  <c r="O12" i="3"/>
  <c r="C8" i="5" s="1"/>
  <c r="I5" i="7"/>
  <c r="C15" i="7"/>
  <c r="J5" i="4"/>
  <c r="D15" i="7" s="1"/>
  <c r="I17" i="6"/>
  <c r="C14" i="5" l="1"/>
  <c r="B7" i="7"/>
  <c r="C9" i="5"/>
  <c r="B9" i="7" s="1"/>
  <c r="B6" i="7"/>
  <c r="N17" i="6"/>
  <c r="O4" i="6"/>
  <c r="O17" i="6" s="1"/>
  <c r="N19" i="6" s="1"/>
  <c r="B8" i="7" s="1"/>
  <c r="C15" i="5"/>
  <c r="B5" i="7"/>
  <c r="C16" i="5" l="1"/>
</calcChain>
</file>

<file path=xl/sharedStrings.xml><?xml version="1.0" encoding="utf-8"?>
<sst xmlns="http://schemas.openxmlformats.org/spreadsheetml/2006/main" count="369" uniqueCount="286">
  <si>
    <t>Методика оценки объема рынка через количество потенциальных клиентов</t>
  </si>
  <si>
    <t>Назначение Excel-шаблона</t>
  </si>
  <si>
    <t>Цель</t>
  </si>
  <si>
    <t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рынка.</t>
  </si>
  <si>
    <t>Логика</t>
  </si>
  <si>
    <t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SOM.</t>
  </si>
  <si>
    <t>Ключевая формула</t>
  </si>
  <si>
    <t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покупки.</t>
  </si>
  <si>
    <t>Применение</t>
  </si>
  <si>
    <t>Подходит для B2B-услуг, B2C-продуктов, электронных сервисов и платформ, если можно определить базу потенциальных клиентов.</t>
  </si>
  <si>
    <t>Ограничение</t>
  </si>
  <si>
    <t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допущениями.</t>
  </si>
  <si>
    <t>Порядок работы с файлом</t>
  </si>
  <si>
    <t>Шаг</t>
  </si>
  <si>
    <t>Действие</t>
  </si>
  <si>
    <t>Лист</t>
  </si>
  <si>
    <t>Результат</t>
  </si>
  <si>
    <t>Заполнить исходные параметры бизнес-идеи, географии, валюты и периода расчета.</t>
  </si>
  <si>
    <t>01_Параметры</t>
  </si>
  <si>
    <t>Зафиксированы границы расчета.</t>
  </si>
  <si>
    <t>Заполнить клиентские сегменты и коэффициенты сужения.</t>
  </si>
  <si>
    <t>02_Сегменты</t>
  </si>
  <si>
    <t>Получены TAM, SAM и SOM по сегментам.</t>
  </si>
  <si>
    <t>Проверить осторожный, базовый и оптимистичный сценарии.</t>
  </si>
  <si>
    <t>03_Сценарии</t>
  </si>
  <si>
    <t>Получен диапазон возможного объема рынка.</t>
  </si>
  <si>
    <t>Сопоставить расчет с цифровыми данными конкурентов из Similarweb.</t>
  </si>
  <si>
    <t>05_Similarweb</t>
  </si>
  <si>
    <t>Проверена реалистичность цифрового спроса.</t>
  </si>
  <si>
    <t>Посмотреть итоговую панель, выводы и контрольные индикаторы.</t>
  </si>
  <si>
    <t>06_Дашборд</t>
  </si>
  <si>
    <t>Получен итоговый результат для отчета.</t>
  </si>
  <si>
    <t>Зафиксировать источники и степень надежности данных.</t>
  </si>
  <si>
    <t>07_Источники</t>
  </si>
  <si>
    <t>Обеспечена воспроизводимость расчета.</t>
  </si>
  <si>
    <t>Интерпретация итоговых показателей</t>
  </si>
  <si>
    <t>Показатель</t>
  </si>
  <si>
    <t>Как читать</t>
  </si>
  <si>
    <t>TAM</t>
  </si>
  <si>
    <t>Максимальный потенциальный объем спроса до сужения по реальным ограничениям выбранного рынка.</t>
  </si>
  <si>
    <t>SAM</t>
  </si>
  <si>
    <t>Объем рынка в выбранных продуктовых и географических границах с учетом потребности, цифровой готовности и платежеспособности.</t>
  </si>
  <si>
    <t>SOM</t>
  </si>
  <si>
    <t>Часть SAM, которую новый бизнес может реалистично привлечь в выбранном периоде.</t>
  </si>
  <si>
    <t>Расчет через Similarweb</t>
  </si>
  <si>
    <t>Проверочный ориентир по цифровой активности конкурентов и объему трафика в выбранном сегменте.</t>
  </si>
  <si>
    <t>Сценарии</t>
  </si>
  <si>
    <t>Диапазон неопределенности: осторожная, базовая и оптимистичная оценка.</t>
  </si>
  <si>
    <t>Исходные параметры расчета</t>
  </si>
  <si>
    <t>Параметр</t>
  </si>
  <si>
    <t>Значение</t>
  </si>
  <si>
    <t>Комментарий</t>
  </si>
  <si>
    <t>Источник / обоснование</t>
  </si>
  <si>
    <t>Название бизнес-идеи</t>
  </si>
  <si>
    <t>Можно заменить на свою бизнес-идею</t>
  </si>
  <si>
    <t>Паспорт бизнес-идеи</t>
  </si>
  <si>
    <t>Компетенция</t>
  </si>
  <si>
    <t>Профессиональная основа бизнеса</t>
  </si>
  <si>
    <t>Исходная гипотеза</t>
  </si>
  <si>
    <t>Продуктовые границы</t>
  </si>
  <si>
    <t>Что входит в анализируемый рынок</t>
  </si>
  <si>
    <t>Методика фиксации границ рынка</t>
  </si>
  <si>
    <t>Географические границы</t>
  </si>
  <si>
    <t>Территория первичного расчета</t>
  </si>
  <si>
    <t>Выбранная территория анализа</t>
  </si>
  <si>
    <t>Тип рынка</t>
  </si>
  <si>
    <t>Основной клиент — организация или предприниматель</t>
  </si>
  <si>
    <t>Описание модели бизнеса</t>
  </si>
  <si>
    <t>Валюта</t>
  </si>
  <si>
    <t>Допущение</t>
  </si>
  <si>
    <t>Период расчета</t>
  </si>
  <si>
    <t>1 год</t>
  </si>
  <si>
    <t>Все итоговые показатели приводятся в годовом выражении</t>
  </si>
  <si>
    <t>Дата составления</t>
  </si>
  <si>
    <t>Дата версии расчета</t>
  </si>
  <si>
    <t>Автоматически / вручную</t>
  </si>
  <si>
    <t>Ответственный</t>
  </si>
  <si>
    <t>ФИО или группа</t>
  </si>
  <si>
    <t>Единицы интерпретации</t>
  </si>
  <si>
    <t>Единица</t>
  </si>
  <si>
    <t>Количество клиентов</t>
  </si>
  <si>
    <t>Количество организаций, ИП, домохозяйств или пользователей в выбранном сегменте.</t>
  </si>
  <si>
    <t>Коэффициент сужения</t>
  </si>
  <si>
    <t>Доля от 0 до 100 %, показывающая, какая часть базы реально относится к выбранному рынку.</t>
  </si>
  <si>
    <t>Средний чек</t>
  </si>
  <si>
    <t>Средний платеж за одну покупку или договор.</t>
  </si>
  <si>
    <t>Частота покупки</t>
  </si>
  <si>
    <t>Среднее число покупок или оплат в год.</t>
  </si>
  <si>
    <t>Доступный объем рынка в выбранных границах.</t>
  </si>
  <si>
    <t>Реалистично достижимый объем рынка для нового бизнеса.</t>
  </si>
  <si>
    <t>Расчет объема рынка через количество потенциальных клиентов по сегментам</t>
  </si>
  <si>
    <t>Сегмент клиентов</t>
  </si>
  <si>
    <t>Тип клиента</t>
  </si>
  <si>
    <t>Источник количества</t>
  </si>
  <si>
    <t>Потенциальных клиентов всего</t>
  </si>
  <si>
    <t>Доля соответствия границам рынка</t>
  </si>
  <si>
    <t>Клиентов в границах рынка</t>
  </si>
  <si>
    <t>Доля имеющих потребность</t>
  </si>
  <si>
    <t>Доля готовых покупать онлайн</t>
  </si>
  <si>
    <t>Доля платежеспособных</t>
  </si>
  <si>
    <t>Реально адресуемых клиентов</t>
  </si>
  <si>
    <t>Покупок в год</t>
  </si>
  <si>
    <t>SAM: доступный объем рынка</t>
  </si>
  <si>
    <t>Достижимая доля нового бизнеса</t>
  </si>
  <si>
    <t>SOM: достижимый объем</t>
  </si>
  <si>
    <t>Надежность данных</t>
  </si>
  <si>
    <t>B2B</t>
  </si>
  <si>
    <t>Средняя</t>
  </si>
  <si>
    <t>Низкая</t>
  </si>
  <si>
    <t>Нет данных</t>
  </si>
  <si>
    <t>Итого</t>
  </si>
  <si>
    <t>Сценарная оценка объема рынка</t>
  </si>
  <si>
    <t>Сценарий</t>
  </si>
  <si>
    <t>Множитель потребности</t>
  </si>
  <si>
    <t>Множитель онлайн-готовности</t>
  </si>
  <si>
    <t>Множитель платежеспособности</t>
  </si>
  <si>
    <t>Множитель среднего чека</t>
  </si>
  <si>
    <t>Множитель частоты покупки</t>
  </si>
  <si>
    <t>Достижимая доля</t>
  </si>
  <si>
    <t>Осторожный</t>
  </si>
  <si>
    <t>Базовый</t>
  </si>
  <si>
    <t>Основной расчет на базе листа сегментов.</t>
  </si>
  <si>
    <t>Оптимистичный</t>
  </si>
  <si>
    <t>Итоговые расчетные показатели по методу потенциальных клиентов</t>
  </si>
  <si>
    <t>Формула / источник</t>
  </si>
  <si>
    <t>Интерпретация</t>
  </si>
  <si>
    <t>TAM по базовому подходу</t>
  </si>
  <si>
    <t>SUMPRODUCT(потенциальные клиенты × средний чек × частота)</t>
  </si>
  <si>
    <t>Максимальный ориентир до сужения рынка.</t>
  </si>
  <si>
    <t>Клиенты в границах рынка</t>
  </si>
  <si>
    <t>Сумма клиентов после продуктово-географического сужения</t>
  </si>
  <si>
    <t>Потенциальная база в выбранных границах.</t>
  </si>
  <si>
    <t>Реально адресуемые клиенты</t>
  </si>
  <si>
    <t>Сумма после учета потребности, онлайн-готовности и платежеспособности</t>
  </si>
  <si>
    <t>Практически доступная клиентская база.</t>
  </si>
  <si>
    <t>Реально адресуемые клиенты × средний чек × частота</t>
  </si>
  <si>
    <t>Доступный объем рынка.</t>
  </si>
  <si>
    <t>SAM × достижимая доля</t>
  </si>
  <si>
    <t>Реалистичный объем для нового бизнеса.</t>
  </si>
  <si>
    <t>Доля SOM в SAM</t>
  </si>
  <si>
    <t>SOM / SAM</t>
  </si>
  <si>
    <t>Оценка амбициозности выхода на рынок.</t>
  </si>
  <si>
    <t>Коэффициенты качества расчета</t>
  </si>
  <si>
    <t>Проверка</t>
  </si>
  <si>
    <t>Расчет</t>
  </si>
  <si>
    <t>Как интерпретировать</t>
  </si>
  <si>
    <t>Доля реально адресуемых клиентов</t>
  </si>
  <si>
    <t>реально адресуемые / клиенты в границах</t>
  </si>
  <si>
    <t>Если значение слишком высокое, коэффициенты могли быть завышены.</t>
  </si>
  <si>
    <t>Средний SAM на одного адресуемого клиента</t>
  </si>
  <si>
    <t>SAM / реально адресуемые клиенты</t>
  </si>
  <si>
    <t>Показывает среднюю годовую выручку на клиента.</t>
  </si>
  <si>
    <t>Сравнение SOM и Similarweb-ориентира</t>
  </si>
  <si>
    <t>SOM / оценочная годовая выручка конкурентов</t>
  </si>
  <si>
    <t>Используется как проверка реалистичности.</t>
  </si>
  <si>
    <t>Проверочная оценка рынка через Similarweb и цифровые следы конкурентов</t>
  </si>
  <si>
    <t>Конкурент / сайт</t>
  </si>
  <si>
    <t>URL</t>
  </si>
  <si>
    <t>Роль на рынке</t>
  </si>
  <si>
    <t>Месячные визиты</t>
  </si>
  <si>
    <t>Доля выбранной географии</t>
  </si>
  <si>
    <t>Визиты из выбранной географии</t>
  </si>
  <si>
    <t>Доля релевантных каналов</t>
  </si>
  <si>
    <t>Коэффициент коммерческого намерения</t>
  </si>
  <si>
    <t>Релевантный рыночный трафик</t>
  </si>
  <si>
    <t>Конверсия в заявку</t>
  </si>
  <si>
    <t>Конверсия заявки в оплату</t>
  </si>
  <si>
    <t>Заказов в месяц</t>
  </si>
  <si>
    <t>Выручка в месяц</t>
  </si>
  <si>
    <t>Выручка в год</t>
  </si>
  <si>
    <t>Итого / среднее</t>
  </si>
  <si>
    <t>Годовая оценка выручки конкурентов по Similarweb</t>
  </si>
  <si>
    <t>Итоговая панель оценки объема рынка через потенциальных клиентов</t>
  </si>
  <si>
    <t>Объем по сегментам: SAM и SOM</t>
  </si>
  <si>
    <t>Общий потенциальный рынок до сужения</t>
  </si>
  <si>
    <t>Сегмент</t>
  </si>
  <si>
    <t>Доступный рынок в зафиксированных границах</t>
  </si>
  <si>
    <t>Реалистично достижимый объем для нового бизнеса</t>
  </si>
  <si>
    <t>Адресуемые клиенты</t>
  </si>
  <si>
    <t>Клиенты после учета потребности, онлайн-готовности и платежеспособности</t>
  </si>
  <si>
    <t>Similarweb-ориентир</t>
  </si>
  <si>
    <t>Оценочная годовая выручка конкурентов по цифровому трафику</t>
  </si>
  <si>
    <t>Проверка амбициозности выхода на рынок</t>
  </si>
  <si>
    <t>Сценарный диапазон объема рынка</t>
  </si>
  <si>
    <t>Вывод</t>
  </si>
  <si>
    <t>Минимальный ориентир при слабой конверсии и низкой достижимой доле.</t>
  </si>
  <si>
    <t>Основной расчет.</t>
  </si>
  <si>
    <t>Верхняя граница при благоприятных условиях.</t>
  </si>
  <si>
    <t>Шаблон итогового вывода</t>
  </si>
  <si>
    <t>Журнал источников данных и допущений</t>
  </si>
  <si>
    <t>Блок расчета</t>
  </si>
  <si>
    <t>Источник</t>
  </si>
  <si>
    <t>Ссылка / файл</t>
  </si>
  <si>
    <t>Дата обращения</t>
  </si>
  <si>
    <t>Статус данных</t>
  </si>
  <si>
    <t>Надежность</t>
  </si>
  <si>
    <t>Оценка</t>
  </si>
  <si>
    <t>Коэффициент потребности</t>
  </si>
  <si>
    <t>Экспертное допущение</t>
  </si>
  <si>
    <t>Цифровая готовность</t>
  </si>
  <si>
    <t>Платежеспособность</t>
  </si>
  <si>
    <t>Доля клиентов с бюджетом</t>
  </si>
  <si>
    <t>Similarweb</t>
  </si>
  <si>
    <t>Трафик конкурентов</t>
  </si>
  <si>
    <t>https://www.similarweb.com/website/</t>
  </si>
  <si>
    <t>Справочные списки для выпадающих полей</t>
  </si>
  <si>
    <t>Факт</t>
  </si>
  <si>
    <t>Высокая</t>
  </si>
  <si>
    <t>B2C</t>
  </si>
  <si>
    <t>Платформа</t>
  </si>
  <si>
    <t>Смешанный</t>
  </si>
  <si>
    <t>EUR</t>
  </si>
  <si>
    <t>По результатам оценки через количество потенциальных клиентов базовый доступный объем рынка составляет ориентировочно [SAM] EUR в год, а реалистично достижимый объем для нового бизнеса составляет [SOM] EUR в год.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сегментов.</t>
  </si>
  <si>
    <t>TableMind: онлайн-сервис независимой проверки (аудита) Excel-моделей</t>
  </si>
  <si>
    <t>Проверка таблиц и финансовых моделей</t>
  </si>
  <si>
    <t>Веб-аудит файла Excel и надстройка: поиск ошибок формул, структуры и логики; тарифы Free, 9 EUR, Pro 19 EUR, Team 29 EUR</t>
  </si>
  <si>
    <t>Англоязычные страны (США, Великобритания, Канада, Австралия, Ирландия) и ЕС-27; контрольная территория Беларусь и русскоязычный сегмент</t>
  </si>
  <si>
    <t>B2B и B2C (профессионалы и малый бизнес), подписка freemium</t>
  </si>
  <si>
    <t>Курс НБРБ 03.10.2026: 1 EUR = 3,3860 BYN</t>
  </si>
  <si>
    <t>Р. В. Земляник, гр. 60131</t>
  </si>
  <si>
    <t>Финансовые аналитики и FP&amp;A</t>
  </si>
  <si>
    <t>B2B/B2C</t>
  </si>
  <si>
    <t>BLS 2025 (США) и масштаб по занятости</t>
  </si>
  <si>
    <t>Модели строят и проверяют сами; платит чаще работодатель (Pro или Team).</t>
  </si>
  <si>
    <t>Бухгалтеры и аудиторы</t>
  </si>
  <si>
    <t>В границы входят только работающие со сложными таблицами; часто разовый аудит.</t>
  </si>
  <si>
    <t>Консультанты по управлению</t>
  </si>
  <si>
    <t>Проверка чужих моделей клиентов; высокая готовность платить.</t>
  </si>
  <si>
    <t>МСП с финансовой функцией</t>
  </si>
  <si>
    <t>SBA 2025, UK BPE 2025, ЕК 2025/2026 и допущения</t>
  </si>
  <si>
    <t>Покупка Team на 2-3 места; основатели и операционные менеджеры.</t>
  </si>
  <si>
    <t>Резерв</t>
  </si>
  <si>
    <t>не используется</t>
  </si>
  <si>
    <t>Свободная строка шаблона.</t>
  </si>
  <si>
    <t>Низкие коэффициенты потребности, готовности и платежеспособности; осторожный выход на рынок.</t>
  </si>
  <si>
    <t>Высокая конверсия в платящих, больше мест в Team, заметная доля рынка.</t>
  </si>
  <si>
    <t>Shortcut</t>
  </si>
  <si>
    <t>https://www.similarweb.com/website/shortcut.ai/</t>
  </si>
  <si>
    <t>частичный: AI-агент для Excel</t>
  </si>
  <si>
    <t>PerfectXL</t>
  </si>
  <si>
    <t>https://www.similarweb.com/website/perfectxl.com/</t>
  </si>
  <si>
    <t>прямой: аудит таблиц</t>
  </si>
  <si>
    <t>Rows</t>
  </si>
  <si>
    <t>https://www.similarweb.com/website/rows.com/</t>
  </si>
  <si>
    <t>заменитель: AI-таблицы</t>
  </si>
  <si>
    <t>Numerous.ai</t>
  </si>
  <si>
    <t>https://www.similarweb.com/website/numerous.ai/</t>
  </si>
  <si>
    <t>заменитель: AI-помощник в таблицах</t>
  </si>
  <si>
    <t>Operis</t>
  </si>
  <si>
    <t>https://www.similarweb.com/website/operis.com/</t>
  </si>
  <si>
    <t>прямой: аудит финансовых моделей</t>
  </si>
  <si>
    <t>Arixcel</t>
  </si>
  <si>
    <t>https://www.similarweb.com/website/arixcel.com/</t>
  </si>
  <si>
    <t>Formula Bot</t>
  </si>
  <si>
    <t>https://www.similarweb.com/website/formulabot.com/</t>
  </si>
  <si>
    <t>Ajelix</t>
  </si>
  <si>
    <t>https://www.similarweb.com/website/ajelix.com/</t>
  </si>
  <si>
    <t>Datarails</t>
  </si>
  <si>
    <t>https://www.similarweb.com/website/datarails.com/</t>
  </si>
  <si>
    <t>заменитель: FP&amp;A-платформа для Excel</t>
  </si>
  <si>
    <t>Julius AI</t>
  </si>
  <si>
    <t>https://www.similarweb.com/website/julius.ai/</t>
  </si>
  <si>
    <t>заменитель: AI-анализ данных</t>
  </si>
  <si>
    <t>Spreadsheet Detective</t>
  </si>
  <si>
    <t>https://www.similarweb.com/website/spreadsheetdetective.com/</t>
  </si>
  <si>
    <t>CIMCON Software</t>
  </si>
  <si>
    <t>https://www.similarweb.com/website/cimcon.com/</t>
  </si>
  <si>
    <t>частичный: риски пользовательских таблиц</t>
  </si>
  <si>
    <t>Занятые по профессиям и число предприятий</t>
  </si>
  <si>
    <t>BLS OOH 2025 (США); SBA Advocacy 2025; European Commission SME Report 2025/2026; UK Business Population Estimates 2025</t>
  </si>
  <si>
    <t>см. Материалы_собранные/внешние_данные_2026-10-03.md</t>
  </si>
  <si>
    <t>Факт и допущение (масштаб по занятости 0,45 и 1,30)</t>
  </si>
  <si>
    <t>Заполнено при выполнении ЛР2-3; детали в приложении отчета.</t>
  </si>
  <si>
    <t>Доля с потребностью проверять сложные таблицы</t>
  </si>
  <si>
    <t>Допущение Д-10 на основе ПЗ1 (ошибки в 86-94 % таблиц) и ЛР1</t>
  </si>
  <si>
    <t>журнал_допущений.md</t>
  </si>
  <si>
    <t>Доля покупающих сервис онлайн</t>
  </si>
  <si>
    <t>Допущение Д-10; Similarweb: каналы поиск и прямые заходы</t>
  </si>
  <si>
    <t>similarweb_снимок_2026-10-03.csv</t>
  </si>
  <si>
    <t>Цены конкурентов (PerfectXL от 69 EUR, Numerous 10 USD, Copilot 18 USD) и тарифы ПЗ1</t>
  </si>
  <si>
    <t>внешние_данные_2026-10-03.md</t>
  </si>
  <si>
    <t>Выручка первого года на платящего</t>
  </si>
  <si>
    <t>Структура платящих (допущение Д-09) и тарифы 9/19/29 EUR</t>
  </si>
  <si>
    <t>inputs.py</t>
  </si>
  <si>
    <t>Расчет по допущению</t>
  </si>
  <si>
    <t>Similarweb Pro (пробный доступ), 06-08.2026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</si>
</sst>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left" vertical="center" wrapText="1"/>
    </xf>
    <xf numFmtId="164" fontId="4" fillId="5" borderId="0" xfId="1" applyNumberFormat="1" applyFont="1" applyFill="1" applyAlignment="1">
      <alignment horizontal="left" vertical="center" wrapText="1"/>
    </xf>
    <xf numFmtId="3" fontId="2" fillId="3" borderId="0" xfId="1" applyNumberFormat="1" applyFont="1" applyFill="1" applyAlignment="1">
      <alignment horizontal="left" vertical="center" wrapText="1"/>
    </xf>
    <xf numFmtId="9" fontId="2" fillId="3" borderId="0" xfId="1" applyNumberFormat="1" applyFont="1" applyFill="1" applyAlignment="1">
      <alignment horizontal="left" vertical="center" wrapText="1"/>
    </xf>
    <xf numFmtId="165" fontId="2" fillId="3" borderId="0" xfId="1" applyNumberFormat="1" applyFont="1" applyFill="1" applyAlignment="1">
      <alignment horizontal="left" vertical="center" wrapText="1"/>
    </xf>
    <xf numFmtId="166" fontId="2" fillId="3" borderId="0" xfId="1" applyNumberFormat="1" applyFont="1" applyFill="1" applyAlignment="1">
      <alignment horizontal="left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9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0" fontId="6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SAM и SOM по сегментам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Финансовые аналитики и FP&amp;A</c:v>
                </c:pt>
                <c:pt idx="1">
                  <c:v>Бухгалтеры и аудиторы</c:v>
                </c:pt>
                <c:pt idx="2">
                  <c:v>Консультанты по управлению</c:v>
                </c:pt>
                <c:pt idx="3">
                  <c:v>МСП с финансовой функцией</c:v>
                </c:pt>
                <c:pt idx="4">
                  <c:v>Резерв</c:v>
                </c:pt>
                <c:pt idx="5">
                  <c:v>Резерв</c:v>
                </c:pt>
              </c:strCache>
            </c:strRef>
          </c:cat>
          <c:val>
            <c:numRef>
              <c:f>'06_Дашборд'!$H$5:$H$10</c:f>
              <c:numCache>
                <c:formatCode>#,##0</c:formatCode>
                <c:ptCount val="6"/>
                <c:pt idx="0">
                  <c:v>6448434.2999999989</c:v>
                </c:pt>
                <c:pt idx="1">
                  <c:v>3869157.6</c:v>
                </c:pt>
                <c:pt idx="2">
                  <c:v>17914327.199999999</c:v>
                </c:pt>
                <c:pt idx="3">
                  <c:v>6771198.8879999984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E-44C6-9199-F3F73541D651}"/>
            </c:ext>
          </c:extLst>
        </c:ser>
        <c:ser>
          <c:idx val="1"/>
          <c:order val="1"/>
          <c:tx>
            <c:v>SOM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Финансовые аналитики и FP&amp;A</c:v>
                </c:pt>
                <c:pt idx="1">
                  <c:v>Бухгалтеры и аудиторы</c:v>
                </c:pt>
                <c:pt idx="2">
                  <c:v>Консультанты по управлению</c:v>
                </c:pt>
                <c:pt idx="3">
                  <c:v>МСП с финансовой функцией</c:v>
                </c:pt>
                <c:pt idx="4">
                  <c:v>Резерв</c:v>
                </c:pt>
                <c:pt idx="5">
                  <c:v>Резерв</c:v>
                </c:pt>
              </c:strCache>
            </c:strRef>
          </c:cat>
          <c:val>
            <c:numRef>
              <c:f>'06_Дашборд'!$I$5:$I$10</c:f>
              <c:numCache>
                <c:formatCode>#,##0</c:formatCode>
                <c:ptCount val="6"/>
                <c:pt idx="0">
                  <c:v>9672.6514499999994</c:v>
                </c:pt>
                <c:pt idx="1">
                  <c:v>3869.1576</c:v>
                </c:pt>
                <c:pt idx="2">
                  <c:v>26871.4908</c:v>
                </c:pt>
                <c:pt idx="3">
                  <c:v>3385.5994439999995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E-44C6-9199-F3F73541D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TAM / SAM / SOM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'06_Дашборд'!$B$14:$B$16</c:f>
              <c:numCache>
                <c:formatCode>#,##0</c:formatCode>
                <c:ptCount val="3"/>
                <c:pt idx="0">
                  <c:v>3306378176</c:v>
                </c:pt>
                <c:pt idx="1">
                  <c:v>5166215900</c:v>
                </c:pt>
                <c:pt idx="2">
                  <c:v>6535263113.500001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F-4CA0-BFCA-F21826099D95}"/>
            </c:ext>
          </c:extLst>
        </c:ser>
        <c:ser>
          <c:idx val="1"/>
          <c:order val="1"/>
          <c:tx>
            <c:v>SAM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'06_Дашборд'!$C$14:$C$16</c:f>
              <c:numCache>
                <c:formatCode>#,##0</c:formatCode>
                <c:ptCount val="3"/>
                <c:pt idx="0">
                  <c:v>10080897.980544001</c:v>
                </c:pt>
                <c:pt idx="1">
                  <c:v>35003117.987999998</c:v>
                </c:pt>
                <c:pt idx="2">
                  <c:v>73325931.685981899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F-4CA0-BFCA-F21826099D95}"/>
            </c:ext>
          </c:extLst>
        </c:ser>
        <c:ser>
          <c:idx val="2"/>
          <c:order val="2"/>
          <c:tx>
            <c:v>SOM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'06_Дашборд'!$D$14:$D$16</c:f>
              <c:numCache>
                <c:formatCode>#,##0</c:formatCode>
                <c:ptCount val="3"/>
                <c:pt idx="0">
                  <c:v>5040.4489902720006</c:v>
                </c:pt>
                <c:pt idx="1">
                  <c:v>45504.053384399995</c:v>
                </c:pt>
                <c:pt idx="2">
                  <c:v>219977.79505794571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F-4CA0-BFCA-F21826099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3:Q12">
  <tableColumns count="17">
    <tableColumn id="1" xr3:uid="{00000000-0010-0000-0000-000001000000}" name="Сегмент клиентов"/>
    <tableColumn id="2" xr3:uid="{00000000-0010-0000-0000-000002000000}" name="Тип клиента"/>
    <tableColumn id="3" xr3:uid="{00000000-0010-0000-0000-000003000000}" name="Источник количества"/>
    <tableColumn id="4" xr3:uid="{00000000-0010-0000-0000-000004000000}" name="Потенциальных клиентов всего"/>
    <tableColumn id="5" xr3:uid="{00000000-0010-0000-0000-000005000000}" name="Доля соответствия границам рынка"/>
    <tableColumn id="6" xr3:uid="{00000000-0010-0000-0000-000006000000}" name="Клиентов в границах рынка"/>
    <tableColumn id="7" xr3:uid="{00000000-0010-0000-0000-000007000000}" name="Доля имеющих потребность"/>
    <tableColumn id="8" xr3:uid="{00000000-0010-0000-0000-000008000000}" name="Доля готовых покупать онлайн"/>
    <tableColumn id="9" xr3:uid="{00000000-0010-0000-0000-000009000000}" name="Доля платежеспособных"/>
    <tableColumn id="10" xr3:uid="{00000000-0010-0000-0000-00000A000000}" name="Реально адресуемых клиентов"/>
    <tableColumn id="11" xr3:uid="{00000000-0010-0000-0000-00000B000000}" name="Средний чек"/>
    <tableColumn id="12" xr3:uid="{00000000-0010-0000-0000-00000C000000}" name="Покупок в год"/>
    <tableColumn id="13" xr3:uid="{00000000-0010-0000-0000-00000D000000}" name="SAM: доступный объем рынка"/>
    <tableColumn id="14" xr3:uid="{00000000-0010-0000-0000-00000E000000}" name="Достижимая доля нового бизнеса"/>
    <tableColumn id="15" xr3:uid="{00000000-0010-0000-0000-00000F000000}" name="SOM: достижимый объем"/>
    <tableColumn id="16" xr3:uid="{00000000-0010-0000-0000-000010000000}" name="Надежность данных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able" displayName="ScenarioTable" ref="A3:K6">
  <tableColumns count="11">
    <tableColumn id="1" xr3:uid="{00000000-0010-0000-0100-000001000000}" name="Сценарий"/>
    <tableColumn id="2" xr3:uid="{00000000-0010-0000-0100-000002000000}" name="Множитель потребности"/>
    <tableColumn id="3" xr3:uid="{00000000-0010-0000-0100-000003000000}" name="Множитель онлайн-готовности"/>
    <tableColumn id="4" xr3:uid="{00000000-0010-0000-0100-000004000000}" name="Множитель платежеспособности"/>
    <tableColumn id="5" xr3:uid="{00000000-0010-0000-0100-000005000000}" name="Множитель среднего чека"/>
    <tableColumn id="6" xr3:uid="{00000000-0010-0000-0100-000006000000}" name="Множитель частоты покупки"/>
    <tableColumn id="7" xr3:uid="{00000000-0010-0000-0100-000007000000}" name="Достижимая доля"/>
    <tableColumn id="8" xr3:uid="{00000000-0010-0000-0100-000008000000}" name="TAM"/>
    <tableColumn id="9" xr3:uid="{00000000-0010-0000-0100-000009000000}" name="SAM"/>
    <tableColumn id="10" xr3:uid="{00000000-0010-0000-0100-00000A000000}" name="SOM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ilarwebTable" displayName="SimilarwebTable" ref="A3:O17">
  <tableColumns count="15">
    <tableColumn id="1" xr3:uid="{00000000-0010-0000-0200-000001000000}" name="Конкурент / сайт"/>
    <tableColumn id="2" xr3:uid="{00000000-0010-0000-0200-000002000000}" name="URL"/>
    <tableColumn id="3" xr3:uid="{00000000-0010-0000-0200-000003000000}" name="Роль на рынке"/>
    <tableColumn id="4" xr3:uid="{00000000-0010-0000-0200-000004000000}" name="Месячные визиты"/>
    <tableColumn id="5" xr3:uid="{00000000-0010-0000-0200-000005000000}" name="Доля выбранной географии"/>
    <tableColumn id="6" xr3:uid="{00000000-0010-0000-0200-000006000000}" name="Визиты из выбранной географии"/>
    <tableColumn id="7" xr3:uid="{00000000-0010-0000-0200-000007000000}" name="Доля релевантных каналов"/>
    <tableColumn id="8" xr3:uid="{00000000-0010-0000-0200-000008000000}" name="Коэффициент коммерческого намерения"/>
    <tableColumn id="9" xr3:uid="{00000000-0010-0000-0200-000009000000}" name="Релевантный рыночный трафик"/>
    <tableColumn id="10" xr3:uid="{00000000-0010-0000-0200-00000A000000}" name="Конверсия в заявку"/>
    <tableColumn id="11" xr3:uid="{00000000-0010-0000-0200-00000B000000}" name="Конверсия заявки в оплату"/>
    <tableColumn id="12" xr3:uid="{00000000-0010-0000-0200-00000C000000}" name="Средний чек"/>
    <tableColumn id="13" xr3:uid="{00000000-0010-0000-0200-00000D000000}" name="Заказов в месяц"/>
    <tableColumn id="14" xr3:uid="{00000000-0010-0000-0200-00000E000000}" name="Выручка в месяц"/>
    <tableColumn id="15" xr3:uid="{00000000-0010-0000-0200-00000F000000}" name="Выручка в г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3:H40">
  <tableColumns count="8">
    <tableColumn id="1" xr3:uid="{00000000-0010-0000-0300-000001000000}" name="Блок расчета"/>
    <tableColumn id="2" xr3:uid="{00000000-0010-0000-0300-000002000000}" name="Показатель"/>
    <tableColumn id="3" xr3:uid="{00000000-0010-0000-0300-000003000000}" name="Источник"/>
    <tableColumn id="4" xr3:uid="{00000000-0010-0000-0300-000004000000}" name="Ссылка / файл"/>
    <tableColumn id="5" xr3:uid="{00000000-0010-0000-0300-000005000000}" name="Дата обращения"/>
    <tableColumn id="6" xr3:uid="{00000000-0010-0000-0300-000006000000}" name="Статус данных"/>
    <tableColumn id="7" xr3:uid="{00000000-0010-0000-0300-000007000000}" name="Надежность"/>
    <tableColumn id="8" xr3:uid="{00000000-0010-0000-0300-000008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3.5"/>
  <cols>
    <col min="1" max="1" width="84.25" customWidth="1"/>
    <col min="2" max="2" width="62" customWidth="1"/>
    <col min="3" max="3" width="12.5" customWidth="1"/>
    <col min="4" max="4" width="39.3125" customWidth="1"/>
  </cols>
  <sheetData>
    <row r="1" spans="1:26" ht="17.649999999999999">
      <c r="A1" s="16" t="s">
        <v>0</v>
      </c>
      <c r="B1" s="16"/>
      <c r="C1" s="16"/>
      <c r="D1" s="16"/>
      <c r="E1" s="16"/>
      <c r="F1" s="16"/>
      <c r="G1" s="16"/>
      <c r="H1" s="1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9">
      <c r="A3" s="17" t="s">
        <v>1</v>
      </c>
      <c r="B3" s="17"/>
      <c r="C3" s="17"/>
      <c r="D3" s="17"/>
      <c r="E3" s="17"/>
      <c r="F3" s="17"/>
      <c r="G3" s="17"/>
      <c r="H3" s="1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0.5">
      <c r="A4" s="2" t="s">
        <v>2</v>
      </c>
      <c r="B4" s="10" t="s">
        <v>3</v>
      </c>
      <c r="C4" s="10"/>
      <c r="D4" s="10"/>
      <c r="E4" s="10"/>
      <c r="F4" s="10"/>
      <c r="G4" s="10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4">
      <c r="A5" s="2" t="s">
        <v>4</v>
      </c>
      <c r="B5" s="10" t="s">
        <v>5</v>
      </c>
      <c r="C5" s="10"/>
      <c r="D5" s="10"/>
      <c r="E5" s="10"/>
      <c r="F5" s="10"/>
      <c r="G5" s="10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0.5">
      <c r="A6" s="2" t="s">
        <v>6</v>
      </c>
      <c r="B6" s="10" t="s">
        <v>7</v>
      </c>
      <c r="C6" s="10"/>
      <c r="D6" s="10"/>
      <c r="E6" s="10"/>
      <c r="F6" s="10"/>
      <c r="G6" s="10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7">
      <c r="A7" s="2" t="s">
        <v>8</v>
      </c>
      <c r="B7" s="10" t="s">
        <v>9</v>
      </c>
      <c r="C7" s="10"/>
      <c r="D7" s="10"/>
      <c r="E7" s="10"/>
      <c r="F7" s="10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54">
      <c r="A8" s="2" t="s">
        <v>10</v>
      </c>
      <c r="B8" s="10" t="s">
        <v>11</v>
      </c>
      <c r="C8" s="10"/>
      <c r="D8" s="10"/>
      <c r="E8" s="10"/>
      <c r="F8" s="10"/>
      <c r="G8" s="10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9">
      <c r="A10" s="17" t="s">
        <v>12</v>
      </c>
      <c r="B10" s="17"/>
      <c r="C10" s="17"/>
      <c r="D10" s="17"/>
      <c r="E10" s="17"/>
      <c r="F10" s="17"/>
      <c r="G10" s="17"/>
      <c r="H10" s="1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9">
      <c r="A11" s="2" t="s">
        <v>13</v>
      </c>
      <c r="B11" s="2" t="s">
        <v>14</v>
      </c>
      <c r="C11" s="2" t="s">
        <v>15</v>
      </c>
      <c r="D11" s="2" t="s">
        <v>16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7">
      <c r="A12" s="10">
        <v>1</v>
      </c>
      <c r="B12" s="10" t="s">
        <v>17</v>
      </c>
      <c r="C12" s="10" t="s">
        <v>18</v>
      </c>
      <c r="D12" s="10" t="s">
        <v>19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0">
        <v>2</v>
      </c>
      <c r="B13" s="10" t="s">
        <v>20</v>
      </c>
      <c r="C13" s="10" t="s">
        <v>21</v>
      </c>
      <c r="D13" s="10" t="s">
        <v>22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7">
      <c r="A14" s="10">
        <v>3</v>
      </c>
      <c r="B14" s="10" t="s">
        <v>23</v>
      </c>
      <c r="C14" s="10" t="s">
        <v>24</v>
      </c>
      <c r="D14" s="10" t="s">
        <v>25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7">
      <c r="A15" s="10">
        <v>4</v>
      </c>
      <c r="B15" s="10" t="s">
        <v>26</v>
      </c>
      <c r="C15" s="10" t="s">
        <v>27</v>
      </c>
      <c r="D15" s="10" t="s">
        <v>28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>
        <v>5</v>
      </c>
      <c r="B16" s="10" t="s">
        <v>29</v>
      </c>
      <c r="C16" s="10" t="s">
        <v>30</v>
      </c>
      <c r="D16" s="10" t="s">
        <v>31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10">
        <v>6</v>
      </c>
      <c r="B17" s="10" t="s">
        <v>32</v>
      </c>
      <c r="C17" s="10" t="s">
        <v>33</v>
      </c>
      <c r="D17" s="10" t="s">
        <v>34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9">
      <c r="A20" s="17" t="s">
        <v>35</v>
      </c>
      <c r="B20" s="17"/>
      <c r="C20" s="17"/>
      <c r="D20" s="17"/>
      <c r="E20" s="17"/>
      <c r="F20" s="17"/>
      <c r="G20" s="17"/>
      <c r="H20" s="1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9">
      <c r="A21" s="2" t="s">
        <v>36</v>
      </c>
      <c r="B21" s="2" t="s">
        <v>37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7">
      <c r="A22" s="10" t="s">
        <v>38</v>
      </c>
      <c r="B22" s="10" t="s">
        <v>39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7">
      <c r="A23" s="10" t="s">
        <v>40</v>
      </c>
      <c r="B23" s="10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7">
      <c r="A24" s="10" t="s">
        <v>42</v>
      </c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7">
      <c r="A25" s="10" t="s">
        <v>44</v>
      </c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7">
      <c r="A26" s="10" t="s">
        <v>46</v>
      </c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4">
    <mergeCell ref="A1:H1"/>
    <mergeCell ref="A3:H3"/>
    <mergeCell ref="A10:H10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3.5"/>
  <cols>
    <col min="1" max="1" width="28" customWidth="1"/>
    <col min="2" max="2" width="42" customWidth="1"/>
    <col min="3" max="4" width="38" customWidth="1"/>
  </cols>
  <sheetData>
    <row r="1" spans="1:26" ht="17.649999999999999">
      <c r="A1" s="16" t="s">
        <v>48</v>
      </c>
      <c r="B1" s="16"/>
      <c r="C1" s="16"/>
      <c r="D1" s="16"/>
      <c r="E1" s="16"/>
      <c r="F1" s="1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9">
      <c r="A3" s="2" t="s">
        <v>49</v>
      </c>
      <c r="B3" s="2" t="s">
        <v>50</v>
      </c>
      <c r="C3" s="2" t="s">
        <v>51</v>
      </c>
      <c r="D3" s="2" t="s">
        <v>52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7">
      <c r="A4" s="11" t="s">
        <v>53</v>
      </c>
      <c r="B4" s="3" t="s">
        <v>213</v>
      </c>
      <c r="C4" s="10" t="s">
        <v>54</v>
      </c>
      <c r="D4" s="10" t="s">
        <v>55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9">
      <c r="A5" s="11" t="s">
        <v>56</v>
      </c>
      <c r="B5" s="3" t="s">
        <v>214</v>
      </c>
      <c r="C5" s="10" t="s">
        <v>57</v>
      </c>
      <c r="D5" s="10" t="s">
        <v>58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0.5">
      <c r="A6" s="11" t="s">
        <v>59</v>
      </c>
      <c r="B6" s="3" t="s">
        <v>215</v>
      </c>
      <c r="C6" s="10" t="s">
        <v>60</v>
      </c>
      <c r="D6" s="10" t="s">
        <v>61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54">
      <c r="A7" s="11" t="s">
        <v>62</v>
      </c>
      <c r="B7" s="3" t="s">
        <v>216</v>
      </c>
      <c r="C7" s="10" t="s">
        <v>63</v>
      </c>
      <c r="D7" s="10" t="s">
        <v>64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7">
      <c r="A8" s="11" t="s">
        <v>65</v>
      </c>
      <c r="B8" s="3" t="s">
        <v>217</v>
      </c>
      <c r="C8" s="10" t="s">
        <v>66</v>
      </c>
      <c r="D8" s="10" t="s">
        <v>67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9">
      <c r="A9" s="11" t="s">
        <v>68</v>
      </c>
      <c r="B9" s="3" t="s">
        <v>211</v>
      </c>
      <c r="C9" s="10" t="s">
        <v>218</v>
      </c>
      <c r="D9" s="10" t="s">
        <v>69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7">
      <c r="A10" s="11" t="s">
        <v>70</v>
      </c>
      <c r="B10" s="3" t="s">
        <v>71</v>
      </c>
      <c r="C10" s="10" t="s">
        <v>72</v>
      </c>
      <c r="D10" s="10" t="s">
        <v>69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9">
      <c r="A11" s="11" t="s">
        <v>73</v>
      </c>
      <c r="B11" s="4">
        <v>46298</v>
      </c>
      <c r="C11" s="10" t="s">
        <v>74</v>
      </c>
      <c r="D11" s="10" t="s">
        <v>75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9">
      <c r="A12" s="11" t="s">
        <v>76</v>
      </c>
      <c r="B12" s="3" t="s">
        <v>219</v>
      </c>
      <c r="C12" s="10" t="s">
        <v>77</v>
      </c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9">
      <c r="A15" s="17" t="s">
        <v>78</v>
      </c>
      <c r="B15" s="17"/>
      <c r="C15" s="17"/>
      <c r="D15" s="17"/>
      <c r="E15" s="17"/>
      <c r="F15" s="1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9">
      <c r="A16" s="2" t="s">
        <v>79</v>
      </c>
      <c r="B16" s="2" t="s">
        <v>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7">
      <c r="A17" s="10" t="s">
        <v>80</v>
      </c>
      <c r="B17" s="10" t="s">
        <v>81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7">
      <c r="A18" s="10" t="s">
        <v>82</v>
      </c>
      <c r="B18" s="10" t="s">
        <v>83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0" t="s">
        <v>84</v>
      </c>
      <c r="B19" s="10" t="s">
        <v>85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0" t="s">
        <v>86</v>
      </c>
      <c r="B20" s="10" t="s">
        <v>87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0" t="s">
        <v>40</v>
      </c>
      <c r="B21" s="10" t="s">
        <v>88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7">
      <c r="A22" s="10" t="s">
        <v>42</v>
      </c>
      <c r="B22" s="10" t="s">
        <v>89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5"/>
  <cols>
    <col min="1" max="1" width="26" customWidth="1"/>
    <col min="2" max="2" width="14" customWidth="1"/>
    <col min="3" max="3" width="32" customWidth="1"/>
    <col min="4" max="10" width="18" customWidth="1"/>
    <col min="11" max="11" width="14" customWidth="1"/>
    <col min="12" max="12" width="12" customWidth="1"/>
    <col min="13" max="13" width="18" customWidth="1"/>
    <col min="14" max="14" width="16" customWidth="1"/>
    <col min="15" max="15" width="18" customWidth="1"/>
    <col min="16" max="16" width="14" customWidth="1"/>
    <col min="17" max="17" width="40" customWidth="1"/>
  </cols>
  <sheetData>
    <row r="1" spans="1:26" ht="17.649999999999999">
      <c r="A1" s="16" t="s">
        <v>90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1.65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84</v>
      </c>
      <c r="L3" s="2" t="s">
        <v>101</v>
      </c>
      <c r="M3" s="2" t="s">
        <v>102</v>
      </c>
      <c r="N3" s="2" t="s">
        <v>103</v>
      </c>
      <c r="O3" s="2" t="s">
        <v>104</v>
      </c>
      <c r="P3" s="2" t="s">
        <v>105</v>
      </c>
      <c r="Q3" s="2" t="s">
        <v>51</v>
      </c>
      <c r="R3" s="9"/>
      <c r="S3" s="9"/>
      <c r="T3" s="9"/>
      <c r="U3" s="9"/>
      <c r="V3" s="9"/>
      <c r="W3" s="9"/>
      <c r="X3" s="9"/>
      <c r="Y3" s="9"/>
      <c r="Z3" s="9"/>
    </row>
    <row r="4" spans="1:26" ht="27">
      <c r="A4" s="10" t="s">
        <v>220</v>
      </c>
      <c r="B4" s="10" t="s">
        <v>221</v>
      </c>
      <c r="C4" s="10" t="s">
        <v>222</v>
      </c>
      <c r="D4" s="12">
        <v>1218525</v>
      </c>
      <c r="E4" s="13">
        <v>0.7</v>
      </c>
      <c r="F4" s="12">
        <f t="shared" ref="F4:F10" si="0">D4*E4</f>
        <v>852967.5</v>
      </c>
      <c r="G4" s="13">
        <v>0.3</v>
      </c>
      <c r="H4" s="13">
        <v>0.6</v>
      </c>
      <c r="I4" s="13">
        <v>0.35</v>
      </c>
      <c r="J4" s="12">
        <f t="shared" ref="J4:J10" si="1">F4*G4*H4*I4</f>
        <v>53736.952499999992</v>
      </c>
      <c r="K4" s="12">
        <v>120</v>
      </c>
      <c r="L4" s="14">
        <v>1</v>
      </c>
      <c r="M4" s="12">
        <f t="shared" ref="M4:M10" si="2">J4*K4*L4</f>
        <v>6448434.2999999989</v>
      </c>
      <c r="N4" s="15">
        <v>1.5E-3</v>
      </c>
      <c r="O4" s="12">
        <f t="shared" ref="O4:O10" si="3">M4*N4</f>
        <v>9672.6514499999994</v>
      </c>
      <c r="P4" s="10" t="s">
        <v>107</v>
      </c>
      <c r="Q4" s="10" t="s">
        <v>223</v>
      </c>
      <c r="R4" s="9"/>
      <c r="S4" s="9"/>
      <c r="T4" s="9"/>
      <c r="U4" s="9"/>
      <c r="V4" s="9"/>
      <c r="W4" s="9"/>
      <c r="X4" s="9"/>
      <c r="Y4" s="9"/>
      <c r="Z4" s="9"/>
    </row>
    <row r="5" spans="1:26" ht="27">
      <c r="A5" s="10" t="s">
        <v>224</v>
      </c>
      <c r="B5" s="10" t="s">
        <v>221</v>
      </c>
      <c r="C5" s="10" t="s">
        <v>222</v>
      </c>
      <c r="D5" s="12">
        <v>4386800</v>
      </c>
      <c r="E5" s="13">
        <v>0.35</v>
      </c>
      <c r="F5" s="12">
        <f t="shared" si="0"/>
        <v>1535380</v>
      </c>
      <c r="G5" s="13">
        <v>0.2</v>
      </c>
      <c r="H5" s="13">
        <v>0.6</v>
      </c>
      <c r="I5" s="13">
        <v>0.3</v>
      </c>
      <c r="J5" s="12">
        <f t="shared" si="1"/>
        <v>55273.68</v>
      </c>
      <c r="K5" s="12">
        <v>70</v>
      </c>
      <c r="L5" s="14">
        <v>1</v>
      </c>
      <c r="M5" s="12">
        <f t="shared" si="2"/>
        <v>3869157.6</v>
      </c>
      <c r="N5" s="15">
        <v>1E-3</v>
      </c>
      <c r="O5" s="12">
        <f t="shared" si="3"/>
        <v>3869.1576</v>
      </c>
      <c r="P5" s="10" t="s">
        <v>107</v>
      </c>
      <c r="Q5" s="10" t="s">
        <v>225</v>
      </c>
      <c r="R5" s="9"/>
      <c r="S5" s="9"/>
      <c r="T5" s="9"/>
      <c r="U5" s="9"/>
      <c r="V5" s="9"/>
      <c r="W5" s="9"/>
      <c r="X5" s="9"/>
      <c r="Y5" s="9"/>
      <c r="Z5" s="9"/>
    </row>
    <row r="6" spans="1:26" ht="27">
      <c r="A6" s="10" t="s">
        <v>226</v>
      </c>
      <c r="B6" s="10" t="s">
        <v>221</v>
      </c>
      <c r="C6" s="10" t="s">
        <v>222</v>
      </c>
      <c r="D6" s="12">
        <v>2962025</v>
      </c>
      <c r="E6" s="13">
        <v>0.4</v>
      </c>
      <c r="F6" s="12">
        <f t="shared" si="0"/>
        <v>1184810</v>
      </c>
      <c r="G6" s="13">
        <v>0.3</v>
      </c>
      <c r="H6" s="13">
        <v>0.7</v>
      </c>
      <c r="I6" s="13">
        <v>0.4</v>
      </c>
      <c r="J6" s="12">
        <f t="shared" si="1"/>
        <v>99524.04</v>
      </c>
      <c r="K6" s="12">
        <v>180</v>
      </c>
      <c r="L6" s="14">
        <v>1</v>
      </c>
      <c r="M6" s="12">
        <f t="shared" si="2"/>
        <v>17914327.199999999</v>
      </c>
      <c r="N6" s="15">
        <v>1.5E-3</v>
      </c>
      <c r="O6" s="12">
        <f t="shared" si="3"/>
        <v>26871.4908</v>
      </c>
      <c r="P6" s="10" t="s">
        <v>108</v>
      </c>
      <c r="Q6" s="10" t="s">
        <v>227</v>
      </c>
      <c r="R6" s="9"/>
      <c r="S6" s="9"/>
      <c r="T6" s="9"/>
      <c r="U6" s="9"/>
      <c r="V6" s="9"/>
      <c r="W6" s="9"/>
      <c r="X6" s="9"/>
      <c r="Y6" s="9"/>
      <c r="Z6" s="9"/>
    </row>
    <row r="7" spans="1:26" ht="27">
      <c r="A7" s="10" t="s">
        <v>228</v>
      </c>
      <c r="B7" s="10" t="s">
        <v>221</v>
      </c>
      <c r="C7" s="10" t="s">
        <v>229</v>
      </c>
      <c r="D7" s="12">
        <v>17415635</v>
      </c>
      <c r="E7" s="13">
        <v>0.03</v>
      </c>
      <c r="F7" s="12">
        <f t="shared" si="0"/>
        <v>522469.05</v>
      </c>
      <c r="G7" s="13">
        <v>0.3</v>
      </c>
      <c r="H7" s="13">
        <v>0.6</v>
      </c>
      <c r="I7" s="13">
        <v>0.3</v>
      </c>
      <c r="J7" s="12">
        <f t="shared" si="1"/>
        <v>28213.328699999995</v>
      </c>
      <c r="K7" s="12">
        <v>240</v>
      </c>
      <c r="L7" s="14">
        <v>1</v>
      </c>
      <c r="M7" s="12">
        <f t="shared" si="2"/>
        <v>6771198.8879999984</v>
      </c>
      <c r="N7" s="15">
        <v>5.0000000000000001E-4</v>
      </c>
      <c r="O7" s="12">
        <f t="shared" si="3"/>
        <v>3385.5994439999995</v>
      </c>
      <c r="P7" s="10" t="s">
        <v>108</v>
      </c>
      <c r="Q7" s="10" t="s">
        <v>230</v>
      </c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 t="s">
        <v>231</v>
      </c>
      <c r="B8" s="10" t="s">
        <v>106</v>
      </c>
      <c r="C8" s="10" t="s">
        <v>232</v>
      </c>
      <c r="D8" s="12">
        <v>0</v>
      </c>
      <c r="E8" s="13">
        <v>0</v>
      </c>
      <c r="F8" s="12">
        <f t="shared" si="0"/>
        <v>0</v>
      </c>
      <c r="G8" s="13">
        <v>0</v>
      </c>
      <c r="H8" s="13">
        <v>0</v>
      </c>
      <c r="I8" s="13">
        <v>0</v>
      </c>
      <c r="J8" s="12">
        <f t="shared" si="1"/>
        <v>0</v>
      </c>
      <c r="K8" s="12">
        <v>0</v>
      </c>
      <c r="L8" s="14">
        <v>0</v>
      </c>
      <c r="M8" s="12">
        <f t="shared" si="2"/>
        <v>0</v>
      </c>
      <c r="N8" s="15">
        <v>0</v>
      </c>
      <c r="O8" s="12">
        <f t="shared" si="3"/>
        <v>0</v>
      </c>
      <c r="P8" s="10" t="s">
        <v>109</v>
      </c>
      <c r="Q8" s="10" t="s">
        <v>233</v>
      </c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231</v>
      </c>
      <c r="B9" s="10" t="s">
        <v>106</v>
      </c>
      <c r="C9" s="10" t="s">
        <v>232</v>
      </c>
      <c r="D9" s="12">
        <v>0</v>
      </c>
      <c r="E9" s="13">
        <v>0</v>
      </c>
      <c r="F9" s="12">
        <f t="shared" si="0"/>
        <v>0</v>
      </c>
      <c r="G9" s="13">
        <v>0</v>
      </c>
      <c r="H9" s="13">
        <v>0</v>
      </c>
      <c r="I9" s="13">
        <v>0</v>
      </c>
      <c r="J9" s="12">
        <f t="shared" si="1"/>
        <v>0</v>
      </c>
      <c r="K9" s="12">
        <v>0</v>
      </c>
      <c r="L9" s="14">
        <v>0</v>
      </c>
      <c r="M9" s="12">
        <f t="shared" si="2"/>
        <v>0</v>
      </c>
      <c r="N9" s="15">
        <v>0</v>
      </c>
      <c r="O9" s="12">
        <f t="shared" si="3"/>
        <v>0</v>
      </c>
      <c r="P9" s="10" t="s">
        <v>109</v>
      </c>
      <c r="Q9" s="10" t="s">
        <v>233</v>
      </c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 t="s">
        <v>231</v>
      </c>
      <c r="B10" s="10" t="s">
        <v>106</v>
      </c>
      <c r="C10" s="10" t="s">
        <v>232</v>
      </c>
      <c r="D10" s="12">
        <v>0</v>
      </c>
      <c r="E10" s="13">
        <v>0</v>
      </c>
      <c r="F10" s="12">
        <f t="shared" si="0"/>
        <v>0</v>
      </c>
      <c r="G10" s="13">
        <v>0</v>
      </c>
      <c r="H10" s="13">
        <v>0</v>
      </c>
      <c r="I10" s="13">
        <v>0</v>
      </c>
      <c r="J10" s="12">
        <f t="shared" si="1"/>
        <v>0</v>
      </c>
      <c r="K10" s="12">
        <v>0</v>
      </c>
      <c r="L10" s="14">
        <v>0</v>
      </c>
      <c r="M10" s="12">
        <f t="shared" si="2"/>
        <v>0</v>
      </c>
      <c r="N10" s="15">
        <v>0</v>
      </c>
      <c r="O10" s="12">
        <f t="shared" si="3"/>
        <v>0</v>
      </c>
      <c r="P10" s="10" t="s">
        <v>109</v>
      </c>
      <c r="Q10" s="10" t="s">
        <v>233</v>
      </c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2"/>
      <c r="E11" s="13"/>
      <c r="F11" s="12"/>
      <c r="G11" s="13"/>
      <c r="H11" s="13"/>
      <c r="I11" s="13"/>
      <c r="J11" s="12"/>
      <c r="K11" s="12"/>
      <c r="L11" s="14"/>
      <c r="M11" s="12"/>
      <c r="N11" s="15"/>
      <c r="O11" s="12"/>
      <c r="P11" s="10"/>
      <c r="Q11" s="10"/>
      <c r="R11" s="9"/>
      <c r="S11" s="9"/>
      <c r="T11" s="9"/>
      <c r="U11" s="9"/>
      <c r="V11" s="9"/>
      <c r="W11" s="9"/>
      <c r="X11" s="9"/>
      <c r="Y11" s="9"/>
      <c r="Z11" s="9"/>
    </row>
    <row r="12" spans="1:26" ht="13.9">
      <c r="A12" s="1" t="s">
        <v>110</v>
      </c>
      <c r="B12" s="1"/>
      <c r="C12" s="1"/>
      <c r="D12" s="5">
        <f>SUM(D4:D10)</f>
        <v>25982985</v>
      </c>
      <c r="E12" s="6"/>
      <c r="F12" s="5">
        <f>SUM(F4:F10)</f>
        <v>4095626.55</v>
      </c>
      <c r="G12" s="6"/>
      <c r="H12" s="6"/>
      <c r="I12" s="6"/>
      <c r="J12" s="5">
        <f>SUM(J4:J10)</f>
        <v>236748.00119999997</v>
      </c>
      <c r="K12" s="5"/>
      <c r="L12" s="7"/>
      <c r="M12" s="5">
        <f>SUM(M4:M10)</f>
        <v>35003117.987999998</v>
      </c>
      <c r="N12" s="8"/>
      <c r="O12" s="5">
        <f>SUM(O4:O10)</f>
        <v>43798.899293999995</v>
      </c>
      <c r="P12" s="1"/>
      <c r="Q12" s="1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Q1"/>
  </mergeCells>
  <conditionalFormatting sqref="M4:M10">
    <cfRule type="dataBar" priority="1">
      <dataBar>
        <cfvo type="min"/>
        <cfvo type="max"/>
        <color rgb="FF70AD47"/>
      </dataBar>
    </cfRule>
  </conditionalFormatting>
  <conditionalFormatting sqref="O4:O10">
    <cfRule type="dataBar" priority="2">
      <dataBar>
        <cfvo type="min"/>
        <cfvo type="max"/>
        <color rgb="FF5B9BD5"/>
      </dataBar>
    </cfRule>
  </conditionalFormatting>
  <conditionalFormatting sqref="M4:M10"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{1660AB3F-1EC2-03C6-DB1C-7376F414B1DF}</x14:id>
        </ext>
      </extLst>
    </cfRule>
  </conditionalFormatting>
  <conditionalFormatting sqref="O4:O10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{2F33DAE6-E1E2-0B75-48CA-C2B8C94B0D11}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0AB3F-1EC2-03C6-DB1C-7376F414B1DF}">
            <x14:dataBar>
              <x14:cfvo type="min"/>
              <x14:cfvo type="max"/>
              <x14:negativeFillColor auto="1"/>
              <x14:axisColor auto="1"/>
            </x14:dataBar>
          </x14:cfRule>
          <xm:sqref>M4:M10</xm:sqref>
        </x14:conditionalFormatting>
        <x14:conditionalFormatting xmlns:xm="http://schemas.microsoft.com/office/excel/2006/main">
          <x14:cfRule type="dataBar" id="{2F33DAE6-E1E2-0B75-48CA-C2B8C94B0D11}">
            <x14:dataBar>
              <x14:cfvo type="min"/>
              <x14:cfvo type="max"/>
              <x14:negativeFillColor auto="1"/>
              <x14:axisColor auto="1"/>
            </x14:dataBar>
          </x14:cfRule>
          <xm:sqref>O4:O10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'08_Справочник'!$A$4:$A$7</xm:f>
          </x14:formula1>
          <xm:sqref>B4:B20</xm:sqref>
        </x14:dataValidation>
        <x14:dataValidation type="list" xr:uid="{00000000-0002-0000-0200-000001000000}">
          <x14:formula1>
            <xm:f>'08_Справочник'!$C$4:$C$7</xm:f>
          </x14:formula1>
          <xm:sqref>P4:P20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5"/>
  <cols>
    <col min="1" max="1" width="18" customWidth="1"/>
    <col min="2" max="10" width="14" customWidth="1"/>
    <col min="11" max="11" width="24" customWidth="1"/>
  </cols>
  <sheetData>
    <row r="1" spans="1:26" ht="17.649999999999999">
      <c r="A1" s="16" t="s">
        <v>111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1.6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38</v>
      </c>
      <c r="I3" s="2" t="s">
        <v>40</v>
      </c>
      <c r="J3" s="2" t="s">
        <v>42</v>
      </c>
      <c r="K3" s="2" t="s">
        <v>51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67.5">
      <c r="A4" s="10" t="s">
        <v>119</v>
      </c>
      <c r="B4" s="15">
        <v>0.75</v>
      </c>
      <c r="C4" s="15">
        <v>0.8</v>
      </c>
      <c r="D4" s="15">
        <v>0.75</v>
      </c>
      <c r="E4" s="15">
        <v>0.8</v>
      </c>
      <c r="F4" s="15">
        <v>0.8</v>
      </c>
      <c r="G4" s="15">
        <v>5.0000000000000001E-4</v>
      </c>
      <c r="H4" s="12">
        <f>SUMPRODUCT('02_Сегменты'!$D$4:$D$10,'02_Сегменты'!$K$4:$K$10,'02_Сегменты'!$L$4:$L$10)*E4*F4</f>
        <v>3306378176</v>
      </c>
      <c r="I4" s="12">
        <f>SUMPRODUCT('02_Сегменты'!$F$4:$F$10,'02_Сегменты'!$G$4:$G$10,'02_Сегменты'!$H$4:$H$10,'02_Сегменты'!$I$4:$I$10,'02_Сегменты'!$K$4:$K$10,'02_Сегменты'!$L$4:$L$10)*B4*C4*D4*E4*F4</f>
        <v>10080897.980544001</v>
      </c>
      <c r="J4" s="12">
        <f>I4*G4</f>
        <v>5040.4489902720006</v>
      </c>
      <c r="K4" s="10" t="s">
        <v>234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7">
      <c r="A5" s="10" t="s">
        <v>120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5">
        <v>1.2999999999999999E-3</v>
      </c>
      <c r="H5" s="12">
        <f>SUMPRODUCT('02_Сегменты'!$D$4:$D$10,'02_Сегменты'!$K$4:$K$10,'02_Сегменты'!$L$4:$L$10)*E5*F5</f>
        <v>5166215900</v>
      </c>
      <c r="I5" s="12">
        <f>SUMPRODUCT('02_Сегменты'!$F$4:$F$10,'02_Сегменты'!$G$4:$G$10,'02_Сегменты'!$H$4:$H$10,'02_Сегменты'!$I$4:$I$10,'02_Сегменты'!$K$4:$K$10,'02_Сегменты'!$L$4:$L$10)*B5*C5*D5*E5*F5</f>
        <v>35003117.987999998</v>
      </c>
      <c r="J5" s="12">
        <f>I5*G5</f>
        <v>45504.053384399995</v>
      </c>
      <c r="K5" s="10" t="s">
        <v>121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54">
      <c r="A6" s="10" t="s">
        <v>122</v>
      </c>
      <c r="B6" s="15">
        <v>1.2</v>
      </c>
      <c r="C6" s="15">
        <v>1.1499999999999999</v>
      </c>
      <c r="D6" s="15">
        <v>1.2</v>
      </c>
      <c r="E6" s="15">
        <v>1.1499999999999999</v>
      </c>
      <c r="F6" s="15">
        <v>1.1000000000000001</v>
      </c>
      <c r="G6" s="15">
        <v>3.0000000000000001E-3</v>
      </c>
      <c r="H6" s="12">
        <f>SUMPRODUCT('02_Сегменты'!$D$4:$D$10,'02_Сегменты'!$K$4:$K$10,'02_Сегменты'!$L$4:$L$10)*E6*F6</f>
        <v>6535263113.500001</v>
      </c>
      <c r="I6" s="12">
        <f>SUMPRODUCT('02_Сегменты'!$F$4:$F$10,'02_Сегменты'!$G$4:$G$10,'02_Сегменты'!$H$4:$H$10,'02_Сегменты'!$I$4:$I$10,'02_Сегменты'!$K$4:$K$10,'02_Сегменты'!$L$4:$L$10)*B6*C6*D6*E6*F6</f>
        <v>73325931.685981899</v>
      </c>
      <c r="J6" s="12">
        <f>I6*G6</f>
        <v>219977.79505794571</v>
      </c>
      <c r="K6" s="10" t="s">
        <v>235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K1"/>
  </mergeCells>
  <conditionalFormatting sqref="H4:J6">
    <cfRule type="dataBar" priority="1">
      <dataBar>
        <cfvo type="min"/>
        <cfvo type="max"/>
        <color rgb="FF70AD47"/>
      </dataBar>
    </cfRule>
  </conditionalFormatting>
  <conditionalFormatting sqref="H4:J6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{3FCAB94C-4AB0-1AAF-E77E-0B323D43A89C}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AB94C-4AB0-1AAF-E77E-0B323D43A89C}">
            <x14:dataBar>
              <x14:cfvo type="min"/>
              <x14:cfvo type="max"/>
              <x14:negativeFillColor auto="1"/>
              <x14:axisColor auto="1"/>
            </x14:dataBar>
          </x14:cfRule>
          <xm:sqref>H4:J6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3.5"/>
  <cols>
    <col min="1" max="1" width="34" customWidth="1"/>
    <col min="2" max="2" width="46" customWidth="1"/>
    <col min="3" max="3" width="9.9375" customWidth="1"/>
    <col min="4" max="4" width="52" customWidth="1"/>
  </cols>
  <sheetData>
    <row r="1" spans="1:26" ht="17.649999999999999">
      <c r="A1" s="16" t="s">
        <v>123</v>
      </c>
      <c r="B1" s="16"/>
      <c r="C1" s="16"/>
      <c r="D1" s="16"/>
      <c r="E1" s="16"/>
      <c r="F1" s="16"/>
      <c r="G1" s="16"/>
      <c r="H1" s="1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9">
      <c r="A3" s="2" t="s">
        <v>36</v>
      </c>
      <c r="B3" s="2" t="s">
        <v>124</v>
      </c>
      <c r="C3" s="2" t="s">
        <v>50</v>
      </c>
      <c r="D3" s="2" t="s">
        <v>125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7">
      <c r="A4" s="10" t="s">
        <v>126</v>
      </c>
      <c r="B4" s="10" t="s">
        <v>127</v>
      </c>
      <c r="C4" s="12">
        <f>SUMPRODUCT('02_Сегменты'!$D$4:$D$10,'02_Сегменты'!$K$4:$K$10,'02_Сегменты'!$L$4:$L$10)</f>
        <v>5166215900</v>
      </c>
      <c r="D4" s="10" t="s">
        <v>128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7">
      <c r="A5" s="10" t="s">
        <v>129</v>
      </c>
      <c r="B5" s="10" t="s">
        <v>130</v>
      </c>
      <c r="C5" s="12">
        <f>'02_Сегменты'!F12</f>
        <v>4095626.55</v>
      </c>
      <c r="D5" s="10" t="s">
        <v>131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7">
      <c r="A6" s="10" t="s">
        <v>132</v>
      </c>
      <c r="B6" s="10" t="s">
        <v>133</v>
      </c>
      <c r="C6" s="12">
        <f>'02_Сегменты'!J12</f>
        <v>236748.00119999997</v>
      </c>
      <c r="D6" s="10" t="s">
        <v>134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7">
      <c r="A7" s="10" t="s">
        <v>40</v>
      </c>
      <c r="B7" s="10" t="s">
        <v>135</v>
      </c>
      <c r="C7" s="12">
        <f>'02_Сегменты'!M12</f>
        <v>35003117.987999998</v>
      </c>
      <c r="D7" s="10" t="s">
        <v>136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 t="s">
        <v>42</v>
      </c>
      <c r="B8" s="10" t="s">
        <v>137</v>
      </c>
      <c r="C8" s="12">
        <f>'02_Сегменты'!O12</f>
        <v>43798.899293999995</v>
      </c>
      <c r="D8" s="10" t="s">
        <v>138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139</v>
      </c>
      <c r="B9" s="10" t="s">
        <v>140</v>
      </c>
      <c r="C9" s="15">
        <f>IFERROR(C8/C7,0)</f>
        <v>1.2512856514386925E-3</v>
      </c>
      <c r="D9" s="10" t="s">
        <v>141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/>
      <c r="B10" s="10"/>
      <c r="C10" s="10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9">
      <c r="A12" s="17" t="s">
        <v>142</v>
      </c>
      <c r="B12" s="17"/>
      <c r="C12" s="17"/>
      <c r="D12" s="17"/>
      <c r="E12" s="17"/>
      <c r="F12" s="17"/>
      <c r="G12" s="17"/>
      <c r="H12" s="1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9">
      <c r="A13" s="2" t="s">
        <v>143</v>
      </c>
      <c r="B13" s="2" t="s">
        <v>144</v>
      </c>
      <c r="C13" s="2" t="s">
        <v>50</v>
      </c>
      <c r="D13" s="2" t="s">
        <v>145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7">
      <c r="A14" s="10" t="s">
        <v>146</v>
      </c>
      <c r="B14" s="10" t="s">
        <v>147</v>
      </c>
      <c r="C14" s="15">
        <f>IFERROR(C6/C5,0)</f>
        <v>5.7805075318695741E-2</v>
      </c>
      <c r="D14" s="10" t="s">
        <v>148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7">
      <c r="A15" s="10" t="s">
        <v>149</v>
      </c>
      <c r="B15" s="10" t="s">
        <v>150</v>
      </c>
      <c r="C15" s="12">
        <f>IFERROR(C7/C6,0)</f>
        <v>147.84968747605208</v>
      </c>
      <c r="D15" s="10" t="s">
        <v>151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7">
      <c r="A16" s="10" t="s">
        <v>152</v>
      </c>
      <c r="B16" s="10" t="s">
        <v>153</v>
      </c>
      <c r="C16" s="15">
        <f>IFERROR(C8/'05_Similarweb'!N19,0)</f>
        <v>0.20811868612979134</v>
      </c>
      <c r="D16" s="10" t="s">
        <v>154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H1"/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7"/>
  <sheetViews>
    <sheetView workbookViewId="0"/>
  </sheetViews>
  <sheetFormatPr defaultRowHeight="13.5"/>
  <cols>
    <col min="1" max="1" width="24" customWidth="1"/>
    <col min="2" max="2" width="28" customWidth="1"/>
    <col min="3" max="3" width="24" customWidth="1"/>
    <col min="4" max="4" width="16" customWidth="1"/>
    <col min="5" max="5" width="14" customWidth="1"/>
    <col min="6" max="6" width="16" customWidth="1"/>
    <col min="7" max="8" width="14" customWidth="1"/>
    <col min="9" max="9" width="16" customWidth="1"/>
    <col min="10" max="11" width="14" customWidth="1"/>
    <col min="12" max="15" width="16" customWidth="1"/>
  </cols>
  <sheetData>
    <row r="1" spans="1:26" ht="17.649999999999999">
      <c r="A1" s="16" t="s">
        <v>155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1.65">
      <c r="A3" s="2" t="s">
        <v>156</v>
      </c>
      <c r="B3" s="2" t="s">
        <v>157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162</v>
      </c>
      <c r="H3" s="2" t="s">
        <v>163</v>
      </c>
      <c r="I3" s="2" t="s">
        <v>164</v>
      </c>
      <c r="J3" s="2" t="s">
        <v>165</v>
      </c>
      <c r="K3" s="2" t="s">
        <v>166</v>
      </c>
      <c r="L3" s="2" t="s">
        <v>84</v>
      </c>
      <c r="M3" s="2" t="s">
        <v>167</v>
      </c>
      <c r="N3" s="2" t="s">
        <v>168</v>
      </c>
      <c r="O3" s="2" t="s">
        <v>169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7">
      <c r="A4" s="10" t="s">
        <v>236</v>
      </c>
      <c r="B4" s="10" t="s">
        <v>237</v>
      </c>
      <c r="C4" s="10" t="s">
        <v>238</v>
      </c>
      <c r="D4" s="12">
        <v>154111</v>
      </c>
      <c r="E4" s="13">
        <v>0.26539999999999997</v>
      </c>
      <c r="F4" s="12">
        <f>D4*E4</f>
        <v>40901.059399999998</v>
      </c>
      <c r="G4" s="13">
        <v>0.35</v>
      </c>
      <c r="H4" s="13">
        <v>0.85</v>
      </c>
      <c r="I4" s="12">
        <f>F4*G4*H4</f>
        <v>12168.065171499999</v>
      </c>
      <c r="J4" s="15">
        <v>0.04</v>
      </c>
      <c r="K4" s="15">
        <v>0.05</v>
      </c>
      <c r="L4" s="12">
        <v>100.575</v>
      </c>
      <c r="M4" s="12">
        <f>I4*J4*K4</f>
        <v>24.336130342999997</v>
      </c>
      <c r="N4" s="12">
        <f>M4*L4</f>
        <v>2447.606309247225</v>
      </c>
      <c r="O4" s="12">
        <f>N4*12</f>
        <v>29371.2757109667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7">
      <c r="A5" s="10" t="s">
        <v>239</v>
      </c>
      <c r="B5" s="10" t="s">
        <v>240</v>
      </c>
      <c r="C5" s="10" t="s">
        <v>241</v>
      </c>
      <c r="D5" s="12">
        <v>35325</v>
      </c>
      <c r="E5" s="13">
        <v>0.4395</v>
      </c>
      <c r="F5" s="12">
        <f>D5*E5</f>
        <v>15525.3375</v>
      </c>
      <c r="G5" s="13">
        <v>0.8</v>
      </c>
      <c r="H5" s="13">
        <v>0.85</v>
      </c>
      <c r="I5" s="12">
        <f>F5*G5*H5</f>
        <v>10557.229499999999</v>
      </c>
      <c r="J5" s="15">
        <v>0.04</v>
      </c>
      <c r="K5" s="15">
        <v>0.05</v>
      </c>
      <c r="L5" s="12">
        <v>100.575</v>
      </c>
      <c r="M5" s="12">
        <f>I5*J5*K5</f>
        <v>21.114459</v>
      </c>
      <c r="N5" s="12">
        <f>M5*L5</f>
        <v>2123.5867139249999</v>
      </c>
      <c r="O5" s="12">
        <f>N5*12</f>
        <v>25483.040567099997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7">
      <c r="A6" s="10" t="s">
        <v>242</v>
      </c>
      <c r="B6" s="10" t="s">
        <v>243</v>
      </c>
      <c r="C6" s="10" t="s">
        <v>244</v>
      </c>
      <c r="D6" s="12">
        <v>241737</v>
      </c>
      <c r="E6" s="13">
        <v>0.1091</v>
      </c>
      <c r="F6" s="12">
        <f>D6*E6</f>
        <v>26373.506700000002</v>
      </c>
      <c r="G6" s="13">
        <v>0.15</v>
      </c>
      <c r="H6" s="13">
        <v>0.85</v>
      </c>
      <c r="I6" s="12">
        <f>F6*G6*H6</f>
        <v>3362.6221042500001</v>
      </c>
      <c r="J6" s="15">
        <v>0.04</v>
      </c>
      <c r="K6" s="15">
        <v>0.05</v>
      </c>
      <c r="L6" s="12">
        <v>100.575</v>
      </c>
      <c r="M6" s="12">
        <f>I6*J6*K6</f>
        <v>6.7252442085000004</v>
      </c>
      <c r="N6" s="12">
        <f>M6*L6</f>
        <v>676.39143626988755</v>
      </c>
      <c r="O6" s="12">
        <f>N6*12</f>
        <v>8116.697235238651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7">
      <c r="A7" s="10" t="s">
        <v>245</v>
      </c>
      <c r="B7" s="10" t="s">
        <v>246</v>
      </c>
      <c r="C7" s="10" t="s">
        <v>247</v>
      </c>
      <c r="D7" s="12">
        <v>202178</v>
      </c>
      <c r="E7" s="13">
        <v>0.16220000000000001</v>
      </c>
      <c r="F7" s="12">
        <f>D7*E7</f>
        <v>32793.2716</v>
      </c>
      <c r="G7" s="13">
        <v>0.3</v>
      </c>
      <c r="H7" s="13">
        <v>0.85</v>
      </c>
      <c r="I7" s="12">
        <f>F7*G7*H7</f>
        <v>8362.2842579999997</v>
      </c>
      <c r="J7" s="15">
        <v>0.04</v>
      </c>
      <c r="K7" s="15">
        <v>0.05</v>
      </c>
      <c r="L7" s="12">
        <v>100.575</v>
      </c>
      <c r="M7" s="12">
        <f>I7*J7*K7</f>
        <v>16.724568516000001</v>
      </c>
      <c r="N7" s="12">
        <f>M7*L7</f>
        <v>1682.0734784967001</v>
      </c>
      <c r="O7" s="12">
        <f>N7*12</f>
        <v>20184.881741960402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7">
      <c r="A8" s="10" t="s">
        <v>248</v>
      </c>
      <c r="B8" s="10" t="s">
        <v>249</v>
      </c>
      <c r="C8" s="10" t="s">
        <v>250</v>
      </c>
      <c r="D8" s="12">
        <v>14688</v>
      </c>
      <c r="E8" s="13">
        <v>0.95979999999999999</v>
      </c>
      <c r="F8" s="12">
        <f>D8*E8</f>
        <v>14097.5424</v>
      </c>
      <c r="G8" s="13">
        <v>0.5</v>
      </c>
      <c r="H8" s="13">
        <v>0.8</v>
      </c>
      <c r="I8" s="12">
        <f>F8*G8*H8</f>
        <v>5639.0169600000008</v>
      </c>
      <c r="J8" s="15">
        <v>0.04</v>
      </c>
      <c r="K8" s="15">
        <v>0.05</v>
      </c>
      <c r="L8" s="12">
        <v>100.575</v>
      </c>
      <c r="M8" s="12">
        <f>I8*J8*K8</f>
        <v>11.278033920000002</v>
      </c>
      <c r="N8" s="12">
        <f>M8*L8</f>
        <v>1134.2882615040003</v>
      </c>
      <c r="O8" s="12">
        <f>N8*12</f>
        <v>13611.459138048003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7">
      <c r="A9" s="10" t="s">
        <v>251</v>
      </c>
      <c r="B9" s="10" t="s">
        <v>252</v>
      </c>
      <c r="C9" s="10" t="s">
        <v>241</v>
      </c>
      <c r="D9" s="12">
        <v>17824</v>
      </c>
      <c r="E9" s="13">
        <v>0.58709999999999996</v>
      </c>
      <c r="F9" s="12">
        <f>D9*E9</f>
        <v>10464.470399999998</v>
      </c>
      <c r="G9" s="13">
        <v>0.8</v>
      </c>
      <c r="H9" s="13">
        <v>0.8</v>
      </c>
      <c r="I9" s="12">
        <f>F9*G9*H9</f>
        <v>6697.2610559999994</v>
      </c>
      <c r="J9" s="15">
        <v>0.04</v>
      </c>
      <c r="K9" s="15">
        <v>0.05</v>
      </c>
      <c r="L9" s="12">
        <v>100.575</v>
      </c>
      <c r="M9" s="12">
        <f>I9*J9*K9</f>
        <v>13.394522111999999</v>
      </c>
      <c r="N9" s="12">
        <f>M9*L9</f>
        <v>1347.1540614143998</v>
      </c>
      <c r="O9" s="12">
        <f>N9*12</f>
        <v>16165.848736972799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7">
      <c r="A10" s="10" t="s">
        <v>253</v>
      </c>
      <c r="B10" s="10" t="s">
        <v>254</v>
      </c>
      <c r="C10" s="10" t="s">
        <v>247</v>
      </c>
      <c r="D10" s="12">
        <v>292214</v>
      </c>
      <c r="E10" s="13">
        <v>9.6499999999999989E-2</v>
      </c>
      <c r="F10" s="12">
        <f>D10*E10</f>
        <v>28198.650999999998</v>
      </c>
      <c r="G10" s="13">
        <v>0.3</v>
      </c>
      <c r="H10" s="13">
        <v>0.8</v>
      </c>
      <c r="I10" s="12">
        <f>F10*G10*H10</f>
        <v>6767.6762399999998</v>
      </c>
      <c r="J10" s="15">
        <v>0.04</v>
      </c>
      <c r="K10" s="15">
        <v>0.05</v>
      </c>
      <c r="L10" s="12">
        <v>100.575</v>
      </c>
      <c r="M10" s="12">
        <f>I10*J10*K10</f>
        <v>13.53535248</v>
      </c>
      <c r="N10" s="12">
        <f>M10*L10</f>
        <v>1361.318075676</v>
      </c>
      <c r="O10" s="12">
        <f>N10*12</f>
        <v>16335.816908112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7">
      <c r="A11" s="10" t="s">
        <v>255</v>
      </c>
      <c r="B11" s="10" t="s">
        <v>256</v>
      </c>
      <c r="C11" s="10" t="s">
        <v>247</v>
      </c>
      <c r="D11" s="12">
        <v>116617</v>
      </c>
      <c r="E11" s="13">
        <v>0.18229999999999999</v>
      </c>
      <c r="F11" s="12">
        <f>D11*E11</f>
        <v>21259.2791</v>
      </c>
      <c r="G11" s="13">
        <v>0.25</v>
      </c>
      <c r="H11" s="13">
        <v>0.85</v>
      </c>
      <c r="I11" s="12">
        <f>F11*G11*H11</f>
        <v>4517.5968087499996</v>
      </c>
      <c r="J11" s="15">
        <v>0.04</v>
      </c>
      <c r="K11" s="15">
        <v>0.05</v>
      </c>
      <c r="L11" s="12">
        <v>100.575</v>
      </c>
      <c r="M11" s="12">
        <f>I11*J11*K11</f>
        <v>9.0351936174999992</v>
      </c>
      <c r="N11" s="12">
        <f>M11*L11</f>
        <v>908.71459808006239</v>
      </c>
      <c r="O11" s="12">
        <f>N11*12</f>
        <v>10904.575176960749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7">
      <c r="A12" s="10" t="s">
        <v>257</v>
      </c>
      <c r="B12" s="10" t="s">
        <v>258</v>
      </c>
      <c r="C12" s="10" t="s">
        <v>259</v>
      </c>
      <c r="D12" s="12">
        <v>222359</v>
      </c>
      <c r="E12" s="13">
        <v>0.76359999999999995</v>
      </c>
      <c r="F12" s="12">
        <f>D12*E12</f>
        <v>169793.33239999998</v>
      </c>
      <c r="G12" s="13">
        <v>0.15</v>
      </c>
      <c r="H12" s="13">
        <v>0.9</v>
      </c>
      <c r="I12" s="12">
        <f>F12*G12*H12</f>
        <v>22922.099873999996</v>
      </c>
      <c r="J12" s="15">
        <v>0.04</v>
      </c>
      <c r="K12" s="15">
        <v>0.05</v>
      </c>
      <c r="L12" s="12">
        <v>100.575</v>
      </c>
      <c r="M12" s="12">
        <f>I12*J12*K12</f>
        <v>45.844199747999994</v>
      </c>
      <c r="N12" s="12">
        <f>M12*L12</f>
        <v>4610.7803896550995</v>
      </c>
      <c r="O12" s="12">
        <f>N12*12</f>
        <v>55329.364675861194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7">
      <c r="A13" s="10" t="s">
        <v>260</v>
      </c>
      <c r="B13" s="10" t="s">
        <v>261</v>
      </c>
      <c r="C13" s="10" t="s">
        <v>262</v>
      </c>
      <c r="D13" s="12">
        <v>701540</v>
      </c>
      <c r="E13" s="13">
        <v>8.199999999999999E-2</v>
      </c>
      <c r="F13" s="12">
        <f>D13*E13</f>
        <v>57526.279999999992</v>
      </c>
      <c r="G13" s="13">
        <v>0.1</v>
      </c>
      <c r="H13" s="13">
        <v>0.85</v>
      </c>
      <c r="I13" s="12">
        <f>F13*G13*H13</f>
        <v>4889.7338</v>
      </c>
      <c r="J13" s="15">
        <v>0.04</v>
      </c>
      <c r="K13" s="15">
        <v>0.05</v>
      </c>
      <c r="L13" s="12">
        <v>100.575</v>
      </c>
      <c r="M13" s="12">
        <f>I13*J13*K13</f>
        <v>9.7794676000000003</v>
      </c>
      <c r="N13" s="12">
        <f>M13*L13</f>
        <v>983.56995387000006</v>
      </c>
      <c r="O13" s="12">
        <f>N13*12</f>
        <v>11802.839446440001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7">
      <c r="A14" s="10" t="s">
        <v>263</v>
      </c>
      <c r="B14" s="10" t="s">
        <v>264</v>
      </c>
      <c r="C14" s="10" t="s">
        <v>241</v>
      </c>
      <c r="D14" s="12">
        <v>1935</v>
      </c>
      <c r="E14" s="13">
        <v>0.89460000000000006</v>
      </c>
      <c r="F14" s="12">
        <f>D14*E14</f>
        <v>1731.0510000000002</v>
      </c>
      <c r="G14" s="13">
        <v>0.8</v>
      </c>
      <c r="H14" s="13">
        <v>0.6</v>
      </c>
      <c r="I14" s="12">
        <f>F14*G14*H14</f>
        <v>830.90448000000004</v>
      </c>
      <c r="J14" s="15">
        <v>0.04</v>
      </c>
      <c r="K14" s="15">
        <v>0.05</v>
      </c>
      <c r="L14" s="12">
        <v>100.575</v>
      </c>
      <c r="M14" s="12">
        <f>I14*J14*K14</f>
        <v>1.6618089600000001</v>
      </c>
      <c r="N14" s="12">
        <f>M14*L14</f>
        <v>167.13643615200002</v>
      </c>
      <c r="O14" s="12">
        <f>N14*12</f>
        <v>2005.6372338240003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7">
      <c r="A15" s="10" t="s">
        <v>265</v>
      </c>
      <c r="B15" s="10" t="s">
        <v>266</v>
      </c>
      <c r="C15" s="10" t="s">
        <v>267</v>
      </c>
      <c r="D15" s="12">
        <v>5522</v>
      </c>
      <c r="E15" s="13">
        <v>0.47520000000000001</v>
      </c>
      <c r="F15" s="12">
        <f>D15*E15</f>
        <v>2624.0544</v>
      </c>
      <c r="G15" s="13">
        <v>0.3</v>
      </c>
      <c r="H15" s="13">
        <v>0.6</v>
      </c>
      <c r="I15" s="12">
        <f>F15*G15*H15</f>
        <v>472.329792</v>
      </c>
      <c r="J15" s="15">
        <v>0.04</v>
      </c>
      <c r="K15" s="15">
        <v>0.05</v>
      </c>
      <c r="L15" s="12">
        <v>100.575</v>
      </c>
      <c r="M15" s="12">
        <f>I15*J15*K15</f>
        <v>0.94465958400000005</v>
      </c>
      <c r="N15" s="12">
        <f>M15*L15</f>
        <v>95.009137660800008</v>
      </c>
      <c r="O15" s="12">
        <f>N15*12</f>
        <v>1140.1096519296002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/>
      <c r="B16" s="10"/>
      <c r="C16" s="10"/>
      <c r="D16" s="12"/>
      <c r="E16" s="13"/>
      <c r="F16" s="12"/>
      <c r="G16" s="13"/>
      <c r="H16" s="13"/>
      <c r="I16" s="12"/>
      <c r="J16" s="15"/>
      <c r="K16" s="15"/>
      <c r="L16" s="12"/>
      <c r="M16" s="12"/>
      <c r="N16" s="12"/>
      <c r="O16" s="12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9">
      <c r="A17" s="1" t="s">
        <v>170</v>
      </c>
      <c r="B17" s="1"/>
      <c r="C17" s="1"/>
      <c r="D17" s="5">
        <f>SUM(D4:D15)</f>
        <v>2006050</v>
      </c>
      <c r="E17" s="6"/>
      <c r="F17" s="5">
        <f>SUM(F4:F15)</f>
        <v>421287.83589999989</v>
      </c>
      <c r="G17" s="6"/>
      <c r="H17" s="6"/>
      <c r="I17" s="5">
        <f>SUM(I4:I15)</f>
        <v>87186.820044499997</v>
      </c>
      <c r="J17" s="8"/>
      <c r="K17" s="8"/>
      <c r="L17" s="5"/>
      <c r="M17" s="5">
        <f>SUM(M4:M15)</f>
        <v>174.37364008899999</v>
      </c>
      <c r="N17" s="5">
        <f>SUM(N4:N15)</f>
        <v>17537.628851951173</v>
      </c>
      <c r="O17" s="5">
        <f>SUM(O4:O15)</f>
        <v>210451.5462234141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2"/>
      <c r="M18" s="12"/>
      <c r="N18" s="12"/>
      <c r="O18" s="1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41.65">
      <c r="A19" s="1" t="s">
        <v>171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5"/>
      <c r="M19" s="5"/>
      <c r="N19" s="5">
        <f>O17</f>
        <v>210451.5462234141</v>
      </c>
      <c r="O19" s="5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</sheetData>
  <mergeCells count="1">
    <mergeCell ref="A1:O1"/>
  </mergeCells>
  <conditionalFormatting sqref="I4:I5 I13:I15">
    <cfRule type="dataBar" priority="29">
      <dataBar>
        <cfvo type="min"/>
        <cfvo type="max"/>
        <color rgb="FFED7D31"/>
      </dataBar>
    </cfRule>
  </conditionalFormatting>
  <conditionalFormatting sqref="O4:O5 O13:O15">
    <cfRule type="dataBar" priority="30">
      <dataBar>
        <cfvo type="min"/>
        <cfvo type="max"/>
        <color rgb="FF4472C4"/>
      </dataBar>
    </cfRule>
  </conditionalFormatting>
  <conditionalFormatting sqref="I4:I5 I13:I15">
    <cfRule type="dataBar" priority="31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{9A506781-83A2-C01C-68C9-928E09933776}</x14:id>
        </ext>
      </extLst>
    </cfRule>
  </conditionalFormatting>
  <conditionalFormatting sqref="O4:O5 O13:O15">
    <cfRule type="dataBar" priority="3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{9C54AB6C-612E-CD11-A5AE-5ECC24A14C93}</x14:id>
        </ext>
      </extLst>
    </cfRule>
  </conditionalFormatting>
  <conditionalFormatting sqref="I6">
    <cfRule type="dataBar" priority="25">
      <dataBar>
        <cfvo type="min"/>
        <cfvo type="max"/>
        <color rgb="FFED7D31"/>
      </dataBar>
    </cfRule>
  </conditionalFormatting>
  <conditionalFormatting sqref="O6">
    <cfRule type="dataBar" priority="26">
      <dataBar>
        <cfvo type="min"/>
        <cfvo type="max"/>
        <color rgb="FF4472C4"/>
      </dataBar>
    </cfRule>
  </conditionalFormatting>
  <conditionalFormatting sqref="I6">
    <cfRule type="dataBar" priority="27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{19B092F5-97FB-4C0A-9C8C-40ABA9F679B2}</x14:id>
        </ext>
      </extLst>
    </cfRule>
  </conditionalFormatting>
  <conditionalFormatting sqref="O6">
    <cfRule type="dataBar" priority="28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{BFED631D-F43A-4AB9-9CDC-C75D392666A3}</x14:id>
        </ext>
      </extLst>
    </cfRule>
  </conditionalFormatting>
  <conditionalFormatting sqref="I7">
    <cfRule type="dataBar" priority="21">
      <dataBar>
        <cfvo type="min"/>
        <cfvo type="max"/>
        <color rgb="FFED7D31"/>
      </dataBar>
    </cfRule>
  </conditionalFormatting>
  <conditionalFormatting sqref="O7">
    <cfRule type="dataBar" priority="22">
      <dataBar>
        <cfvo type="min"/>
        <cfvo type="max"/>
        <color rgb="FF4472C4"/>
      </dataBar>
    </cfRule>
  </conditionalFormatting>
  <conditionalFormatting sqref="I7">
    <cfRule type="dataBar" priority="23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{8CEF1969-B919-4D8A-B897-7D6D5A37F215}</x14:id>
        </ext>
      </extLst>
    </cfRule>
  </conditionalFormatting>
  <conditionalFormatting sqref="O7">
    <cfRule type="dataBar" priority="2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{D7FF9E30-C39E-4C16-8821-6E9ADD4F048C}</x14:id>
        </ext>
      </extLst>
    </cfRule>
  </conditionalFormatting>
  <conditionalFormatting sqref="I8">
    <cfRule type="dataBar" priority="17">
      <dataBar>
        <cfvo type="min"/>
        <cfvo type="max"/>
        <color rgb="FFED7D31"/>
      </dataBar>
    </cfRule>
  </conditionalFormatting>
  <conditionalFormatting sqref="O8">
    <cfRule type="dataBar" priority="18">
      <dataBar>
        <cfvo type="min"/>
        <cfvo type="max"/>
        <color rgb="FF4472C4"/>
      </dataBar>
    </cfRule>
  </conditionalFormatting>
  <conditionalFormatting sqref="I8">
    <cfRule type="dataBar" priority="19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{22A79C03-5308-48FD-92DE-AC368385D5F0}</x14:id>
        </ext>
      </extLst>
    </cfRule>
  </conditionalFormatting>
  <conditionalFormatting sqref="O8">
    <cfRule type="dataBar" priority="20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{78704DF2-01A5-4F19-9A2D-29E3748B20B2}</x14:id>
        </ext>
      </extLst>
    </cfRule>
  </conditionalFormatting>
  <conditionalFormatting sqref="I9">
    <cfRule type="dataBar" priority="13">
      <dataBar>
        <cfvo type="min"/>
        <cfvo type="max"/>
        <color rgb="FFED7D31"/>
      </dataBar>
    </cfRule>
  </conditionalFormatting>
  <conditionalFormatting sqref="O9">
    <cfRule type="dataBar" priority="14">
      <dataBar>
        <cfvo type="min"/>
        <cfvo type="max"/>
        <color rgb="FF4472C4"/>
      </dataBar>
    </cfRule>
  </conditionalFormatting>
  <conditionalFormatting sqref="I9">
    <cfRule type="dataBar" priority="15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{25D83344-C72D-4CA8-B7C2-C73E123B3E99}</x14:id>
        </ext>
      </extLst>
    </cfRule>
  </conditionalFormatting>
  <conditionalFormatting sqref="O9">
    <cfRule type="dataBar" priority="16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{868DCA10-951C-4065-961D-385D8E9AA796}</x14:id>
        </ext>
      </extLst>
    </cfRule>
  </conditionalFormatting>
  <conditionalFormatting sqref="I10">
    <cfRule type="dataBar" priority="9">
      <dataBar>
        <cfvo type="min"/>
        <cfvo type="max"/>
        <color rgb="FFED7D31"/>
      </dataBar>
    </cfRule>
  </conditionalFormatting>
  <conditionalFormatting sqref="O10">
    <cfRule type="dataBar" priority="10">
      <dataBar>
        <cfvo type="min"/>
        <cfvo type="max"/>
        <color rgb="FF4472C4"/>
      </dataBar>
    </cfRule>
  </conditionalFormatting>
  <conditionalFormatting sqref="I10">
    <cfRule type="dataBar" priority="11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{2CFC8904-BE06-4688-966A-50364C9C2093}</x14:id>
        </ext>
      </extLst>
    </cfRule>
  </conditionalFormatting>
  <conditionalFormatting sqref="O10">
    <cfRule type="dataBar" priority="1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{49EC93E7-804B-4E62-B374-28079E653682}</x14:id>
        </ext>
      </extLst>
    </cfRule>
  </conditionalFormatting>
  <conditionalFormatting sqref="I11">
    <cfRule type="dataBar" priority="5">
      <dataBar>
        <cfvo type="min"/>
        <cfvo type="max"/>
        <color rgb="FFED7D31"/>
      </dataBar>
    </cfRule>
  </conditionalFormatting>
  <conditionalFormatting sqref="O11">
    <cfRule type="dataBar" priority="6">
      <dataBar>
        <cfvo type="min"/>
        <cfvo type="max"/>
        <color rgb="FF4472C4"/>
      </dataBar>
    </cfRule>
  </conditionalFormatting>
  <conditionalFormatting sqref="I11">
    <cfRule type="dataBar" priority="7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{2ACA975A-79A2-477D-9FD8-A120D68F07C7}</x14:id>
        </ext>
      </extLst>
    </cfRule>
  </conditionalFormatting>
  <conditionalFormatting sqref="O11">
    <cfRule type="dataBar" priority="8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{37699D38-4C97-4A44-8067-5EE2EC15DEC1}</x14:id>
        </ext>
      </extLst>
    </cfRule>
  </conditionalFormatting>
  <conditionalFormatting sqref="I12">
    <cfRule type="dataBar" priority="1">
      <dataBar>
        <cfvo type="min"/>
        <cfvo type="max"/>
        <color rgb="FFED7D31"/>
      </dataBar>
    </cfRule>
  </conditionalFormatting>
  <conditionalFormatting sqref="O12">
    <cfRule type="dataBar" priority="2">
      <dataBar>
        <cfvo type="min"/>
        <cfvo type="max"/>
        <color rgb="FF4472C4"/>
      </dataBar>
    </cfRule>
  </conditionalFormatting>
  <conditionalFormatting sqref="I12">
    <cfRule type="dataBar" priority="3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{E1717276-8550-4700-8014-924D0A8786E3}</x14:id>
        </ext>
      </extLst>
    </cfRule>
  </conditionalFormatting>
  <conditionalFormatting sqref="O12"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{E14950CF-8344-4F4B-983B-C53705049FF6}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06781-83A2-C01C-68C9-928E09933776}">
            <x14:dataBar>
              <x14:cfvo type="min"/>
              <x14:cfvo type="max"/>
              <x14:negativeFillColor auto="1"/>
              <x14:axisColor auto="1"/>
            </x14:dataBar>
          </x14:cfRule>
          <xm:sqref>I4:I5 I13:I15</xm:sqref>
        </x14:conditionalFormatting>
        <x14:conditionalFormatting xmlns:xm="http://schemas.microsoft.com/office/excel/2006/main">
          <x14:cfRule type="dataBar" id="{9C54AB6C-612E-CD11-A5AE-5ECC24A14C93}">
            <x14:dataBar>
              <x14:cfvo type="min"/>
              <x14:cfvo type="max"/>
              <x14:negativeFillColor auto="1"/>
              <x14:axisColor auto="1"/>
            </x14:dataBar>
          </x14:cfRule>
          <xm:sqref>O4:O5 O13:O15</xm:sqref>
        </x14:conditionalFormatting>
        <x14:conditionalFormatting xmlns:xm="http://schemas.microsoft.com/office/excel/2006/main">
          <x14:cfRule type="dataBar" id="{19B092F5-97FB-4C0A-9C8C-40ABA9F679B2}">
            <x14:dataBar>
              <x14:cfvo type="min"/>
              <x14:cfvo type="max"/>
              <x14:negativeFillColor auto="1"/>
              <x14:axisColor auto="1"/>
            </x14:dataBar>
          </x14:cfRule>
          <xm:sqref>I6</xm:sqref>
        </x14:conditionalFormatting>
        <x14:conditionalFormatting xmlns:xm="http://schemas.microsoft.com/office/excel/2006/main">
          <x14:cfRule type="dataBar" id="{BFED631D-F43A-4AB9-9CDC-C75D392666A3}">
            <x14:dataBar>
              <x14:cfvo type="min"/>
              <x14:cfvo type="max"/>
              <x14:negativeFillColor auto="1"/>
              <x14:axisColor auto="1"/>
            </x14:dataBar>
          </x14:cfRule>
          <xm:sqref>O6</xm:sqref>
        </x14:conditionalFormatting>
        <x14:conditionalFormatting xmlns:xm="http://schemas.microsoft.com/office/excel/2006/main">
          <x14:cfRule type="dataBar" id="{8CEF1969-B919-4D8A-B897-7D6D5A37F215}">
            <x14:dataBar>
              <x14:cfvo type="min"/>
              <x14:cfvo type="max"/>
              <x14:negativeFillColor auto="1"/>
              <x14:axisColor auto="1"/>
            </x14:dataBar>
          </x14:cfRule>
          <xm:sqref>I7</xm:sqref>
        </x14:conditionalFormatting>
        <x14:conditionalFormatting xmlns:xm="http://schemas.microsoft.com/office/excel/2006/main">
          <x14:cfRule type="dataBar" id="{D7FF9E30-C39E-4C16-8821-6E9ADD4F048C}">
            <x14:dataBar>
              <x14:cfvo type="min"/>
              <x14:cfvo type="max"/>
              <x14:negativeFillColor auto="1"/>
              <x14:axisColor auto="1"/>
            </x14:dataBar>
          </x14:cfRule>
          <xm:sqref>O7</xm:sqref>
        </x14:conditionalFormatting>
        <x14:conditionalFormatting xmlns:xm="http://schemas.microsoft.com/office/excel/2006/main">
          <x14:cfRule type="dataBar" id="{22A79C03-5308-48FD-92DE-AC368385D5F0}">
            <x14:dataBar>
              <x14:cfvo type="min"/>
              <x14:cfvo type="max"/>
              <x14:negativeFillColor auto="1"/>
              <x14:axisColor auto="1"/>
            </x14:dataBar>
          </x14:cfRule>
          <xm:sqref>I8</xm:sqref>
        </x14:conditionalFormatting>
        <x14:conditionalFormatting xmlns:xm="http://schemas.microsoft.com/office/excel/2006/main">
          <x14:cfRule type="dataBar" id="{78704DF2-01A5-4F19-9A2D-29E3748B20B2}">
            <x14:dataBar>
              <x14:cfvo type="min"/>
              <x14:cfvo type="max"/>
              <x14:negativeFillColor auto="1"/>
              <x14:axisColor auto="1"/>
            </x14:dataBar>
          </x14:cfRule>
          <xm:sqref>O8</xm:sqref>
        </x14:conditionalFormatting>
        <x14:conditionalFormatting xmlns:xm="http://schemas.microsoft.com/office/excel/2006/main">
          <x14:cfRule type="dataBar" id="{25D83344-C72D-4CA8-B7C2-C73E123B3E99}">
            <x14:dataBar>
              <x14:cfvo type="min"/>
              <x14:cfvo type="max"/>
              <x14:negativeFillColor auto="1"/>
              <x14:axisColor auto="1"/>
            </x14:dataBar>
          </x14:cfRule>
          <xm:sqref>I9</xm:sqref>
        </x14:conditionalFormatting>
        <x14:conditionalFormatting xmlns:xm="http://schemas.microsoft.com/office/excel/2006/main">
          <x14:cfRule type="dataBar" id="{868DCA10-951C-4065-961D-385D8E9AA796}">
            <x14:dataBar>
              <x14:cfvo type="min"/>
              <x14:cfvo type="max"/>
              <x14:negativeFillColor auto="1"/>
              <x14:axisColor auto="1"/>
            </x14:dataBar>
          </x14:cfRule>
          <xm:sqref>O9</xm:sqref>
        </x14:conditionalFormatting>
        <x14:conditionalFormatting xmlns:xm="http://schemas.microsoft.com/office/excel/2006/main">
          <x14:cfRule type="dataBar" id="{2CFC8904-BE06-4688-966A-50364C9C2093}">
            <x14:dataBar>
              <x14:cfvo type="min"/>
              <x14:cfvo type="max"/>
              <x14:negativeFillColor auto="1"/>
              <x14:axisColor auto="1"/>
            </x14:dataBar>
          </x14:cfRule>
          <xm:sqref>I10</xm:sqref>
        </x14:conditionalFormatting>
        <x14:conditionalFormatting xmlns:xm="http://schemas.microsoft.com/office/excel/2006/main">
          <x14:cfRule type="dataBar" id="{49EC93E7-804B-4E62-B374-28079E653682}">
            <x14:dataBar>
              <x14:cfvo type="min"/>
              <x14:cfvo type="max"/>
              <x14:negativeFillColor auto="1"/>
              <x14:axisColor auto="1"/>
            </x14:dataBar>
          </x14:cfRule>
          <xm:sqref>O10</xm:sqref>
        </x14:conditionalFormatting>
        <x14:conditionalFormatting xmlns:xm="http://schemas.microsoft.com/office/excel/2006/main">
          <x14:cfRule type="dataBar" id="{2ACA975A-79A2-477D-9FD8-A120D68F07C7}">
            <x14:dataBar>
              <x14:cfvo type="min"/>
              <x14:cfvo type="max"/>
              <x14:negativeFillColor auto="1"/>
              <x14:axisColor auto="1"/>
            </x14:dataBar>
          </x14:cfRule>
          <xm:sqref>I11</xm:sqref>
        </x14:conditionalFormatting>
        <x14:conditionalFormatting xmlns:xm="http://schemas.microsoft.com/office/excel/2006/main">
          <x14:cfRule type="dataBar" id="{37699D38-4C97-4A44-8067-5EE2EC15DEC1}">
            <x14:dataBar>
              <x14:cfvo type="min"/>
              <x14:cfvo type="max"/>
              <x14:negativeFillColor auto="1"/>
              <x14:axisColor auto="1"/>
            </x14:dataBar>
          </x14:cfRule>
          <xm:sqref>O11</xm:sqref>
        </x14:conditionalFormatting>
        <x14:conditionalFormatting xmlns:xm="http://schemas.microsoft.com/office/excel/2006/main">
          <x14:cfRule type="dataBar" id="{E1717276-8550-4700-8014-924D0A8786E3}">
            <x14:dataBar>
              <x14:cfvo type="min"/>
              <x14:cfvo type="max"/>
              <x14:negativeFillColor auto="1"/>
              <x14:axisColor auto="1"/>
            </x14:dataBar>
          </x14:cfRule>
          <xm:sqref>I12</xm:sqref>
        </x14:conditionalFormatting>
        <x14:conditionalFormatting xmlns:xm="http://schemas.microsoft.com/office/excel/2006/main">
          <x14:cfRule type="dataBar" id="{E14950CF-8344-4F4B-983B-C53705049FF6}">
            <x14:dataBar>
              <x14:cfvo type="min"/>
              <x14:cfvo type="max"/>
              <x14:negativeFillColor auto="1"/>
              <x14:axisColor auto="1"/>
            </x14:dataBar>
          </x14:cfRule>
          <xm:sqref>O12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3.5"/>
  <cols>
    <col min="1" max="1" width="26" customWidth="1"/>
    <col min="2" max="2" width="16" customWidth="1"/>
    <col min="3" max="3" width="54" customWidth="1"/>
    <col min="4" max="4" width="7.9375" customWidth="1"/>
    <col min="5" max="5" width="42" customWidth="1"/>
    <col min="7" max="7" width="32" customWidth="1"/>
    <col min="8" max="8" width="7.9375" customWidth="1"/>
    <col min="9" max="9" width="6.4375" customWidth="1"/>
  </cols>
  <sheetData>
    <row r="1" spans="1:26" ht="17.649999999999999">
      <c r="A1" s="16" t="s">
        <v>172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9">
      <c r="A3" s="2" t="s">
        <v>36</v>
      </c>
      <c r="B3" s="2" t="s">
        <v>50</v>
      </c>
      <c r="C3" s="2" t="s">
        <v>125</v>
      </c>
      <c r="D3" s="9"/>
      <c r="E3" s="9"/>
      <c r="F3" s="9"/>
      <c r="G3" s="17" t="s">
        <v>173</v>
      </c>
      <c r="H3" s="17"/>
      <c r="I3" s="17"/>
      <c r="J3" s="17"/>
      <c r="K3" s="1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9">
      <c r="A4" s="10" t="s">
        <v>38</v>
      </c>
      <c r="B4" s="12">
        <f>'04_Расчет'!C4</f>
        <v>5166215900</v>
      </c>
      <c r="C4" s="10" t="s">
        <v>174</v>
      </c>
      <c r="D4" s="9"/>
      <c r="E4" s="9"/>
      <c r="F4" s="9"/>
      <c r="G4" s="2" t="s">
        <v>175</v>
      </c>
      <c r="H4" s="2" t="s">
        <v>40</v>
      </c>
      <c r="I4" s="2" t="s">
        <v>42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10" t="s">
        <v>40</v>
      </c>
      <c r="B5" s="12">
        <f>'04_Расчет'!C7</f>
        <v>35003117.987999998</v>
      </c>
      <c r="C5" s="10" t="s">
        <v>176</v>
      </c>
      <c r="D5" s="9"/>
      <c r="E5" s="9"/>
      <c r="F5" s="9"/>
      <c r="G5" s="10" t="str">
        <f>'02_Сегменты'!A4</f>
        <v>Финансовые аналитики и FP&amp;A</v>
      </c>
      <c r="H5" s="12">
        <f>'02_Сегменты'!M4</f>
        <v>6448434.2999999989</v>
      </c>
      <c r="I5" s="12">
        <f>'02_Сегменты'!O4</f>
        <v>9672.6514499999994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0" t="s">
        <v>42</v>
      </c>
      <c r="B6" s="12">
        <f>'04_Расчет'!C8</f>
        <v>43798.899293999995</v>
      </c>
      <c r="C6" s="10" t="s">
        <v>177</v>
      </c>
      <c r="D6" s="9"/>
      <c r="E6" s="9"/>
      <c r="F6" s="9"/>
      <c r="G6" s="10" t="str">
        <f>'02_Сегменты'!A5</f>
        <v>Бухгалтеры и аудиторы</v>
      </c>
      <c r="H6" s="12">
        <f>'02_Сегменты'!M5</f>
        <v>3869157.6</v>
      </c>
      <c r="I6" s="12">
        <f>'02_Сегменты'!O5</f>
        <v>3869.1576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7">
      <c r="A7" s="10" t="s">
        <v>178</v>
      </c>
      <c r="B7" s="12">
        <f>'04_Расчет'!C6</f>
        <v>236748.00119999997</v>
      </c>
      <c r="C7" s="10" t="s">
        <v>179</v>
      </c>
      <c r="D7" s="9"/>
      <c r="E7" s="9"/>
      <c r="F7" s="9"/>
      <c r="G7" s="10" t="str">
        <f>'02_Сегменты'!A6</f>
        <v>Консультанты по управлению</v>
      </c>
      <c r="H7" s="12">
        <f>'02_Сегменты'!M6</f>
        <v>17914327.199999999</v>
      </c>
      <c r="I7" s="12">
        <f>'02_Сегменты'!O6</f>
        <v>26871.4908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7">
      <c r="A8" s="10" t="s">
        <v>180</v>
      </c>
      <c r="B8" s="12">
        <f>'05_Similarweb'!N19</f>
        <v>210451.5462234141</v>
      </c>
      <c r="C8" s="10" t="s">
        <v>181</v>
      </c>
      <c r="D8" s="9"/>
      <c r="E8" s="9"/>
      <c r="F8" s="9"/>
      <c r="G8" s="10" t="str">
        <f>'02_Сегменты'!A7</f>
        <v>МСП с финансовой функцией</v>
      </c>
      <c r="H8" s="12">
        <f>'02_Сегменты'!M7</f>
        <v>6771198.8879999984</v>
      </c>
      <c r="I8" s="12">
        <f>'02_Сегменты'!O7</f>
        <v>3385.5994439999995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7">
      <c r="A9" s="10" t="s">
        <v>139</v>
      </c>
      <c r="B9" s="15">
        <f>'04_Расчет'!C9</f>
        <v>1.2512856514386925E-3</v>
      </c>
      <c r="C9" s="10" t="s">
        <v>182</v>
      </c>
      <c r="D9" s="9"/>
      <c r="E9" s="9"/>
      <c r="F9" s="9"/>
      <c r="G9" s="10" t="str">
        <f>'02_Сегменты'!A8</f>
        <v>Резерв</v>
      </c>
      <c r="H9" s="12">
        <f>'02_Сегменты'!M8</f>
        <v>0</v>
      </c>
      <c r="I9" s="12">
        <f>'02_Сегменты'!O8</f>
        <v>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10" t="str">
        <f>'02_Сегменты'!A9</f>
        <v>Резерв</v>
      </c>
      <c r="H10" s="12">
        <f>'02_Сегменты'!M9</f>
        <v>0</v>
      </c>
      <c r="I10" s="12">
        <f>'02_Сегменты'!O9</f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9">
      <c r="A12" s="17" t="s">
        <v>183</v>
      </c>
      <c r="B12" s="17"/>
      <c r="C12" s="17"/>
      <c r="D12" s="17"/>
      <c r="E12" s="1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9">
      <c r="A13" s="2" t="s">
        <v>112</v>
      </c>
      <c r="B13" s="2" t="s">
        <v>38</v>
      </c>
      <c r="C13" s="2" t="s">
        <v>40</v>
      </c>
      <c r="D13" s="2" t="s">
        <v>42</v>
      </c>
      <c r="E13" s="2" t="s">
        <v>184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7">
      <c r="A14" s="10" t="s">
        <v>119</v>
      </c>
      <c r="B14" s="12">
        <f>'03_Сценарии'!H4</f>
        <v>3306378176</v>
      </c>
      <c r="C14" s="12">
        <f>'03_Сценарии'!I4</f>
        <v>10080897.980544001</v>
      </c>
      <c r="D14" s="12">
        <f>'03_Сценарии'!J4</f>
        <v>5040.4489902720006</v>
      </c>
      <c r="E14" s="10" t="s">
        <v>185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0" t="s">
        <v>120</v>
      </c>
      <c r="B15" s="12">
        <f>'03_Сценарии'!H5</f>
        <v>5166215900</v>
      </c>
      <c r="C15" s="12">
        <f>'03_Сценарии'!I5</f>
        <v>35003117.987999998</v>
      </c>
      <c r="D15" s="12">
        <f>'03_Сценарии'!J5</f>
        <v>45504.053384399995</v>
      </c>
      <c r="E15" s="10" t="s">
        <v>186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 t="s">
        <v>122</v>
      </c>
      <c r="B16" s="12">
        <f>'03_Сценарии'!H6</f>
        <v>6535263113.500001</v>
      </c>
      <c r="C16" s="12">
        <f>'03_Сценарии'!I6</f>
        <v>73325931.685981899</v>
      </c>
      <c r="D16" s="12">
        <f>'03_Сценарии'!J6</f>
        <v>219977.79505794571</v>
      </c>
      <c r="E16" s="10" t="s">
        <v>187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9">
      <c r="A19" s="17" t="s">
        <v>188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8" t="s">
        <v>212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5">
    <mergeCell ref="A1:K1"/>
    <mergeCell ref="A12:E12"/>
    <mergeCell ref="G3:K3"/>
    <mergeCell ref="A19:K19"/>
    <mergeCell ref="A20:K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3.5"/>
  <cols>
    <col min="1" max="1" width="22" customWidth="1"/>
    <col min="2" max="2" width="24" customWidth="1"/>
    <col min="3" max="3" width="36" customWidth="1"/>
    <col min="4" max="4" width="32" customWidth="1"/>
    <col min="5" max="5" width="14" customWidth="1"/>
    <col min="6" max="6" width="18" customWidth="1"/>
    <col min="7" max="7" width="14" customWidth="1"/>
    <col min="8" max="8" width="42" customWidth="1"/>
  </cols>
  <sheetData>
    <row r="1" spans="1:26" ht="17.649999999999999">
      <c r="A1" s="16" t="s">
        <v>189</v>
      </c>
      <c r="B1" s="16"/>
      <c r="C1" s="16"/>
      <c r="D1" s="16"/>
      <c r="E1" s="16"/>
      <c r="F1" s="16"/>
      <c r="G1" s="16"/>
      <c r="H1" s="1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75">
      <c r="A3" s="2" t="s">
        <v>190</v>
      </c>
      <c r="B3" s="2" t="s">
        <v>36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51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54">
      <c r="A4" s="10" t="s">
        <v>80</v>
      </c>
      <c r="B4" s="10" t="s">
        <v>268</v>
      </c>
      <c r="C4" s="10" t="s">
        <v>269</v>
      </c>
      <c r="D4" s="10" t="s">
        <v>270</v>
      </c>
      <c r="E4" s="10">
        <v>46298</v>
      </c>
      <c r="F4" s="10" t="s">
        <v>271</v>
      </c>
      <c r="G4" s="10" t="s">
        <v>107</v>
      </c>
      <c r="H4" s="10" t="s">
        <v>272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0.5">
      <c r="A5" s="10" t="s">
        <v>197</v>
      </c>
      <c r="B5" s="10" t="s">
        <v>273</v>
      </c>
      <c r="C5" s="10" t="s">
        <v>274</v>
      </c>
      <c r="D5" s="10" t="s">
        <v>275</v>
      </c>
      <c r="E5" s="10">
        <v>46298</v>
      </c>
      <c r="F5" s="10" t="s">
        <v>198</v>
      </c>
      <c r="G5" s="10" t="s">
        <v>108</v>
      </c>
      <c r="H5" s="10" t="s">
        <v>272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7">
      <c r="A6" s="10" t="s">
        <v>199</v>
      </c>
      <c r="B6" s="10" t="s">
        <v>276</v>
      </c>
      <c r="C6" s="10" t="s">
        <v>277</v>
      </c>
      <c r="D6" s="10" t="s">
        <v>278</v>
      </c>
      <c r="E6" s="10">
        <v>46298</v>
      </c>
      <c r="F6" s="10" t="s">
        <v>196</v>
      </c>
      <c r="G6" s="10" t="s">
        <v>107</v>
      </c>
      <c r="H6" s="10" t="s">
        <v>272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0.5">
      <c r="A7" s="10" t="s">
        <v>200</v>
      </c>
      <c r="B7" s="10" t="s">
        <v>201</v>
      </c>
      <c r="C7" s="10" t="s">
        <v>279</v>
      </c>
      <c r="D7" s="10" t="s">
        <v>280</v>
      </c>
      <c r="E7" s="10">
        <v>46298</v>
      </c>
      <c r="F7" s="10" t="s">
        <v>196</v>
      </c>
      <c r="G7" s="10" t="s">
        <v>107</v>
      </c>
      <c r="H7" s="10" t="s">
        <v>272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7">
      <c r="A8" s="10" t="s">
        <v>84</v>
      </c>
      <c r="B8" s="10" t="s">
        <v>281</v>
      </c>
      <c r="C8" s="10" t="s">
        <v>282</v>
      </c>
      <c r="D8" s="10" t="s">
        <v>283</v>
      </c>
      <c r="E8" s="10">
        <v>46298</v>
      </c>
      <c r="F8" s="10" t="s">
        <v>284</v>
      </c>
      <c r="G8" s="10" t="s">
        <v>107</v>
      </c>
      <c r="H8" s="10" t="s">
        <v>272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7">
      <c r="A9" s="10" t="s">
        <v>202</v>
      </c>
      <c r="B9" s="10" t="s">
        <v>203</v>
      </c>
      <c r="C9" s="10" t="s">
        <v>285</v>
      </c>
      <c r="D9" s="10" t="s">
        <v>204</v>
      </c>
      <c r="E9" s="10">
        <v>46298</v>
      </c>
      <c r="F9" s="10" t="s">
        <v>196</v>
      </c>
      <c r="G9" s="10" t="s">
        <v>107</v>
      </c>
      <c r="H9" s="10" t="s">
        <v>272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/>
      <c r="B10" s="10"/>
      <c r="C10" s="10"/>
      <c r="D10" s="10"/>
      <c r="E10" s="10"/>
      <c r="F10" s="10"/>
      <c r="G10" s="10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0"/>
      <c r="E11" s="10"/>
      <c r="F11" s="10"/>
      <c r="G11" s="10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0"/>
      <c r="B12" s="10"/>
      <c r="C12" s="10"/>
      <c r="D12" s="10"/>
      <c r="E12" s="10"/>
      <c r="F12" s="10"/>
      <c r="G12" s="10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0"/>
      <c r="B13" s="10"/>
      <c r="C13" s="10"/>
      <c r="D13" s="10"/>
      <c r="E13" s="10"/>
      <c r="F13" s="10"/>
      <c r="G13" s="10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0"/>
      <c r="B14" s="10"/>
      <c r="C14" s="10"/>
      <c r="D14" s="10"/>
      <c r="E14" s="10"/>
      <c r="F14" s="10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0"/>
      <c r="B15" s="10"/>
      <c r="C15" s="10"/>
      <c r="D15" s="10"/>
      <c r="E15" s="10"/>
      <c r="F15" s="10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/>
      <c r="B16" s="10"/>
      <c r="C16" s="10"/>
      <c r="D16" s="10"/>
      <c r="E16" s="10"/>
      <c r="F16" s="10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10"/>
      <c r="B17" s="10"/>
      <c r="C17" s="10"/>
      <c r="D17" s="10"/>
      <c r="E17" s="10"/>
      <c r="F17" s="10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0"/>
      <c r="B18" s="10"/>
      <c r="C18" s="10"/>
      <c r="D18" s="10"/>
      <c r="E18" s="10"/>
      <c r="F18" s="10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0"/>
      <c r="B19" s="10"/>
      <c r="C19" s="10"/>
      <c r="D19" s="10"/>
      <c r="E19" s="10"/>
      <c r="F19" s="10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0"/>
      <c r="B20" s="10"/>
      <c r="C20" s="10"/>
      <c r="D20" s="10"/>
      <c r="E20" s="10"/>
      <c r="F20" s="10"/>
      <c r="G20" s="10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0"/>
      <c r="B21" s="10"/>
      <c r="C21" s="10"/>
      <c r="D21" s="10"/>
      <c r="E21" s="10"/>
      <c r="F21" s="10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0"/>
      <c r="B22" s="10"/>
      <c r="C22" s="10"/>
      <c r="D22" s="10"/>
      <c r="E22" s="10"/>
      <c r="F22" s="10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0"/>
      <c r="B23" s="10"/>
      <c r="C23" s="10"/>
      <c r="D23" s="10"/>
      <c r="E23" s="10"/>
      <c r="F23" s="10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0"/>
      <c r="B24" s="10"/>
      <c r="C24" s="10"/>
      <c r="D24" s="10"/>
      <c r="E24" s="10"/>
      <c r="F24" s="10"/>
      <c r="G24" s="10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0"/>
      <c r="B25" s="10"/>
      <c r="C25" s="10"/>
      <c r="D25" s="10"/>
      <c r="E25" s="10"/>
      <c r="F25" s="10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10"/>
      <c r="B26" s="10"/>
      <c r="C26" s="10"/>
      <c r="D26" s="10"/>
      <c r="E26" s="10"/>
      <c r="F26" s="10"/>
      <c r="G26" s="10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0"/>
      <c r="B27" s="10"/>
      <c r="C27" s="10"/>
      <c r="D27" s="10"/>
      <c r="E27" s="10"/>
      <c r="F27" s="10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0"/>
      <c r="B28" s="10"/>
      <c r="C28" s="10"/>
      <c r="D28" s="10"/>
      <c r="E28" s="10"/>
      <c r="F28" s="10"/>
      <c r="G28" s="10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10"/>
      <c r="B29" s="10"/>
      <c r="C29" s="10"/>
      <c r="D29" s="10"/>
      <c r="E29" s="10"/>
      <c r="F29" s="10"/>
      <c r="G29" s="10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10"/>
      <c r="B30" s="10"/>
      <c r="C30" s="10"/>
      <c r="D30" s="10"/>
      <c r="E30" s="10"/>
      <c r="F30" s="10"/>
      <c r="G30" s="10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10"/>
      <c r="B31" s="10"/>
      <c r="C31" s="10"/>
      <c r="D31" s="10"/>
      <c r="E31" s="10"/>
      <c r="F31" s="10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0"/>
      <c r="B32" s="10"/>
      <c r="C32" s="10"/>
      <c r="D32" s="10"/>
      <c r="E32" s="10"/>
      <c r="F32" s="10"/>
      <c r="G32" s="10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0"/>
      <c r="B33" s="10"/>
      <c r="C33" s="10"/>
      <c r="D33" s="10"/>
      <c r="E33" s="10"/>
      <c r="F33" s="10"/>
      <c r="G33" s="10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0"/>
      <c r="B34" s="10"/>
      <c r="C34" s="10"/>
      <c r="D34" s="10"/>
      <c r="E34" s="10"/>
      <c r="F34" s="10"/>
      <c r="G34" s="10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0"/>
      <c r="B35" s="10"/>
      <c r="C35" s="10"/>
      <c r="D35" s="10"/>
      <c r="E35" s="10"/>
      <c r="F35" s="10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0"/>
      <c r="B36" s="10"/>
      <c r="C36" s="10"/>
      <c r="D36" s="10"/>
      <c r="E36" s="10"/>
      <c r="F36" s="10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0"/>
      <c r="B37" s="10"/>
      <c r="C37" s="10"/>
      <c r="D37" s="10"/>
      <c r="E37" s="10"/>
      <c r="F37" s="10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0"/>
      <c r="B38" s="10"/>
      <c r="C38" s="10"/>
      <c r="D38" s="10"/>
      <c r="E38" s="10"/>
      <c r="F38" s="10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0"/>
      <c r="B39" s="10"/>
      <c r="C39" s="10"/>
      <c r="D39" s="10"/>
      <c r="E39" s="10"/>
      <c r="F39" s="10"/>
      <c r="G39" s="10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10"/>
      <c r="B40" s="10"/>
      <c r="C40" s="10"/>
      <c r="D40" s="10"/>
      <c r="E40" s="10"/>
      <c r="F40" s="10"/>
      <c r="G40" s="10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'08_Справочник'!$B$4:$B$7</xm:f>
          </x14:formula1>
          <xm:sqref>F4:F40</xm:sqref>
        </x14:dataValidation>
        <x14:dataValidation type="list" xr:uid="{00000000-0002-0000-0700-000001000000}">
          <x14:formula1>
            <xm:f>'08_Справочник'!$C$4:$C$7</xm:f>
          </x14:formula1>
          <xm:sqref>G4:G40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3.5"/>
  <cols>
    <col min="1" max="1" width="48.5625" customWidth="1"/>
    <col min="2" max="2" width="19.625" customWidth="1"/>
    <col min="3" max="3" width="10.375" customWidth="1"/>
    <col min="4" max="4" width="13.4375" customWidth="1"/>
  </cols>
  <sheetData>
    <row r="1" spans="1:26" ht="17.649999999999999">
      <c r="A1" s="16" t="s">
        <v>205</v>
      </c>
      <c r="B1" s="16"/>
      <c r="C1" s="16"/>
      <c r="D1" s="16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75">
      <c r="A3" s="2" t="s">
        <v>92</v>
      </c>
      <c r="B3" s="2" t="s">
        <v>194</v>
      </c>
      <c r="C3" s="2" t="s">
        <v>195</v>
      </c>
      <c r="D3" s="2" t="s">
        <v>112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9" t="s">
        <v>106</v>
      </c>
      <c r="B4" s="9" t="s">
        <v>206</v>
      </c>
      <c r="C4" s="9" t="s">
        <v>207</v>
      </c>
      <c r="D4" s="9" t="s">
        <v>119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9" t="s">
        <v>208</v>
      </c>
      <c r="B5" s="9" t="s">
        <v>196</v>
      </c>
      <c r="C5" s="9" t="s">
        <v>107</v>
      </c>
      <c r="D5" s="9" t="s">
        <v>120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9" t="s">
        <v>209</v>
      </c>
      <c r="B6" s="9" t="s">
        <v>198</v>
      </c>
      <c r="C6" s="9" t="s">
        <v>108</v>
      </c>
      <c r="D6" s="9" t="s">
        <v>122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 t="s">
        <v>210</v>
      </c>
      <c r="B7" s="9" t="s">
        <v>109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02_Сегменты</vt:lpstr>
      <vt:lpstr>03_Сценарии</vt:lpstr>
      <vt:lpstr>04_Расчет</vt:lpstr>
      <vt:lpstr>05_Similarweb</vt:lpstr>
      <vt:lpstr>06_Дашборд</vt:lpstr>
      <vt:lpstr>07_Источники</vt:lpstr>
      <vt:lpstr>08_Справочник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2026-10-04T11:46:46Z</dcterms:modified>
</cp:coreProperties>
</file>