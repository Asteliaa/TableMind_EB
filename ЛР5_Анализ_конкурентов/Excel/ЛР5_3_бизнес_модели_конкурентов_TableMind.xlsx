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claude\D--TableMind-EB--claude-worktrees-handoff-project-continuation-447426\9c32cbd2-cb12-4b3e-baaf-4d688d524e02\scratchpad\"/>
    </mc:Choice>
  </mc:AlternateContent>
  <xr:revisionPtr revIDLastSave="0" documentId="13_ncr:1_{1C032B83-1C3F-44B7-BEB9-17B0627A3475}" xr6:coauthVersionLast="47" xr6:coauthVersionMax="47" xr10:uidLastSave="{00000000-0000-0000-0000-000000000000}"/>
  <bookViews>
    <workbookView xWindow="-98" yWindow="-98" windowWidth="21795" windowHeight="11625" firstSheet="8" activeTab="12" xr2:uid="{00000000-000D-0000-FFFF-FFFF00000000}"/>
  </bookViews>
  <sheets>
    <sheet name="Методика" sheetId="2" r:id="rId1"/>
    <sheet name="2_Конкуренты" sheetId="3" r:id="rId2"/>
    <sheet name="3_Факты_сайта" sheetId="4" r:id="rId3"/>
    <sheet name="4_Бизнес_модель" sheetId="5" r:id="rId4"/>
    <sheet name="5_Товар_ценность" sheetId="6" r:id="rId5"/>
    <sheet name="6_Монетизация" sheetId="7" r:id="rId6"/>
    <sheet name="7_Каналы" sheetId="8" r:id="rId7"/>
    <sheet name="8_Операц_модель" sheetId="9" r:id="rId8"/>
    <sheet name="9_Матрица" sheetId="10" r:id="rId9"/>
    <sheet name="10_Стандарт" sheetId="11" r:id="rId10"/>
    <sheet name="11_Преимущества" sheetId="12" r:id="rId11"/>
    <sheet name="12_Сводка" sheetId="13" r:id="rId12"/>
    <sheet name="13_Справочники" sheetId="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5" l="1"/>
  <c r="O5" i="5"/>
  <c r="O6" i="5"/>
  <c r="O7" i="5"/>
  <c r="O8" i="5"/>
  <c r="O9" i="5"/>
  <c r="P9" i="10" s="1"/>
  <c r="O10" i="5"/>
  <c r="P10" i="10" s="1"/>
  <c r="B10" i="13"/>
  <c r="B5" i="13"/>
  <c r="B4" i="13"/>
  <c r="E15" i="11" s="1"/>
  <c r="F15" i="11" s="1"/>
  <c r="G15" i="11" s="1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N10" i="10"/>
  <c r="B10" i="10"/>
  <c r="N9" i="10"/>
  <c r="B9" i="10"/>
  <c r="N8" i="10"/>
  <c r="B8" i="10"/>
  <c r="N7" i="10"/>
  <c r="B7" i="10"/>
  <c r="N6" i="10"/>
  <c r="B6" i="10"/>
  <c r="N5" i="10"/>
  <c r="B5" i="10"/>
  <c r="N4" i="10"/>
  <c r="B4" i="10"/>
  <c r="B10" i="9"/>
  <c r="B9" i="9"/>
  <c r="B8" i="9"/>
  <c r="B7" i="9"/>
  <c r="B6" i="9"/>
  <c r="B5" i="9"/>
  <c r="B4" i="9"/>
  <c r="B10" i="8"/>
  <c r="B9" i="8"/>
  <c r="B8" i="8"/>
  <c r="B7" i="8"/>
  <c r="B6" i="8"/>
  <c r="B5" i="8"/>
  <c r="B4" i="8"/>
  <c r="B10" i="7"/>
  <c r="B9" i="7"/>
  <c r="B8" i="7"/>
  <c r="B7" i="7"/>
  <c r="B6" i="7"/>
  <c r="B5" i="7"/>
  <c r="B4" i="7"/>
  <c r="B10" i="6"/>
  <c r="B9" i="6"/>
  <c r="B8" i="6"/>
  <c r="B7" i="6"/>
  <c r="B6" i="6"/>
  <c r="B5" i="6"/>
  <c r="B4" i="6"/>
  <c r="P10" i="5"/>
  <c r="O10" i="10" s="1"/>
  <c r="B10" i="5"/>
  <c r="P9" i="5"/>
  <c r="O9" i="10" s="1"/>
  <c r="B9" i="5"/>
  <c r="P8" i="5"/>
  <c r="O8" i="10" s="1"/>
  <c r="B8" i="5"/>
  <c r="P7" i="5"/>
  <c r="O7" i="10" s="1"/>
  <c r="B7" i="5"/>
  <c r="P6" i="5"/>
  <c r="O6" i="10" s="1"/>
  <c r="B6" i="5"/>
  <c r="P5" i="5"/>
  <c r="O5" i="10" s="1"/>
  <c r="B5" i="5"/>
  <c r="P4" i="5"/>
  <c r="O4" i="10" s="1"/>
  <c r="B4" i="5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Q5" i="5" l="1"/>
  <c r="Q4" i="5"/>
  <c r="Q7" i="5"/>
  <c r="Q8" i="5"/>
  <c r="Q6" i="5"/>
  <c r="P7" i="10"/>
  <c r="Q7" i="10" s="1"/>
  <c r="P4" i="10"/>
  <c r="Q4" i="10" s="1"/>
  <c r="Q9" i="5"/>
  <c r="Q10" i="5"/>
  <c r="E4" i="11"/>
  <c r="F4" i="11" s="1"/>
  <c r="G4" i="11" s="1"/>
  <c r="P6" i="10"/>
  <c r="Q6" i="10" s="1"/>
  <c r="P8" i="10"/>
  <c r="Q8" i="10" s="1"/>
  <c r="P5" i="10"/>
  <c r="Q5" i="10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E11" i="11"/>
  <c r="F11" i="11" s="1"/>
  <c r="G11" i="11" s="1"/>
  <c r="E12" i="11"/>
  <c r="F12" i="11" s="1"/>
  <c r="G12" i="11" s="1"/>
  <c r="E13" i="11"/>
  <c r="F13" i="11" s="1"/>
  <c r="G13" i="11" s="1"/>
  <c r="E14" i="11"/>
  <c r="F14" i="11" s="1"/>
  <c r="G14" i="11" s="1"/>
  <c r="Q10" i="10"/>
  <c r="Q9" i="10"/>
  <c r="B7" i="13"/>
  <c r="B8" i="13"/>
  <c r="B6" i="13"/>
  <c r="G11" i="13" l="1"/>
  <c r="F11" i="13"/>
  <c r="G10" i="13"/>
  <c r="F10" i="13"/>
  <c r="G5" i="13"/>
  <c r="G9" i="13"/>
  <c r="F9" i="13"/>
  <c r="G8" i="13"/>
  <c r="F8" i="13"/>
  <c r="G7" i="13"/>
  <c r="F7" i="13"/>
  <c r="G6" i="13"/>
  <c r="F6" i="13"/>
  <c r="F5" i="13"/>
  <c r="B17" i="13"/>
  <c r="B15" i="13"/>
  <c r="B16" i="13"/>
  <c r="B18" i="13"/>
  <c r="B9" i="13"/>
</calcChain>
</file>

<file path=xl/sharedStrings.xml><?xml version="1.0" encoding="utf-8"?>
<sst xmlns="http://schemas.openxmlformats.org/spreadsheetml/2006/main" count="1244" uniqueCount="773">
  <si>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</si>
  <si>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</si>
  <si>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</si>
  <si>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</si>
  <si>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</si>
  <si>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</si>
  <si>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</si>
  <si>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</si>
  <si>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</si>
  <si>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</si>
  <si>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</si>
  <si>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</si>
  <si>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</si>
  <si>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</si>
  <si>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</si>
  <si>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</si>
  <si>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</si>
  <si>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</si>
  <si>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</si>
  <si>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</si>
  <si>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</si>
  <si>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</si>
  <si>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</si>
  <si>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</si>
  <si>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</si>
  <si>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</si>
  <si>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</si>
  <si>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</si>
  <si>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</si>
  <si>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</si>
  <si>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</si>
  <si>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</si>
  <si>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</si>
  <si>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</si>
  <si>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</si>
  <si>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</si>
  <si>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</si>
  <si>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</si>
  <si>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</si>
  <si>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</si>
  <si>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</si>
  <si>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</si>
  <si>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</si>
  <si>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</si>
  <si>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</si>
  <si>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</si>
  <si>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</si>
  <si>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</si>
  <si>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</si>
  <si>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</si>
  <si>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</si>
  <si>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</si>
  <si>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</si>
  <si>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</si>
  <si>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</si>
  <si>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</si>
  <si>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</si>
  <si>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</si>
  <si>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</si>
  <si>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</si>
  <si>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</si>
  <si>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</si>
  <si>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</si>
  <si>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</si>
  <si>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</si>
  <si>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</si>
  <si>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</si>
  <si>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</si>
  <si>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</si>
  <si>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</si>
  <si>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Методика анализа бизнес-модели конкурентов по их сайтам</t>
  </si>
  <si>
    <t>Этап</t>
  </si>
  <si>
    <t>Что сделать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</si>
  <si>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</si>
  <si>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</si>
  <si>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</si>
  <si>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</si>
  <si>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</si>
  <si>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Единый перечень объектов наблюдения.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</si>
  <si>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</si>
  <si>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</si>
  <si>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Проверяемая база фактов, на которой строятся гипотезы.</t>
  </si>
  <si>
    <t>3. Восстановить бизнес-модель</t>
  </si>
  <si>
    <t>Профиль бизнес-модели конкурента с оценкой полноты и доказательности.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</si>
  <si>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</si>
  <si>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</si>
  <si>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Понимание того, что фактически продается и за счет чего создается ценность.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</si>
  <si>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</si>
  <si>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</si>
  <si>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Вывод о потоках доходов и зрелости коммерческой модели.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</si>
  <si>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</si>
  <si>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</si>
  <si>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</si>
  <si>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</si>
  <si>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</si>
  <si>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</si>
  <si>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</si>
  <si>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</si>
  <si>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</si>
  <si>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</si>
  <si>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</si>
  <si>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</si>
  <si>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</si>
  <si>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</si>
  <si>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</si>
  <si>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</si>
  <si>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</si>
  <si>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</si>
  <si>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</si>
  <si>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</si>
  <si>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</si>
  <si>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</si>
  <si>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</si>
  <si>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</si>
  <si>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</si>
  <si>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</si>
  <si>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</si>
  <si>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</si>
  <si>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Факты, извлеченные с сайтов конкурентов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</si>
  <si>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</si>
  <si>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</si>
  <si>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</si>
  <si>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</si>
  <si>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</si>
  <si>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</si>
  <si>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</si>
  <si>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</si>
  <si>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</si>
  <si>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</si>
  <si>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</si>
  <si>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</si>
  <si>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</si>
  <si>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</si>
  <si>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</si>
  <si>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</si>
  <si>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</si>
  <si>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</si>
  <si>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</si>
  <si>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</si>
  <si>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</si>
  <si>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</si>
  <si>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</si>
  <si>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</si>
  <si>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</si>
  <si>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</si>
  <si>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Цифровой товар и ценностное предложение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</si>
  <si>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</si>
  <si>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</si>
  <si>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</si>
  <si>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</si>
  <si>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</si>
  <si>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</si>
  <si>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</si>
  <si>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</si>
  <si>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</si>
  <si>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</si>
  <si>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</si>
  <si>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</si>
  <si>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</si>
  <si>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</si>
  <si>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</si>
  <si>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</si>
  <si>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</si>
  <si>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</si>
  <si>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</si>
  <si>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</si>
  <si>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</si>
  <si>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</si>
  <si>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</si>
  <si>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</si>
  <si>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</si>
  <si>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</si>
  <si>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</si>
  <si>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</si>
  <si>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</si>
  <si>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</si>
  <si>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</si>
  <si>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</si>
  <si>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</si>
  <si>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</si>
  <si>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</si>
  <si>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</si>
  <si>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</si>
  <si>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</si>
  <si>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</si>
  <si>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</si>
  <si>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</si>
  <si>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</si>
  <si>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</si>
  <si>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</si>
  <si>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</si>
  <si>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</si>
  <si>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</si>
  <si>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</si>
  <si>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</si>
  <si>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</si>
  <si>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</si>
  <si>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</si>
  <si>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</si>
  <si>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</si>
  <si>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</si>
  <si>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</si>
  <si>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</si>
  <si>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</si>
  <si>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</si>
  <si>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</si>
  <si>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</si>
  <si>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</si>
  <si>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</si>
  <si>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</si>
  <si>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</si>
  <si>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</si>
  <si>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</si>
  <si>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</si>
  <si>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</si>
  <si>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</si>
  <si>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</si>
  <si>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</si>
  <si>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</si>
  <si>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</si>
  <si>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</si>
  <si>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</si>
  <si>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</si>
  <si>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</si>
  <si>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</si>
  <si>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</si>
  <si>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</si>
  <si>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</si>
  <si>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</si>
  <si>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</si>
  <si>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</si>
  <si>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</si>
  <si>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</si>
  <si>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</si>
  <si>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</si>
  <si>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</si>
  <si>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</si>
  <si>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</si>
  <si>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</si>
  <si>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</si>
  <si>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</si>
  <si>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</si>
  <si>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</si>
  <si>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</si>
  <si>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</si>
  <si>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</si>
  <si>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</si>
  <si>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</si>
  <si>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</si>
  <si>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</si>
  <si>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</si>
  <si>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</si>
  <si>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</si>
  <si>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</si>
  <si>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</si>
  <si>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1. Рыночный стандарт бизнес-модели</t>
  </si>
  <si>
    <t>2. Доминирующая логика получения выручки</t>
  </si>
  <si>
    <t>3. Зоны конкурентной дифференциации</t>
  </si>
  <si>
    <t>4. Наиболее сильные конкуренты</t>
  </si>
  <si>
    <t>5. Риски копирования чужой модели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</si>
  <si>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</si>
  <si>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</si>
  <si>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</si>
  <si>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</si>
  <si>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</si>
  <si>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-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</si>
  <si>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</si>
  <si>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</si>
  <si>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</si>
  <si>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</si>
  <si>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</si>
  <si>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</si>
  <si>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</si>
  <si>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</si>
  <si>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</si>
  <si>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</si>
  <si>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</si>
  <si>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риск ошибки в таблице</t>
  </si>
  <si>
    <t>найденные ошибки и отчет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</si>
  <si>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</si>
  <si>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</si>
  <si>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</si>
  <si>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</si>
  <si>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</si>
  <si>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</si>
  <si>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</si>
  <si>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</si>
  <si>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</si>
  <si>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</si>
  <si>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</si>
  <si>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</si>
  <si>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</si>
  <si>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</si>
  <si>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</si>
  <si>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</si>
  <si>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</si>
  <si>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</si>
  <si>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</si>
  <si>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</si>
  <si>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</si>
  <si>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</si>
  <si>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</si>
  <si>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</si>
  <si>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</si>
  <si>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</si>
  <si>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</si>
  <si>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</si>
  <si>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</si>
  <si>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</si>
  <si>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</si>
  <si>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</si>
  <si>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</si>
  <si>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</si>
  <si>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</si>
  <si>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</si>
  <si>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</si>
  <si>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</si>
  <si>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</si>
  <si>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</si>
  <si>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надстройка, малая команда</t>
  </si>
  <si>
    <t>разработка надстройки</t>
  </si>
  <si>
    <t>разработка и поддержка</t>
  </si>
  <si>
    <t>узкий инструмент для специалистов с продажей лицензий</t>
  </si>
  <si>
    <t>arixcel.com/explorer/download</t>
  </si>
  <si>
    <t>да (пробный режим)</t>
  </si>
  <si>
    <t>одна лицензия</t>
  </si>
  <si>
    <t>пользователь в месяц</t>
  </si>
  <si>
    <t>срок 12-36 месяцев</t>
  </si>
  <si>
    <t>месяц, срок 12-36 месяцев</t>
  </si>
  <si>
    <t>да (многопользовательская)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</si>
  <si>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</si>
  <si>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</si>
  <si>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</si>
  <si>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</si>
  <si>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</si>
  <si>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</si>
  <si>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</si>
  <si>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</si>
  <si>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</si>
  <si>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</si>
  <si>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</si>
  <si>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</si>
  <si>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</si>
  <si>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</si>
  <si>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</si>
  <si>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</si>
  <si>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</si>
  <si>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</si>
  <si>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</si>
  <si>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</si>
  <si>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</si>
  <si>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</si>
  <si>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</si>
  <si>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</si>
  <si>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</si>
  <si>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</si>
  <si>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</si>
  <si>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</si>
  <si>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</si>
  <si>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</si>
  <si>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</si>
  <si>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operisanalysiskit.com/oak-price</t>
  </si>
  <si>
    <t>да (30 дней по запросу)</t>
  </si>
  <si>
    <t>проект, лицензия OAK</t>
  </si>
  <si>
    <t>проект, пользователь</t>
  </si>
  <si>
    <t>налог сверх цены</t>
  </si>
  <si>
    <t>год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</si>
  <si>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</si>
  <si>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</si>
  <si>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</si>
  <si>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</si>
  <si>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</si>
  <si>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</si>
  <si>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</si>
  <si>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</si>
  <si>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</si>
  <si>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</si>
  <si>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</si>
  <si>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</si>
  <si>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</si>
  <si>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</si>
  <si>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</si>
  <si>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</si>
  <si>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</si>
  <si>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</si>
  <si>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</si>
  <si>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</si>
  <si>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</si>
  <si>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</si>
  <si>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</si>
  <si>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</si>
  <si>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</si>
  <si>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</si>
  <si>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</si>
  <si>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</si>
  <si>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</si>
  <si>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</si>
  <si>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</si>
  <si>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</si>
  <si>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</si>
  <si>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</si>
  <si>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</si>
  <si>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</si>
  <si>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</si>
  <si>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</si>
  <si>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</si>
  <si>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</si>
  <si>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</si>
  <si>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</si>
  <si>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</si>
  <si>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</si>
  <si>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</si>
  <si>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</si>
  <si>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</si>
  <si>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</si>
  <si>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</si>
  <si>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</si>
  <si>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</si>
  <si>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</si>
  <si>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</si>
  <si>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</si>
  <si>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</si>
  <si>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</si>
  <si>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</si>
  <si>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</si>
  <si>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</si>
  <si>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</si>
  <si>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</si>
  <si>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</si>
  <si>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</si>
  <si>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</si>
  <si>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</si>
  <si>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</si>
  <si>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</si>
  <si>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</si>
  <si>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</si>
  <si>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</si>
  <si>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</si>
  <si>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</si>
  <si>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</si>
  <si>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</si>
  <si>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</si>
  <si>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Personal, Pro, Enterprise</t>
  </si>
  <si>
    <t>пользователь, символы</t>
  </si>
  <si>
    <t>500 тыс. символов и 500 генераций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</si>
  <si>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</si>
  <si>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</si>
  <si>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</si>
  <si>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</si>
  <si>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</si>
  <si>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</si>
  <si>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</si>
  <si>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</si>
  <si>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</si>
  <si>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</si>
  <si>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</si>
  <si>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</si>
  <si>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</si>
  <si>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</si>
  <si>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</si>
  <si>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</si>
  <si>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</si>
  <si>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</si>
  <si>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</si>
  <si>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</si>
  <si>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</si>
  <si>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</si>
  <si>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</si>
  <si>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</si>
  <si>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</si>
  <si>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</si>
  <si>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</si>
  <si>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</si>
  <si>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</si>
  <si>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</si>
  <si>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</si>
  <si>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</si>
  <si>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</si>
  <si>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</si>
  <si>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</si>
  <si>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</si>
  <si>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</si>
  <si>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</si>
  <si>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</si>
  <si>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</si>
  <si>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</si>
  <si>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</si>
  <si>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</si>
  <si>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</si>
  <si>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</si>
  <si>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</si>
  <si>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</si>
  <si>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</si>
  <si>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</si>
  <si>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</si>
  <si>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</si>
  <si>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</si>
  <si>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</si>
  <si>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</si>
  <si>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</si>
  <si>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</si>
  <si>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</si>
  <si>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</si>
  <si>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</si>
  <si>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</si>
  <si>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</si>
  <si>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</si>
  <si>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</si>
  <si>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</si>
  <si>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</si>
  <si>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</si>
  <si>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</si>
  <si>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</si>
  <si>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</si>
  <si>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</si>
  <si>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</si>
  <si>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</si>
  <si>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</si>
  <si>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</si>
  <si>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</si>
  <si>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</si>
  <si>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</si>
  <si>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</si>
  <si>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</si>
  <si>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</si>
  <si>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</si>
  <si>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</si>
  <si>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</si>
  <si>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</si>
  <si>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</si>
  <si>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</si>
  <si>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</si>
  <si>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</si>
  <si>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</si>
  <si>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</si>
  <si>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</si>
  <si>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</si>
  <si>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</si>
  <si>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</si>
  <si>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</si>
  <si>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</si>
  <si>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страница сайта</t>
  </si>
  <si>
    <t>Позиционирование на контроле качества и рисках</t>
  </si>
  <si>
    <t>F002</t>
  </si>
  <si>
    <t>Цены</t>
  </si>
  <si>
    <t>https://www.perfectxl.com/pricing/</t>
  </si>
  <si>
    <t>Цены раскрыты частично</t>
  </si>
  <si>
    <t>F003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</si>
  <si>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</si>
  <si>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</si>
  <si>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</si>
  <si>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</si>
  <si>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</si>
  <si>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</si>
  <si>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</si>
  <si>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</si>
  <si>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</si>
  <si>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</si>
  <si>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</si>
  <si>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</si>
  <si>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</si>
  <si>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</si>
  <si>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</si>
  <si>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</si>
  <si>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</si>
  <si>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</si>
  <si>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</si>
  <si>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</si>
  <si>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</si>
  <si>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</si>
  <si>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</si>
  <si>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</si>
  <si>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</si>
  <si>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</si>
  <si>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</si>
  <si>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</si>
  <si>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</si>
  <si>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</si>
  <si>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</si>
  <si>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</si>
  <si>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</si>
  <si>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</si>
  <si>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</si>
  <si>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</si>
  <si>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</si>
  <si>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</si>
  <si>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</si>
  <si>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</si>
  <si>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</si>
  <si>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</si>
  <si>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</si>
  <si>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</si>
  <si>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</si>
  <si>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</si>
  <si>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F017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</si>
  <si>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</si>
  <si>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</si>
  <si>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</si>
  <si>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</si>
  <si>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F018</t>
  </si>
  <si>
    <t>https://www.datasnipper.com/pricing</t>
  </si>
  <si>
    <t>Start, Accelerate, Elevate без сумм; Book demo и Contact sales</t>
  </si>
  <si>
    <t>Цена по запросу, вход через демо</t>
  </si>
  <si>
    <t>F019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</si>
  <si>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</si>
  <si>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</si>
  <si>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</si>
  <si>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F020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</si>
  <si>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</si>
  <si>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</si>
  <si>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</si>
  <si>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</si>
  <si>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F021</t>
  </si>
  <si>
    <t>https://datarails.com/pricing/</t>
  </si>
  <si>
    <t>Professional, Premium, Expert без сумм; Request Quote, пробного периода нет</t>
  </si>
  <si>
    <t>F022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</si>
  <si>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</si>
  <si>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</si>
  <si>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</si>
  <si>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</si>
  <si>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F023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</si>
  <si>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</si>
  <si>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</si>
  <si>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</si>
  <si>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F024</t>
  </si>
  <si>
    <t>https://www.capterra.com/p/177451/DataRails/</t>
  </si>
  <si>
    <t>4,7 из 5, 245 отзывов</t>
  </si>
  <si>
    <t>F025</t>
  </si>
  <si>
    <t>Лицензирование</t>
  </si>
  <si>
    <t>https://www.arixcel.com/explorer/download</t>
  </si>
  <si>
    <t>Цена опубликована, лестницы тарифов нет</t>
  </si>
  <si>
    <t>F026</t>
  </si>
  <si>
    <t>Цены OAK</t>
  </si>
  <si>
    <t>https://www.operisanalysiskit.com/oak-price/</t>
  </si>
  <si>
    <t>Единичная цена, продажа без консультанта</t>
  </si>
  <si>
    <t>F027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</si>
  <si>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</si>
  <si>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</si>
  <si>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</si>
  <si>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F028</t>
  </si>
  <si>
    <t>Цены и регистрация</t>
  </si>
  <si>
    <t>https://numerous.ai/</t>
  </si>
  <si>
    <t>Путь от пробы к подписке без продавца</t>
  </si>
  <si>
    <t>F029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</si>
  <si>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</si>
  <si>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</si>
  <si>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</si>
  <si>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F030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</si>
  <si>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</si>
  <si>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</si>
  <si>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</si>
  <si>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</si>
  <si>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F031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</si>
  <si>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</si>
  <si>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</si>
  <si>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</si>
  <si>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</si>
  <si>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F032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</si>
  <si>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</si>
  <si>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</si>
  <si>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</si>
  <si>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Надстройка Excel или Excel-интеграция</t>
  </si>
  <si>
    <t>продукт доступен внутри Excel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</si>
  <si>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</si>
  <si>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</si>
  <si>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</si>
  <si>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</si>
  <si>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</si>
  <si>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</si>
  <si>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</si>
  <si>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</si>
  <si>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</si>
  <si>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</si>
  <si>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</si>
  <si>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</si>
  <si>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</si>
  <si>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</si>
  <si>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</si>
  <si>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</si>
  <si>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</si>
  <si>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</si>
  <si>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</si>
  <si>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</si>
  <si>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</si>
  <si>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</si>
  <si>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</si>
  <si>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</si>
  <si>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</si>
  <si>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</si>
  <si>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</si>
  <si>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</si>
  <si>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</si>
  <si>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</si>
  <si>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</si>
  <si>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</si>
  <si>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</si>
  <si>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</si>
  <si>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</si>
  <si>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</si>
  <si>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</si>
  <si>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</si>
  <si>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</si>
  <si>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</si>
  <si>
    <t>Лист</t>
  </si>
  <si>
    <t>Слабый косвенный признак - предположение без прямого подтверждения на сайте.</t>
  </si>
  <si>
    <t>Косвенное подтверждение - факт есть, но связь с блоком бизнес-модели неочевидна.</t>
  </si>
  <si>
    <t>Достаточное подтверждение - факт прямо указывает на элемент бизнес-модели.</t>
  </si>
  <si>
    <t>Сильное подтверждение - несколько страниц или блоков сайта подтверждают один вывод.</t>
  </si>
  <si>
    <t>Высокая доказательность - прямое описание, тариф, оферта, демонстрация, кейс или документация подтверждают вывод.</t>
  </si>
  <si>
    <t>один инструмент от 69 у.е. в месяц; пакеты без цен; обучение от 49 у.е.</t>
  </si>
  <si>
    <t>надстройка Excel - логика формул, сравнение, карта формул, трассировка</t>
  </si>
  <si>
    <t>Free, Pro 89 у.е., Teams 284 у.е. + 89 у.е. за место, Enterprise</t>
  </si>
  <si>
    <t>8,9 у.е. в месяц, 7 дней пробного периода</t>
  </si>
  <si>
    <t>3,2 у.е. за пользователя в месяц, лицензия 12-36 месяцев, только Windows, пробный режим</t>
  </si>
  <si>
    <t>подписка 365 у.е. в год, более 30 инструментов, Try OAK и Buy now</t>
  </si>
  <si>
    <t>7 дней бесплатно, оплата за год, 8,9 у.е. в месяц, лимит 500 тыс. символов</t>
  </si>
  <si>
    <t>подписка на инструменты (от 69 у.е. в месяц), пакеты по запросу, проекты, обучение</t>
  </si>
  <si>
    <t>лицензия 3,2 у.е. за пользователя в месяц (срок 12-36 месяцев)</t>
  </si>
  <si>
    <t>подписки Free, Pro 89 у.е., Teams 284 у.е. + 89 у.е. за место, Enterprise</t>
  </si>
  <si>
    <t>подписка 8,9 у.е. в месяц, корпоративный тариф</t>
  </si>
  <si>
    <t>платформа FinanceOS - FP&amp;A, закрытие месяца, денежные потоки, расходы</t>
  </si>
  <si>
    <t>PerfectXL Suite - Risk Finder, Explore, Compare, Highlighter, Formula Inspector, Source Inspector</t>
  </si>
  <si>
    <t>Arixcel Explorer - логика формул, сравнение таблиц, карта формул, трассировка зависимых ячеек</t>
  </si>
  <si>
    <t>FinanceOS - FP&amp;A, закрытие месяца, денежные потоки, контроль расходов</t>
  </si>
  <si>
    <t>Цена опубликована (3,2 у.е.), но лестницы тарифов и бесплатного входа нет</t>
  </si>
  <si>
    <t>Цена OAK опубликована (365 у.е. в год), услуги аудита продаются через консультанта</t>
  </si>
  <si>
    <t>да (7 дней, 0,9 у.е.)</t>
  </si>
  <si>
    <t>учесть в позиционировании TableMind - повторять нельзя, дифференцироваться</t>
  </si>
  <si>
    <t>Итоговый вывод</t>
  </si>
  <si>
    <t>На основе фактов с сайта. Полнота и доказательность рассчитываются автоматически.</t>
  </si>
  <si>
    <t>По каждому конкуренту описаны блоки бизнес-модели - сегменты, ценность, цифровой товар, каналы, отношения, доходы, ресурсы, деятельность, партнеры, издержки, данные.</t>
  </si>
  <si>
    <t>2_Конкуренты</t>
  </si>
  <si>
    <t>3_Факты_сайта</t>
  </si>
  <si>
    <t>4_Бизнес_модель</t>
  </si>
  <si>
    <t>5_Товар_ценность</t>
  </si>
  <si>
    <t>6_Монетизация</t>
  </si>
  <si>
    <t>7_Каналы</t>
  </si>
  <si>
    <t>8_Операц_модель</t>
  </si>
  <si>
    <t>9_Матрица</t>
  </si>
  <si>
    <t>Рабочая книга предназначена для восстановления бизнес-модели конкурента по публичным данным сайта - продукт, ценность, монетизация, каналы, ресурсы, партнерства, данные, масштабируемость и конкурентные преимущества</t>
  </si>
  <si>
    <t>Первым. Один конкурент - одна строка. ID используется во всех остальных листах</t>
  </si>
  <si>
    <t>Каждый вывод по бизнес-модели должен иметь источник - URL, наблюдаемый факт и уровень доказательности</t>
  </si>
  <si>
    <t>Лист помогает отделить сам цифровой товар от упаковки, сервиса, каналов продажи и обещаний на сайте</t>
  </si>
  <si>
    <t>Фиксируются признаки получения выручки - тарифы, пробный доступ, условия оплаты, ограничения и коммерческая логика</t>
  </si>
  <si>
    <t>Лист фиксирует, за счет каких ресурсов, процессов, партнерств и данных конкурент поддерживает цифровой товар</t>
  </si>
  <si>
    <t>лист 3_Факты_сайта</t>
  </si>
  <si>
    <t>Столбец1</t>
  </si>
  <si>
    <t>Поиск ошибок формул и аномалий; Надстройка для Excel</t>
  </si>
  <si>
    <t>Отчет аудита с экспортом; Пробный доступ или бесплатный тариф; Прозрачные тарифы на сайте</t>
  </si>
  <si>
    <t>Трассировка зависимостей и карта формул; Сравнение версий файлов; Документация и обучение</t>
  </si>
  <si>
    <t>найти ошибки до отправки файла; работать в привычной среде; понять, как считается результат; увидеть, что изменилось; передать результат про</t>
  </si>
  <si>
    <t>найти ошибки до отправки файла; работать в привычной среде; понять, как считается результат; увидеть, что изменилось; увидеть ошибки прямо в</t>
  </si>
  <si>
    <t>Отчет аудита с экспортом; Кейсы, клиенты и отзывы</t>
  </si>
  <si>
    <t>Трассировка зависимостей и карта формул; Документация и обучение; Оценка рисков и здоровья модели</t>
  </si>
  <si>
    <t>найти ошибки до отправки файла; работать в привычной среде; понять, как считается результат; передать результат проверки; убедиться в надежн</t>
  </si>
  <si>
    <t>Надстройка для Excel; Веб-версия без установки</t>
  </si>
  <si>
    <t>Безопасность и соответствие (SOC 2, GDPR); Пробный доступ или бесплатный тариф; Прозрачные тарифы на сайте</t>
  </si>
  <si>
    <t>Трассировка зависимостей и карта формул; AI-пояснения и подсказки; Интеграции и API</t>
  </si>
  <si>
    <t>Автоматическое исправление ошибок; Журнал изменений и трассировка источников</t>
  </si>
  <si>
    <t>работать в привычной среде; безопасно загружать файлы; понять, как считается результат; понять причину и исправление; попробовать без обязат</t>
  </si>
  <si>
    <t>Пробный доступ или бесплатный тариф; Прозрачные тарифы на сайте</t>
  </si>
  <si>
    <t>AI-пояснения и подсказки; Документация и обучение; Командная работа и совместный аудит</t>
  </si>
  <si>
    <t>работать в привычной среде; понять причину и исправление; попробовать без обязательств; понять цену до разговора с продавцом; быстро провери</t>
  </si>
  <si>
    <t>Отчет аудита с экспортом; Безопасность и соответствие (SOC 2, GDPR); Кейсы, клиенты и отзывы</t>
  </si>
  <si>
    <t>AI-пояснения и подсказки; Интеграции и API; Документация и обучение</t>
  </si>
  <si>
    <t>Доказательство вывода детерминированным движком; Интеграции с ERP и учетными системами</t>
  </si>
  <si>
    <t>работать в привычной среде; довериться результату проверки; безопасно загружать файлы; передать результат проверки; понять причину и исправл</t>
  </si>
  <si>
    <t>Доказательство вывода детерминированным движком; Интеграции с ERP и учетными системами; Журнал изменений и трассировка источников</t>
  </si>
  <si>
    <t>Рыночный стандарт бизнес-модели: Надстройка Excel или Excel-интеграция (7 из 7); Кейсы и клиенты на сайте (5 из 7); Корпоративные пакеты и продажи (5 из 7); Обучение и документация (6 из 7); эти элементы есть у большинства конкурентов и составляют минимальную планку.</t>
  </si>
  <si>
    <t>Зоны дифференциации: Прозрачные тарифы на сайте (2 из 7); Доказательство вывода проверяемой логикой (2 из 7); формирующиеся практики: Бесплатный тариф или пробный период (3 из 7); Запрос демо / консультация как основной вход (4 из 7); Раскрытие безопасности и соответствия (3 из 7); AI-пояснения в продукте (4 из 7); Подписка по пользователям или местам (4 из 7); Интеграции и API (4 из 7).</t>
  </si>
  <si>
    <t>Видимые элементы сайта (тарифы, функции, бесплатный вход) копируются быстро, а глубинные основы (методология, данные, интеграции, доверие) трудно повторить, в том числе у Operis, Datarails, DataSnipper; копировать чужую модель целиком без проверки спроса нельзя.</t>
  </si>
  <si>
    <t>Чаще всего встречаются модели: подписка (4 из 7); лицензия (3 из 7); услуги и консалтинг (2 из 7); бесплатный вход и прозрачные тарифы есть лишь у части игроков.</t>
  </si>
  <si>
    <t>Сильнейшие конкуренты по рейтингу: Shortcut (4,22); Datarails (4,11); DataSnipper (4,08); средняя доказательность профилей 4,2 из 5, средняя полнота 98 %.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</si>
</sst>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7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sz val="11"/>
      <color rgb="FFFFFFFF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/>
      <right/>
      <top style="thin">
        <color rgb="FF9DC3E6"/>
      </top>
      <bottom style="thin">
        <color rgb="FF9DC3E6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4" fillId="0" borderId="0" xfId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2" fillId="4" borderId="4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4" fillId="3" borderId="2" xfId="1" applyNumberFormat="1" applyFont="1" applyFill="1" applyBorder="1" applyAlignment="1">
      <alignment horizontal="center" vertical="center" wrapText="1"/>
    </xf>
    <xf numFmtId="9" fontId="4" fillId="3" borderId="1" xfId="1" applyNumberFormat="1" applyFont="1" applyFill="1" applyBorder="1" applyAlignment="1">
      <alignment horizontal="center" vertical="center" wrapText="1"/>
    </xf>
    <xf numFmtId="9" fontId="4" fillId="3" borderId="2" xfId="1" applyNumberFormat="1" applyFont="1" applyFill="1" applyBorder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vertical="center" wrapText="1"/>
    </xf>
    <xf numFmtId="165" fontId="4" fillId="3" borderId="2" xfId="1" applyNumberFormat="1" applyFont="1" applyFill="1" applyBorder="1" applyAlignment="1">
      <alignment horizontal="center" vertical="center" wrapText="1"/>
    </xf>
    <xf numFmtId="165" fontId="4" fillId="3" borderId="3" xfId="1" applyNumberFormat="1" applyFont="1" applyFill="1" applyBorder="1" applyAlignment="1">
      <alignment horizontal="center" vertical="center" wrapText="1"/>
    </xf>
    <xf numFmtId="165" fontId="4" fillId="3" borderId="4" xfId="1" applyNumberFormat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49" fontId="4" fillId="3" borderId="2" xfId="1" applyNumberFormat="1" applyFont="1" applyFill="1" applyBorder="1" applyAlignment="1">
      <alignment horizontal="center" vertical="center" wrapText="1"/>
    </xf>
    <xf numFmtId="0" fontId="3" fillId="5" borderId="6" xfId="1" applyFont="1" applyFill="1" applyBorder="1" applyAlignment="1">
      <alignment vertical="center" wrapText="1"/>
    </xf>
    <xf numFmtId="0" fontId="4" fillId="5" borderId="6" xfId="1" applyFont="1" applyFill="1" applyBorder="1" applyAlignment="1">
      <alignment vertical="center" wrapText="1"/>
    </xf>
    <xf numFmtId="0" fontId="2" fillId="5" borderId="6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164" fontId="4" fillId="5" borderId="6" xfId="1" applyNumberFormat="1" applyFont="1" applyFill="1" applyBorder="1" applyAlignment="1">
      <alignment horizontal="center" vertical="center" wrapText="1"/>
    </xf>
    <xf numFmtId="0" fontId="6" fillId="5" borderId="6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vertical="center" wrapText="1"/>
    </xf>
    <xf numFmtId="0" fontId="4" fillId="3" borderId="5" xfId="1" applyFont="1" applyFill="1" applyBorder="1" applyAlignment="1">
      <alignment vertical="center" wrapText="1"/>
    </xf>
    <xf numFmtId="0" fontId="3" fillId="2" borderId="7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3" borderId="7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3" borderId="9" xfId="1" applyFont="1" applyFill="1" applyBorder="1" applyAlignment="1">
      <alignment horizontal="left" vertical="center" wrapText="1"/>
    </xf>
    <xf numFmtId="0" fontId="4" fillId="3" borderId="0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 wrapText="1"/>
    </xf>
    <xf numFmtId="0" fontId="5" fillId="2" borderId="3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8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168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outline="0">
        <right style="thin">
          <color rgb="FF9DC3E6"/>
        </right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spPr>
            <a:solidFill>
              <a:srgbClr val="1F4E79"/>
            </a:solidFill>
          </c:spPr>
          <c:invertIfNegative val="1"/>
          <c:cat>
            <c:strRef>
              <c:f>'12_Сводка'!$F$5:$F$11</c:f>
              <c:strCache>
                <c:ptCount val="7"/>
                <c:pt idx="0">
                  <c:v>Shortcut</c:v>
                </c:pt>
                <c:pt idx="1">
                  <c:v>Datarails</c:v>
                </c:pt>
                <c:pt idx="2">
                  <c:v>DataSnipper</c:v>
                </c:pt>
                <c:pt idx="3">
                  <c:v>PerfectXL</c:v>
                </c:pt>
                <c:pt idx="4">
                  <c:v>Operis</c:v>
                </c:pt>
                <c:pt idx="5">
                  <c:v>Numerous.ai</c:v>
                </c:pt>
                <c:pt idx="6">
                  <c:v>Arixcel</c:v>
                </c:pt>
              </c:strCache>
            </c:strRef>
          </c:cat>
          <c:val>
            <c:numRef>
              <c:f>'12_Сводка'!$G$5:$G$11</c:f>
              <c:numCache>
                <c:formatCode>0.0</c:formatCode>
                <c:ptCount val="7"/>
                <c:pt idx="0">
                  <c:v>4.2204545454545457</c:v>
                </c:pt>
                <c:pt idx="1">
                  <c:v>4.1113636363636363</c:v>
                </c:pt>
                <c:pt idx="2">
                  <c:v>4.082575757575758</c:v>
                </c:pt>
                <c:pt idx="3">
                  <c:v>3.709090909090909</c:v>
                </c:pt>
                <c:pt idx="4">
                  <c:v>3.4954545454545451</c:v>
                </c:pt>
                <c:pt idx="5">
                  <c:v>3.3818181818181818</c:v>
                </c:pt>
                <c:pt idx="6">
                  <c:v>2.8795454545454544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053-443B-B017-FD4ACF18A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1</xdr:col>
      <xdr:colOff>3929063</xdr:colOff>
      <xdr:row>47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3:D14" headerRowDxfId="167" dataDxfId="166" totalsRowDxfId="165">
  <tableColumns count="4">
    <tableColumn id="1" xr3:uid="{00000000-0010-0000-0000-000001000000}" name="Этап" dataDxfId="164"/>
    <tableColumn id="2" xr3:uid="{00000000-0010-0000-0000-000002000000}" name="Что сделать" dataDxfId="163"/>
    <tableColumn id="3" xr3:uid="{00000000-0010-0000-0000-000003000000}" name="Лист" dataDxfId="162"/>
    <tableColumn id="4" xr3:uid="{00000000-0010-0000-0000-000004000000}" name="Результат" dataDxfId="1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H10" headerRowDxfId="160" dataDxfId="159" totalsRowDxfId="158">
  <tableColumns count="8">
    <tableColumn id="1" xr3:uid="{00000000-0010-0000-0100-000001000000}" name="ID" dataDxfId="157"/>
    <tableColumn id="2" xr3:uid="{00000000-0010-0000-0100-000002000000}" name="Название конкурента" dataDxfId="156"/>
    <tableColumn id="3" xr3:uid="{00000000-0010-0000-0100-000003000000}" name="Сайт" dataDxfId="155"/>
    <tableColumn id="4" xr3:uid="{00000000-0010-0000-0100-000004000000}" name="Сегмент" dataDxfId="154"/>
    <tableColumn id="5" xr3:uid="{00000000-0010-0000-0100-000005000000}" name="Тип конкурента" dataDxfId="153"/>
    <tableColumn id="6" xr3:uid="{00000000-0010-0000-0100-000006000000}" name="География" dataDxfId="152"/>
    <tableColumn id="7" xr3:uid="{00000000-0010-0000-0100-000007000000}" name="Приоритет" dataDxfId="151"/>
    <tableColumn id="8" xr3:uid="{42F56C50-4B11-463F-BEBE-FB5468679DD2}" name="Столбец1" dataDxfId="150" totalsRowDxfId="1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35" headerRowDxfId="148" dataDxfId="147" totalsRowDxfId="146">
  <tableColumns count="12">
    <tableColumn id="1" xr3:uid="{00000000-0010-0000-0200-000001000000}" name="Факт_ID" dataDxfId="145"/>
    <tableColumn id="2" xr3:uid="{00000000-0010-0000-0200-000002000000}" name="ID конкурента" dataDxfId="144"/>
    <tableColumn id="3" xr3:uid="{00000000-0010-0000-0200-000003000000}" name="Название" dataDxfId="143"/>
    <tableColumn id="4" xr3:uid="{00000000-0010-0000-0200-000004000000}" name="Раздел сайта" dataDxfId="142"/>
    <tableColumn id="5" xr3:uid="{00000000-0010-0000-0200-000005000000}" name="URL" dataDxfId="141"/>
    <tableColumn id="6" xr3:uid="{00000000-0010-0000-0200-000006000000}" name="Блок/страница" dataDxfId="140"/>
    <tableColumn id="7" xr3:uid="{00000000-0010-0000-0200-000007000000}" name="Наблюдаемый факт" dataDxfId="139"/>
    <tableColumn id="8" xr3:uid="{00000000-0010-0000-0200-000008000000}" name="Элемент бизнес-модели" dataDxfId="138"/>
    <tableColumn id="9" xr3:uid="{00000000-0010-0000-0200-000009000000}" name="Доказательность 1-5" dataDxfId="137"/>
    <tableColumn id="10" xr3:uid="{00000000-0010-0000-0200-00000A000000}" name="Дата фиксации" dataDxfId="136"/>
    <tableColumn id="11" xr3:uid="{00000000-0010-0000-0200-00000B000000}" name="Цитата/скриншот" dataDxfId="135"/>
    <tableColumn id="12" xr3:uid="{00000000-0010-0000-0200-00000C000000}" name="Аналитический вывод" dataDxfId="1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10" headerRowDxfId="133" dataDxfId="132" totalsRowDxfId="131">
  <tableColumns count="17">
    <tableColumn id="1" xr3:uid="{00000000-0010-0000-0300-000001000000}" name="ID конкурента" dataDxfId="130"/>
    <tableColumn id="2" xr3:uid="{00000000-0010-0000-0300-000002000000}" name="Название" dataDxfId="129"/>
    <tableColumn id="3" xr3:uid="{00000000-0010-0000-0300-000003000000}" name="Целевые сегменты" dataDxfId="128"/>
    <tableColumn id="4" xr3:uid="{00000000-0010-0000-0300-000004000000}" name="Ценностное предложение" dataDxfId="127"/>
    <tableColumn id="5" xr3:uid="{00000000-0010-0000-0300-000005000000}" name="Цифровой товар" dataDxfId="126"/>
    <tableColumn id="6" xr3:uid="{00000000-0010-0000-0300-000006000000}" name="Каналы" dataDxfId="125"/>
    <tableColumn id="7" xr3:uid="{00000000-0010-0000-0300-000007000000}" name="Отношения с клиентами" dataDxfId="124"/>
    <tableColumn id="8" xr3:uid="{00000000-0010-0000-0300-000008000000}" name="Потоки доходов" dataDxfId="123"/>
    <tableColumn id="9" xr3:uid="{00000000-0010-0000-0300-000009000000}" name="Ключевые ресурсы" dataDxfId="122"/>
    <tableColumn id="10" xr3:uid="{00000000-0010-0000-0300-00000A000000}" name="Ключевые виды деятельности" dataDxfId="121"/>
    <tableColumn id="11" xr3:uid="{00000000-0010-0000-0300-00000B000000}" name="Ключевые партнеры" dataDxfId="120"/>
    <tableColumn id="12" xr3:uid="{00000000-0010-0000-0300-00000C000000}" name="Структура затрат" dataDxfId="119"/>
    <tableColumn id="13" xr3:uid="{00000000-0010-0000-0300-00000D000000}" name="Данные и сетевые эффекты" dataDxfId="118"/>
    <tableColumn id="14" xr3:uid="{00000000-0010-0000-0300-00000E000000}" name="Главная гипотеза бизнес-модели" dataDxfId="117"/>
    <tableColumn id="15" xr3:uid="{00000000-0010-0000-0300-00000F000000}" name="Полнота профиля" dataDxfId="116">
      <calculatedColumnFormula>IF($A4="","",(COUNTA($C4:$N4)-COUNTIF($C4:$N4,"-"))/12)</calculatedColumnFormula>
    </tableColumn>
    <tableColumn id="16" xr3:uid="{00000000-0010-0000-0300-000010000000}" name="Средняя доказательность" dataDxfId="115"/>
    <tableColumn id="17" xr3:uid="{00000000-0010-0000-0300-000011000000}" name="Качество профиля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10" headerRowDxfId="113" dataDxfId="112" totalsRowDxfId="111">
  <tableColumns count="13">
    <tableColumn id="1" xr3:uid="{00000000-0010-0000-0400-000001000000}" name="ID конкурента" dataDxfId="110"/>
    <tableColumn id="2" xr3:uid="{00000000-0010-0000-0400-000002000000}" name="Название" dataDxfId="109"/>
    <tableColumn id="3" xr3:uid="{00000000-0010-0000-0400-000003000000}" name="Ядро цифрового товара" dataDxfId="108"/>
    <tableColumn id="4" xr3:uid="{00000000-0010-0000-0400-000004000000}" name="Базовое предложение" dataDxfId="107"/>
    <tableColumn id="5" xr3:uid="{00000000-0010-0000-0400-000005000000}" name="Ожидаемый уровень" dataDxfId="106"/>
    <tableColumn id="6" xr3:uid="{00000000-0010-0000-0400-000006000000}" name="Расширенный уровень" dataDxfId="105"/>
    <tableColumn id="7" xr3:uid="{00000000-0010-0000-0400-000007000000}" name="Потенциальное развитие" dataDxfId="104"/>
    <tableColumn id="8" xr3:uid="{00000000-0010-0000-0400-000008000000}" name="Клиентская проблема" dataDxfId="103"/>
    <tableColumn id="9" xr3:uid="{00000000-0010-0000-0400-000009000000}" name="Клиентский результат" dataDxfId="102"/>
    <tableColumn id="10" xr3:uid="{00000000-0010-0000-0400-00000A000000}" name="Задача клиента" dataDxfId="101"/>
    <tableColumn id="11" xr3:uid="{00000000-0010-0000-0400-00000B000000}" name="Отличие от рынка" dataDxfId="100"/>
    <tableColumn id="12" xr3:uid="{00000000-0010-0000-0400-00000C000000}" name="Подтверждающие страницы" dataDxfId="99"/>
    <tableColumn id="13" xr3:uid="{00000000-0010-0000-0400-00000D000000}" name="Вывод о роли товара в бизнес-модели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10" headerRowDxfId="97" dataDxfId="96" totalsRowDxfId="95">
  <tableColumns count="14">
    <tableColumn id="1" xr3:uid="{00000000-0010-0000-0500-000001000000}" name="ID конкурента" dataDxfId="94"/>
    <tableColumn id="2" xr3:uid="{00000000-0010-0000-0500-000002000000}" name="Название" dataDxfId="93"/>
    <tableColumn id="3" xr3:uid="{00000000-0010-0000-0500-000003000000}" name="Модель монетизации" dataDxfId="92"/>
    <tableColumn id="4" xr3:uid="{00000000-0010-0000-0500-000004000000}" name="Страница с тарифами/ценой" dataDxfId="91"/>
    <tableColumn id="5" xr3:uid="{00000000-0010-0000-0500-000005000000}" name="Наличие бесплатного уровня" dataDxfId="90"/>
    <tableColumn id="6" xr3:uid="{00000000-0010-0000-0500-000006000000}" name="Пробный доступ" dataDxfId="89"/>
    <tableColumn id="7" xr3:uid="{00000000-0010-0000-0500-000007000000}" name="Тарифные уровни" dataDxfId="88"/>
    <tableColumn id="8" xr3:uid="{00000000-0010-0000-0500-000008000000}" name="Единица оплаты" dataDxfId="87"/>
    <tableColumn id="9" xr3:uid="{00000000-0010-0000-0500-000009000000}" name="Ограничения тарифа" dataDxfId="86"/>
    <tableColumn id="10" xr3:uid="{00000000-0010-0000-0500-00000A000000}" name="Платежная периодичность" dataDxfId="85"/>
    <tableColumn id="11" xr3:uid="{00000000-0010-0000-0500-00000B000000}" name="Признаки корпоративных продаж" dataDxfId="84"/>
    <tableColumn id="12" xr3:uid="{00000000-0010-0000-0500-00000C000000}" name="Прозрачность цены 1-5" dataDxfId="83"/>
    <tableColumn id="13" xr3:uid="{00000000-0010-0000-0500-00000D000000}" name="Гибкость модели 1-5" dataDxfId="82"/>
    <tableColumn id="14" xr3:uid="{00000000-0010-0000-0500-00000E000000}" name="Вывод о потоках доходов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10" headerRowDxfId="80" dataDxfId="79" totalsRowDxfId="78">
  <tableColumns count="14">
    <tableColumn id="1" xr3:uid="{00000000-0010-0000-0600-000001000000}" name="ID конкурента" dataDxfId="77"/>
    <tableColumn id="2" xr3:uid="{00000000-0010-0000-0600-000002000000}" name="Название" dataDxfId="76"/>
    <tableColumn id="3" xr3:uid="{00000000-0010-0000-0600-000003000000}" name="Главные каналы привлечения" dataDxfId="75"/>
    <tableColumn id="4" xr3:uid="{00000000-0010-0000-0600-000004000000}" name="Контентная стратегия" dataDxfId="74"/>
    <tableColumn id="5" xr3:uid="{00000000-0010-0000-0600-000005000000}" name="Поисковая видимость по сайту" dataDxfId="73"/>
    <tableColumn id="6" xr3:uid="{00000000-0010-0000-0600-000006000000}" name="Призыв к действию" dataDxfId="72"/>
    <tableColumn id="7" xr3:uid="{00000000-0010-0000-0600-000007000000}" name="Первичная конверсия" dataDxfId="71"/>
    <tableColumn id="8" xr3:uid="{00000000-0010-0000-0600-000008000000}" name="Тип воронки" dataDxfId="70"/>
    <tableColumn id="9" xr3:uid="{00000000-0010-0000-0600-000009000000}" name="Регистрация/заявка" dataDxfId="69"/>
    <tableColumn id="10" xr3:uid="{00000000-0010-0000-0600-00000A000000}" name="Демонстрация/пробный доступ" dataDxfId="68"/>
    <tableColumn id="11" xr3:uid="{00000000-0010-0000-0600-00000B000000}" name="Доверительные элементы" dataDxfId="67"/>
    <tableColumn id="12" xr3:uid="{00000000-0010-0000-0600-00000C000000}" name="Сложность пути клиента 1-5" dataDxfId="66"/>
    <tableColumn id="13" xr3:uid="{00000000-0010-0000-0600-00000D000000}" name="Сила воронки 1-5" dataDxfId="65"/>
    <tableColumn id="14" xr3:uid="{00000000-0010-0000-0600-00000E000000}" name="Вывод о рынке и каналах" dataDxfId="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10" headerRowDxfId="63" dataDxfId="62" totalsRowDxfId="61">
  <tableColumns count="14">
    <tableColumn id="1" xr3:uid="{00000000-0010-0000-0700-000001000000}" name="ID конкурента" dataDxfId="60"/>
    <tableColumn id="2" xr3:uid="{00000000-0010-0000-0700-000002000000}" name="Название" dataDxfId="59"/>
    <tableColumn id="3" xr3:uid="{00000000-0010-0000-0700-000003000000}" name="Ключевые ресурсы" dataDxfId="58"/>
    <tableColumn id="4" xr3:uid="{00000000-0010-0000-0700-000004000000}" name="Ключевые процессы" dataDxfId="57"/>
    <tableColumn id="5" xr3:uid="{00000000-0010-0000-0700-000005000000}" name="Технологические признаки на сайте" dataDxfId="56"/>
    <tableColumn id="6" xr3:uid="{00000000-0010-0000-0700-000006000000}" name="Использование данных" dataDxfId="55"/>
    <tableColumn id="7" xr3:uid="{00000000-0010-0000-0700-000007000000}" name="Интеграции" dataDxfId="54"/>
    <tableColumn id="8" xr3:uid="{00000000-0010-0000-0700-000008000000}" name="Партнеры" dataDxfId="53"/>
    <tableColumn id="9" xr3:uid="{00000000-0010-0000-0700-000009000000}" name="Поддержка и сервис" dataDxfId="52"/>
    <tableColumn id="10" xr3:uid="{00000000-0010-0000-0700-00000A000000}" name="Признаки структуры затрат" dataDxfId="51"/>
    <tableColumn id="11" xr3:uid="{00000000-0010-0000-0700-00000B000000}" name="Масштабируемость 1-5" dataDxfId="50"/>
    <tableColumn id="12" xr3:uid="{00000000-0010-0000-0700-00000C000000}" name="Трудность копирования 1-5" dataDxfId="49"/>
    <tableColumn id="13" xr3:uid="{00000000-0010-0000-0700-00000D000000}" name="Операционный риск" dataDxfId="48"/>
    <tableColumn id="14" xr3:uid="{00000000-0010-0000-0700-00000E000000}" name="Вывод об устойчивости модели" dataDxfId="4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10" headerRowDxfId="46" dataDxfId="45" totalsRowDxfId="44">
  <tableColumns count="17">
    <tableColumn id="1" xr3:uid="{00000000-0010-0000-0800-000001000000}" name="ID конкурента" dataDxfId="43"/>
    <tableColumn id="2" xr3:uid="{00000000-0010-0000-0800-000002000000}" name="Название" dataDxfId="42"/>
    <tableColumn id="3" xr3:uid="{00000000-0010-0000-0800-000003000000}" name="Сегменты" dataDxfId="41"/>
    <tableColumn id="4" xr3:uid="{00000000-0010-0000-0800-000004000000}" name="Ценность" dataDxfId="40"/>
    <tableColumn id="5" xr3:uid="{00000000-0010-0000-0800-000005000000}" name="Товар" dataDxfId="39"/>
    <tableColumn id="6" xr3:uid="{00000000-0010-0000-0800-000006000000}" name="Каналы" dataDxfId="38"/>
    <tableColumn id="7" xr3:uid="{00000000-0010-0000-0800-000007000000}" name="Отношения" dataDxfId="37"/>
    <tableColumn id="8" xr3:uid="{00000000-0010-0000-0800-000008000000}" name="Доходы" dataDxfId="36"/>
    <tableColumn id="9" xr3:uid="{00000000-0010-0000-0800-000009000000}" name="Ресурсы" dataDxfId="35"/>
    <tableColumn id="10" xr3:uid="{00000000-0010-0000-0800-00000A000000}" name="Партнеры" dataDxfId="34"/>
    <tableColumn id="11" xr3:uid="{00000000-0010-0000-0800-00000B000000}" name="Данные/сеть" dataDxfId="33"/>
    <tableColumn id="12" xr3:uid="{00000000-0010-0000-0800-00000C000000}" name="Масштаб" dataDxfId="32"/>
    <tableColumn id="13" xr3:uid="{00000000-0010-0000-0800-00000D000000}" name="Защищенность" dataDxfId="31"/>
    <tableColumn id="14" xr3:uid="{00000000-0010-0000-0800-00000E000000}" name="Индекс силы" dataDxfId="30"/>
    <tableColumn id="15" xr3:uid="{00000000-0010-0000-0800-00000F000000}" name="Доказательность" dataDxfId="29"/>
    <tableColumn id="16" xr3:uid="{00000000-0010-0000-0800-000010000000}" name="Полнота" dataDxfId="28"/>
    <tableColumn id="17" xr3:uid="{00000000-0010-0000-0800-000011000000}" name="Итог с учетом надежности" dataDxfId="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15" headerRowDxfId="26" dataDxfId="25" totalsRowDxfId="24">
  <tableColumns count="8">
    <tableColumn id="1" xr3:uid="{00000000-0010-0000-0900-000001000000}" name="Практика/элемент" dataDxfId="23"/>
    <tableColumn id="2" xr3:uid="{00000000-0010-0000-0900-000002000000}" name="Блок бизнес-модели" dataDxfId="22"/>
    <tableColumn id="3" xr3:uid="{00000000-0010-0000-0900-000003000000}" name="Описание признака" dataDxfId="21"/>
    <tableColumn id="4" xr3:uid="{00000000-0010-0000-0900-000004000000}" name="Кол-во конкурентов с признаком" dataDxfId="20"/>
    <tableColumn id="5" xr3:uid="{00000000-0010-0000-0900-000005000000}" name="Доля конкурентов" dataDxfId="19"/>
    <tableColumn id="6" xr3:uid="{00000000-0010-0000-0900-000006000000}" name="Статус" dataDxfId="18"/>
    <tableColumn id="7" xr3:uid="{00000000-0010-0000-0900-000007000000}" name="Управленческий вывод" dataDxfId="17"/>
    <tableColumn id="8" xr3:uid="{00000000-0010-0000-0900-000008000000}" name="Подтверждающие URL/факты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11" headerRowDxfId="15" dataDxfId="14" totalsRowDxfId="13">
  <tableColumns count="13">
    <tableColumn id="1" xr3:uid="{00000000-0010-0000-0A00-000001000000}" name="ID конкурента" dataDxfId="12"/>
    <tableColumn id="2" xr3:uid="{00000000-0010-0000-0A00-000002000000}" name="Название" dataDxfId="11"/>
    <tableColumn id="3" xr3:uid="{00000000-0010-0000-0A00-000003000000}" name="Гипотеза преимущества" dataDxfId="10"/>
    <tableColumn id="4" xr3:uid="{00000000-0010-0000-0A00-000004000000}" name="Тип преимущества" dataDxfId="9"/>
    <tableColumn id="5" xr3:uid="{00000000-0010-0000-0A00-000005000000}" name="Связанный блок бизнес-модели" dataDxfId="8"/>
    <tableColumn id="6" xr3:uid="{00000000-0010-0000-0A00-000006000000}" name="Подтверждающие страницы" dataDxfId="7"/>
    <tableColumn id="7" xr3:uid="{00000000-0010-0000-0A00-000007000000}" name="Сила 1-5" dataDxfId="6"/>
    <tableColumn id="8" xr3:uid="{00000000-0010-0000-0A00-000008000000}" name="Трудность копирования 1-5" dataDxfId="5"/>
    <tableColumn id="9" xr3:uid="{00000000-0010-0000-0A00-000009000000}" name="Коммерческая значимость 1-5" dataDxfId="4"/>
    <tableColumn id="10" xr3:uid="{00000000-0010-0000-0A00-00000A000000}" name="Доказательность 1-5" dataDxfId="3"/>
    <tableColumn id="11" xr3:uid="{00000000-0010-0000-0A00-00000B000000}" name="Итоговый балл" dataDxfId="2"/>
    <tableColumn id="12" xr3:uid="{00000000-0010-0000-0A00-00000C000000}" name="Интерпретация" dataDxfId="1"/>
    <tableColumn id="13" xr3:uid="{00000000-0010-0000-0A00-00000D000000}" name="Риск для нашей модели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"/>
  <sheetViews>
    <sheetView zoomScale="75" workbookViewId="0">
      <selection activeCell="B15" sqref="B15"/>
    </sheetView>
  </sheetViews>
  <sheetFormatPr defaultRowHeight="13.5"/>
  <cols>
    <col min="1" max="1" width="36.125" style="24" customWidth="1"/>
    <col min="2" max="2" width="52.5625" style="24" customWidth="1"/>
    <col min="3" max="3" width="21.4375" style="24" customWidth="1"/>
    <col min="4" max="4" width="52.5625" style="24" customWidth="1"/>
    <col min="5" max="6" width="10.5625" style="24" customWidth="1"/>
    <col min="7" max="7" width="52.5625" style="24" customWidth="1"/>
    <col min="8" max="26" width="10.5625" style="24" customWidth="1"/>
    <col min="27" max="16384" width="9" style="24"/>
  </cols>
  <sheetData>
    <row r="1" spans="1:26" ht="20" customHeight="1">
      <c r="A1" s="33" t="s">
        <v>70</v>
      </c>
      <c r="B1" s="34"/>
      <c r="C1" s="34"/>
      <c r="D1" s="34"/>
      <c r="E1" s="34"/>
      <c r="F1" s="34"/>
      <c r="G1" s="34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6" ht="20" customHeight="1">
      <c r="A2" s="35" t="s">
        <v>739</v>
      </c>
      <c r="B2" s="36"/>
      <c r="C2" s="36"/>
      <c r="D2" s="36"/>
      <c r="E2" s="36"/>
      <c r="F2" s="36"/>
      <c r="G2" s="36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</row>
    <row r="3" spans="1:26" ht="14.25">
      <c r="A3" s="3" t="s">
        <v>71</v>
      </c>
      <c r="B3" s="3" t="s">
        <v>72</v>
      </c>
      <c r="C3" s="3" t="s">
        <v>703</v>
      </c>
      <c r="D3" s="8" t="s">
        <v>73</v>
      </c>
      <c r="E3" s="23"/>
      <c r="F3" s="3" t="s">
        <v>74</v>
      </c>
      <c r="G3" s="8" t="s">
        <v>75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76</v>
      </c>
      <c r="B4" s="5" t="s">
        <v>77</v>
      </c>
      <c r="C4" s="5" t="s">
        <v>731</v>
      </c>
      <c r="D4" s="9" t="s">
        <v>78</v>
      </c>
      <c r="E4" s="23"/>
      <c r="F4" s="5" t="s">
        <v>15</v>
      </c>
      <c r="G4" s="9" t="s">
        <v>704</v>
      </c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28.5">
      <c r="A5" s="5" t="s">
        <v>79</v>
      </c>
      <c r="B5" s="5" t="s">
        <v>80</v>
      </c>
      <c r="C5" s="5" t="s">
        <v>732</v>
      </c>
      <c r="D5" s="9" t="s">
        <v>81</v>
      </c>
      <c r="E5" s="23"/>
      <c r="F5" s="5" t="s">
        <v>24</v>
      </c>
      <c r="G5" s="9" t="s">
        <v>705</v>
      </c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42.75">
      <c r="A6" s="5" t="s">
        <v>82</v>
      </c>
      <c r="B6" s="5" t="s">
        <v>730</v>
      </c>
      <c r="C6" s="5" t="s">
        <v>733</v>
      </c>
      <c r="D6" s="9" t="s">
        <v>83</v>
      </c>
      <c r="E6" s="23"/>
      <c r="F6" s="5" t="s">
        <v>33</v>
      </c>
      <c r="G6" s="9" t="s">
        <v>706</v>
      </c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42.75">
      <c r="A7" s="5" t="s">
        <v>84</v>
      </c>
      <c r="B7" s="5" t="s">
        <v>85</v>
      </c>
      <c r="C7" s="5" t="s">
        <v>734</v>
      </c>
      <c r="D7" s="9" t="s">
        <v>86</v>
      </c>
      <c r="E7" s="23"/>
      <c r="F7" s="5" t="s">
        <v>41</v>
      </c>
      <c r="G7" s="9" t="s">
        <v>707</v>
      </c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42.75">
      <c r="A8" s="5" t="s">
        <v>87</v>
      </c>
      <c r="B8" s="5" t="s">
        <v>88</v>
      </c>
      <c r="C8" s="5" t="s">
        <v>735</v>
      </c>
      <c r="D8" s="9" t="s">
        <v>89</v>
      </c>
      <c r="E8" s="23"/>
      <c r="F8" s="6" t="s">
        <v>48</v>
      </c>
      <c r="G8" s="7" t="s">
        <v>708</v>
      </c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42.75">
      <c r="A9" s="5" t="s">
        <v>90</v>
      </c>
      <c r="B9" s="5" t="s">
        <v>91</v>
      </c>
      <c r="C9" s="5" t="s">
        <v>736</v>
      </c>
      <c r="D9" s="9" t="s">
        <v>92</v>
      </c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42.75">
      <c r="A10" s="5" t="s">
        <v>93</v>
      </c>
      <c r="B10" s="5" t="s">
        <v>94</v>
      </c>
      <c r="C10" s="5" t="s">
        <v>737</v>
      </c>
      <c r="D10" s="9" t="s">
        <v>95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28.5">
      <c r="A11" s="5" t="s">
        <v>96</v>
      </c>
      <c r="B11" s="5" t="s">
        <v>97</v>
      </c>
      <c r="C11" s="5" t="s">
        <v>738</v>
      </c>
      <c r="D11" s="9" t="s">
        <v>98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28.5">
      <c r="A12" s="5" t="s">
        <v>99</v>
      </c>
      <c r="B12" s="5" t="s">
        <v>100</v>
      </c>
      <c r="C12" s="5" t="s">
        <v>101</v>
      </c>
      <c r="D12" s="9" t="s">
        <v>102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28.5">
      <c r="A13" s="5" t="s">
        <v>103</v>
      </c>
      <c r="B13" s="5" t="s">
        <v>104</v>
      </c>
      <c r="C13" s="5" t="s">
        <v>105</v>
      </c>
      <c r="D13" s="9" t="s">
        <v>106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28.5">
      <c r="A14" s="6" t="s">
        <v>107</v>
      </c>
      <c r="B14" s="6" t="s">
        <v>108</v>
      </c>
      <c r="C14" s="6" t="s">
        <v>109</v>
      </c>
      <c r="D14" s="7" t="s">
        <v>110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"/>
  <sheetViews>
    <sheetView workbookViewId="0">
      <selection activeCell="C14" sqref="C14"/>
    </sheetView>
  </sheetViews>
  <sheetFormatPr defaultRowHeight="13.5"/>
  <cols>
    <col min="1" max="1" width="10.5625" style="24" customWidth="1"/>
    <col min="2" max="2" width="23.5" style="24" customWidth="1"/>
    <col min="3" max="3" width="32.9375" style="24" customWidth="1"/>
    <col min="4" max="4" width="52.5625" style="24" customWidth="1"/>
    <col min="5" max="5" width="18.25" style="24" customWidth="1"/>
    <col min="6" max="6" width="32.9375" style="24" customWidth="1"/>
    <col min="7" max="7" width="13" style="24" customWidth="1"/>
    <col min="8" max="8" width="18.25" style="24" customWidth="1"/>
    <col min="9" max="9" width="17.1875" style="24" customWidth="1"/>
    <col min="10" max="10" width="18.25" style="24" customWidth="1"/>
    <col min="11" max="11" width="14.0625" style="24" customWidth="1"/>
    <col min="12" max="26" width="10.5625" style="24" customWidth="1"/>
    <col min="27" max="16384" width="9" style="24"/>
  </cols>
  <sheetData>
    <row r="1" spans="1:26" ht="20" customHeight="1">
      <c r="A1" s="33" t="s">
        <v>111</v>
      </c>
      <c r="B1" s="34"/>
      <c r="C1" s="34"/>
      <c r="D1" s="34"/>
      <c r="E1" s="34"/>
      <c r="F1" s="34"/>
      <c r="G1" s="37"/>
      <c r="H1" s="27"/>
      <c r="I1" s="27"/>
      <c r="J1" s="27"/>
      <c r="K1" s="27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38" t="s">
        <v>740</v>
      </c>
      <c r="B2" s="39"/>
      <c r="C2" s="39"/>
      <c r="D2" s="39"/>
      <c r="E2" s="39"/>
      <c r="F2" s="39"/>
      <c r="G2" s="40"/>
      <c r="H2" s="28"/>
      <c r="I2" s="28"/>
      <c r="J2" s="28"/>
      <c r="K2" s="28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112</v>
      </c>
      <c r="B3" s="3" t="s">
        <v>113</v>
      </c>
      <c r="C3" s="3" t="s">
        <v>114</v>
      </c>
      <c r="D3" s="3" t="s">
        <v>115</v>
      </c>
      <c r="E3" s="3" t="s">
        <v>2</v>
      </c>
      <c r="F3" s="3" t="s">
        <v>116</v>
      </c>
      <c r="G3" s="3" t="s">
        <v>3</v>
      </c>
      <c r="H3" s="32" t="s">
        <v>746</v>
      </c>
      <c r="I3" s="29"/>
      <c r="J3" s="29"/>
      <c r="K3" s="29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25" t="s">
        <v>260</v>
      </c>
      <c r="B4" s="5" t="s">
        <v>261</v>
      </c>
      <c r="C4" s="5" t="s">
        <v>262</v>
      </c>
      <c r="D4" s="5" t="s">
        <v>263</v>
      </c>
      <c r="E4" s="5" t="s">
        <v>11</v>
      </c>
      <c r="F4" s="5" t="s">
        <v>264</v>
      </c>
      <c r="G4" s="5" t="s">
        <v>12</v>
      </c>
      <c r="H4" s="30" t="s">
        <v>39</v>
      </c>
      <c r="I4" s="31"/>
      <c r="J4" s="30"/>
      <c r="K4" s="30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25" t="s">
        <v>309</v>
      </c>
      <c r="B5" s="5" t="s">
        <v>310</v>
      </c>
      <c r="C5" s="5" t="s">
        <v>311</v>
      </c>
      <c r="D5" s="5" t="s">
        <v>312</v>
      </c>
      <c r="E5" s="5" t="s">
        <v>11</v>
      </c>
      <c r="F5" s="5" t="s">
        <v>313</v>
      </c>
      <c r="G5" s="5" t="s">
        <v>12</v>
      </c>
      <c r="H5" s="30" t="s">
        <v>39</v>
      </c>
      <c r="I5" s="31"/>
      <c r="J5" s="30"/>
      <c r="K5" s="30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25" t="s">
        <v>341</v>
      </c>
      <c r="B6" s="5" t="s">
        <v>342</v>
      </c>
      <c r="C6" s="5" t="s">
        <v>343</v>
      </c>
      <c r="D6" s="5" t="s">
        <v>344</v>
      </c>
      <c r="E6" s="5" t="s">
        <v>11</v>
      </c>
      <c r="F6" s="5" t="s">
        <v>345</v>
      </c>
      <c r="G6" s="5" t="s">
        <v>12</v>
      </c>
      <c r="H6" s="30" t="s">
        <v>39</v>
      </c>
      <c r="I6" s="31"/>
      <c r="J6" s="30"/>
      <c r="K6" s="30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25" t="s">
        <v>384</v>
      </c>
      <c r="B7" s="5" t="s">
        <v>385</v>
      </c>
      <c r="C7" s="5" t="s">
        <v>386</v>
      </c>
      <c r="D7" s="5" t="s">
        <v>387</v>
      </c>
      <c r="E7" s="5" t="s">
        <v>388</v>
      </c>
      <c r="F7" s="5" t="s">
        <v>389</v>
      </c>
      <c r="G7" s="5" t="s">
        <v>12</v>
      </c>
      <c r="H7" s="30" t="s">
        <v>39</v>
      </c>
      <c r="I7" s="31"/>
      <c r="J7" s="30"/>
      <c r="K7" s="30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25" t="s">
        <v>426</v>
      </c>
      <c r="B8" s="5" t="s">
        <v>427</v>
      </c>
      <c r="C8" s="5" t="s">
        <v>428</v>
      </c>
      <c r="D8" s="5" t="s">
        <v>429</v>
      </c>
      <c r="E8" s="5" t="s">
        <v>29</v>
      </c>
      <c r="F8" s="5" t="s">
        <v>389</v>
      </c>
      <c r="G8" s="5" t="s">
        <v>12</v>
      </c>
      <c r="H8" s="30" t="s">
        <v>39</v>
      </c>
      <c r="I8" s="31"/>
      <c r="J8" s="30"/>
      <c r="K8" s="30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28.5">
      <c r="A9" s="25" t="s">
        <v>464</v>
      </c>
      <c r="B9" s="5" t="s">
        <v>465</v>
      </c>
      <c r="C9" s="5" t="s">
        <v>466</v>
      </c>
      <c r="D9" s="5" t="s">
        <v>467</v>
      </c>
      <c r="E9" s="5" t="s">
        <v>29</v>
      </c>
      <c r="F9" s="5" t="s">
        <v>468</v>
      </c>
      <c r="G9" s="5" t="s">
        <v>12</v>
      </c>
      <c r="H9" s="30" t="s">
        <v>39</v>
      </c>
      <c r="I9" s="31"/>
      <c r="J9" s="30"/>
      <c r="K9" s="30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28.5">
      <c r="A10" s="26" t="s">
        <v>504</v>
      </c>
      <c r="B10" s="6" t="s">
        <v>505</v>
      </c>
      <c r="C10" s="6" t="s">
        <v>506</v>
      </c>
      <c r="D10" s="6" t="s">
        <v>507</v>
      </c>
      <c r="E10" s="6" t="s">
        <v>388</v>
      </c>
      <c r="F10" s="6" t="s">
        <v>264</v>
      </c>
      <c r="G10" s="6" t="s">
        <v>12</v>
      </c>
      <c r="H10" s="30" t="s">
        <v>39</v>
      </c>
      <c r="I10" s="31"/>
      <c r="J10" s="30"/>
      <c r="K10" s="30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2">
    <mergeCell ref="A1:G1"/>
    <mergeCell ref="A2:G2"/>
  </mergeCells>
  <dataValidations count="3">
    <dataValidation type="list" sqref="E4:E10" xr:uid="{00000000-0002-0000-0200-000000000000}">
      <formula1>"прямой,косвенный,заменитель,эталон лучшей практики,смежная модель"</formula1>
    </dataValidation>
    <dataValidation type="list" sqref="G4:G10" xr:uid="{00000000-0002-0000-0200-000001000000}">
      <formula1>"высокий,средний,низкий"</formula1>
    </dataValidation>
    <dataValidation type="list" sqref="H4:H10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5"/>
  <sheetViews>
    <sheetView topLeftCell="A29" workbookViewId="0">
      <selection activeCell="D39" sqref="D39"/>
    </sheetView>
  </sheetViews>
  <sheetFormatPr defaultRowHeight="13.5"/>
  <cols>
    <col min="1" max="1" width="10.9375" style="24" customWidth="1"/>
    <col min="2" max="2" width="17.1875" style="24" customWidth="1"/>
    <col min="3" max="3" width="15.125" style="24" customWidth="1"/>
    <col min="4" max="4" width="22.4375" style="24" customWidth="1"/>
    <col min="5" max="5" width="52.5625" style="24" customWidth="1"/>
    <col min="6" max="6" width="22.4375" style="24" customWidth="1"/>
    <col min="7" max="7" width="52.5625" style="24" customWidth="1"/>
    <col min="8" max="8" width="26.6875" style="24" customWidth="1"/>
    <col min="9" max="9" width="23.5" style="24" customWidth="1"/>
    <col min="10" max="10" width="17.1875" style="24" customWidth="1"/>
    <col min="11" max="11" width="19.3125" style="24" customWidth="1"/>
    <col min="12" max="12" width="52.5625" style="24" customWidth="1"/>
    <col min="13" max="26" width="10.5625" style="24" customWidth="1"/>
    <col min="27" max="16384" width="9" style="24"/>
  </cols>
  <sheetData>
    <row r="1" spans="1:26" ht="20" customHeight="1">
      <c r="A1" s="41" t="s">
        <v>118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2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741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4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119</v>
      </c>
      <c r="B3" s="3" t="s">
        <v>120</v>
      </c>
      <c r="C3" s="3" t="s">
        <v>121</v>
      </c>
      <c r="D3" s="3" t="s">
        <v>122</v>
      </c>
      <c r="E3" s="3" t="s">
        <v>123</v>
      </c>
      <c r="F3" s="3" t="s">
        <v>124</v>
      </c>
      <c r="G3" s="3" t="s">
        <v>125</v>
      </c>
      <c r="H3" s="3" t="s">
        <v>5</v>
      </c>
      <c r="I3" s="3" t="s">
        <v>126</v>
      </c>
      <c r="J3" s="3" t="s">
        <v>117</v>
      </c>
      <c r="K3" s="3" t="s">
        <v>127</v>
      </c>
      <c r="L3" s="8" t="s">
        <v>128</v>
      </c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538</v>
      </c>
      <c r="B4" s="5" t="s">
        <v>260</v>
      </c>
      <c r="C4" s="5" t="str">
        <f>IF($B4="","",IFERROR(VLOOKUP($B4,'2_Конкуренты'!$A$4:$B$10,2,FALSE),"не найдено"))</f>
        <v>PerfectXL</v>
      </c>
      <c r="D4" s="5" t="s">
        <v>539</v>
      </c>
      <c r="E4" s="5" t="s">
        <v>262</v>
      </c>
      <c r="F4" s="5" t="s">
        <v>539</v>
      </c>
      <c r="G4" s="5" t="s">
        <v>540</v>
      </c>
      <c r="H4" s="5" t="s">
        <v>23</v>
      </c>
      <c r="I4" s="5">
        <v>4</v>
      </c>
      <c r="J4" s="13" t="s">
        <v>265</v>
      </c>
      <c r="K4" s="5" t="s">
        <v>541</v>
      </c>
      <c r="L4" s="9" t="s">
        <v>542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28.5">
      <c r="A5" s="5" t="s">
        <v>543</v>
      </c>
      <c r="B5" s="5" t="s">
        <v>260</v>
      </c>
      <c r="C5" s="5" t="str">
        <f>IF($B5="","",IFERROR(VLOOKUP($B5,'2_Конкуренты'!$A$4:$B$10,2,FALSE),"не найдено"))</f>
        <v>PerfectXL</v>
      </c>
      <c r="D5" s="5" t="s">
        <v>544</v>
      </c>
      <c r="E5" s="5" t="s">
        <v>545</v>
      </c>
      <c r="F5" s="5" t="s">
        <v>544</v>
      </c>
      <c r="G5" s="5" t="s">
        <v>709</v>
      </c>
      <c r="H5" s="5" t="s">
        <v>53</v>
      </c>
      <c r="I5" s="5">
        <v>5</v>
      </c>
      <c r="J5" s="13" t="s">
        <v>265</v>
      </c>
      <c r="K5" s="5" t="s">
        <v>541</v>
      </c>
      <c r="L5" s="9" t="s">
        <v>546</v>
      </c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28.5">
      <c r="A6" s="5" t="s">
        <v>547</v>
      </c>
      <c r="B6" s="5" t="s">
        <v>309</v>
      </c>
      <c r="C6" s="5" t="str">
        <f>IF($B6="","",IFERROR(VLOOKUP($B6,'2_Конкуренты'!$A$4:$B$10,2,FALSE),"не найдено"))</f>
        <v>Arixcel</v>
      </c>
      <c r="D6" s="5" t="s">
        <v>539</v>
      </c>
      <c r="E6" s="5" t="s">
        <v>311</v>
      </c>
      <c r="F6" s="5" t="s">
        <v>539</v>
      </c>
      <c r="G6" s="5" t="s">
        <v>710</v>
      </c>
      <c r="H6" s="5" t="s">
        <v>23</v>
      </c>
      <c r="I6" s="5">
        <v>4</v>
      </c>
      <c r="J6" s="13" t="s">
        <v>265</v>
      </c>
      <c r="K6" s="5" t="s">
        <v>541</v>
      </c>
      <c r="L6" s="9" t="s">
        <v>548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28.5">
      <c r="A7" s="5" t="s">
        <v>549</v>
      </c>
      <c r="B7" s="5" t="s">
        <v>341</v>
      </c>
      <c r="C7" s="5" t="str">
        <f>IF($B7="","",IFERROR(VLOOKUP($B7,'2_Конкуренты'!$A$4:$B$10,2,FALSE),"не найдено"))</f>
        <v>Operis</v>
      </c>
      <c r="D7" s="5" t="s">
        <v>539</v>
      </c>
      <c r="E7" s="5" t="s">
        <v>311</v>
      </c>
      <c r="F7" s="5" t="s">
        <v>539</v>
      </c>
      <c r="G7" s="5" t="s">
        <v>550</v>
      </c>
      <c r="H7" s="5" t="s">
        <v>23</v>
      </c>
      <c r="I7" s="5">
        <v>4</v>
      </c>
      <c r="J7" s="13" t="s">
        <v>265</v>
      </c>
      <c r="K7" s="5" t="s">
        <v>541</v>
      </c>
      <c r="L7" s="9" t="s">
        <v>551</v>
      </c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552</v>
      </c>
      <c r="B8" s="5" t="s">
        <v>384</v>
      </c>
      <c r="C8" s="5" t="str">
        <f>IF($B8="","",IFERROR(VLOOKUP($B8,'2_Конкуренты'!$A$4:$B$10,2,FALSE),"не найдено"))</f>
        <v>Shortcut</v>
      </c>
      <c r="D8" s="5" t="s">
        <v>539</v>
      </c>
      <c r="E8" s="5" t="s">
        <v>386</v>
      </c>
      <c r="F8" s="5" t="s">
        <v>539</v>
      </c>
      <c r="G8" s="5" t="s">
        <v>553</v>
      </c>
      <c r="H8" s="5" t="s">
        <v>23</v>
      </c>
      <c r="I8" s="5">
        <v>5</v>
      </c>
      <c r="J8" s="13" t="s">
        <v>265</v>
      </c>
      <c r="K8" s="5" t="s">
        <v>541</v>
      </c>
      <c r="L8" s="9" t="s">
        <v>554</v>
      </c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555</v>
      </c>
      <c r="B9" s="5" t="s">
        <v>384</v>
      </c>
      <c r="C9" s="5" t="str">
        <f>IF($B9="","",IFERROR(VLOOKUP($B9,'2_Конкуренты'!$A$4:$B$10,2,FALSE),"не найдено"))</f>
        <v>Shortcut</v>
      </c>
      <c r="D9" s="5" t="s">
        <v>544</v>
      </c>
      <c r="E9" s="5" t="s">
        <v>556</v>
      </c>
      <c r="F9" s="5" t="s">
        <v>544</v>
      </c>
      <c r="G9" s="5" t="s">
        <v>711</v>
      </c>
      <c r="H9" s="5" t="s">
        <v>53</v>
      </c>
      <c r="I9" s="5">
        <v>5</v>
      </c>
      <c r="J9" s="13" t="s">
        <v>265</v>
      </c>
      <c r="K9" s="5" t="s">
        <v>541</v>
      </c>
      <c r="L9" s="9" t="s">
        <v>557</v>
      </c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5" t="s">
        <v>558</v>
      </c>
      <c r="B10" s="5" t="s">
        <v>426</v>
      </c>
      <c r="C10" s="5" t="str">
        <f>IF($B10="","",IFERROR(VLOOKUP($B10,'2_Конкуренты'!$A$4:$B$10,2,FALSE),"не найдено"))</f>
        <v>Numerous.ai</v>
      </c>
      <c r="D10" s="5" t="s">
        <v>539</v>
      </c>
      <c r="E10" s="5" t="s">
        <v>428</v>
      </c>
      <c r="F10" s="5" t="s">
        <v>539</v>
      </c>
      <c r="G10" s="5" t="s">
        <v>559</v>
      </c>
      <c r="H10" s="5" t="s">
        <v>23</v>
      </c>
      <c r="I10" s="5">
        <v>4</v>
      </c>
      <c r="J10" s="13" t="s">
        <v>265</v>
      </c>
      <c r="K10" s="5" t="s">
        <v>541</v>
      </c>
      <c r="L10" s="9" t="s">
        <v>560</v>
      </c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4.25">
      <c r="A11" s="5" t="s">
        <v>561</v>
      </c>
      <c r="B11" s="5" t="s">
        <v>426</v>
      </c>
      <c r="C11" s="5" t="str">
        <f>IF($B11="","",IFERROR(VLOOKUP($B11,'2_Конкуренты'!$A$4:$B$10,2,FALSE),"не найдено"))</f>
        <v>Numerous.ai</v>
      </c>
      <c r="D11" s="5" t="s">
        <v>544</v>
      </c>
      <c r="E11" s="5" t="s">
        <v>562</v>
      </c>
      <c r="F11" s="5" t="s">
        <v>544</v>
      </c>
      <c r="G11" s="5" t="s">
        <v>712</v>
      </c>
      <c r="H11" s="5" t="s">
        <v>53</v>
      </c>
      <c r="I11" s="5">
        <v>5</v>
      </c>
      <c r="J11" s="13" t="s">
        <v>265</v>
      </c>
      <c r="K11" s="5" t="s">
        <v>541</v>
      </c>
      <c r="L11" s="9" t="s">
        <v>563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4.25">
      <c r="A12" s="5" t="s">
        <v>564</v>
      </c>
      <c r="B12" s="5" t="s">
        <v>464</v>
      </c>
      <c r="C12" s="5" t="str">
        <f>IF($B12="","",IFERROR(VLOOKUP($B12,'2_Конкуренты'!$A$4:$B$10,2,FALSE),"не найдено"))</f>
        <v>Datarails</v>
      </c>
      <c r="D12" s="5" t="s">
        <v>539</v>
      </c>
      <c r="E12" s="5" t="s">
        <v>466</v>
      </c>
      <c r="F12" s="5" t="s">
        <v>539</v>
      </c>
      <c r="G12" s="5" t="s">
        <v>565</v>
      </c>
      <c r="H12" s="5" t="s">
        <v>23</v>
      </c>
      <c r="I12" s="5">
        <v>4</v>
      </c>
      <c r="J12" s="13" t="s">
        <v>265</v>
      </c>
      <c r="K12" s="5" t="s">
        <v>541</v>
      </c>
      <c r="L12" s="9" t="s">
        <v>566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28.5">
      <c r="A13" s="5" t="s">
        <v>567</v>
      </c>
      <c r="B13" s="5" t="s">
        <v>504</v>
      </c>
      <c r="C13" s="5" t="str">
        <f>IF($B13="","",IFERROR(VLOOKUP($B13,'2_Конкуренты'!$A$4:$B$10,2,FALSE),"не найдено"))</f>
        <v>DataSnipper</v>
      </c>
      <c r="D13" s="5" t="s">
        <v>539</v>
      </c>
      <c r="E13" s="5" t="s">
        <v>506</v>
      </c>
      <c r="F13" s="5" t="s">
        <v>539</v>
      </c>
      <c r="G13" s="5" t="s">
        <v>568</v>
      </c>
      <c r="H13" s="5" t="s">
        <v>23</v>
      </c>
      <c r="I13" s="5">
        <v>5</v>
      </c>
      <c r="J13" s="13" t="s">
        <v>265</v>
      </c>
      <c r="K13" s="5" t="s">
        <v>541</v>
      </c>
      <c r="L13" s="9" t="s">
        <v>569</v>
      </c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4.25">
      <c r="A14" s="5" t="s">
        <v>570</v>
      </c>
      <c r="B14" s="5" t="s">
        <v>384</v>
      </c>
      <c r="C14" s="5" t="str">
        <f>IF($B14="","",IFERROR(VLOOKUP($B14,'2_Конкуренты'!$A$4:$B$10,2,FALSE),"не найдено"))</f>
        <v>Shortcut</v>
      </c>
      <c r="D14" s="5" t="s">
        <v>571</v>
      </c>
      <c r="E14" s="5" t="s">
        <v>572</v>
      </c>
      <c r="F14" s="5" t="s">
        <v>571</v>
      </c>
      <c r="G14" s="5" t="s">
        <v>573</v>
      </c>
      <c r="H14" s="5" t="s">
        <v>47</v>
      </c>
      <c r="I14" s="5">
        <v>3</v>
      </c>
      <c r="J14" s="13" t="s">
        <v>265</v>
      </c>
      <c r="K14" s="5" t="s">
        <v>541</v>
      </c>
      <c r="L14" s="9" t="s">
        <v>574</v>
      </c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4.25">
      <c r="A15" s="5" t="s">
        <v>575</v>
      </c>
      <c r="B15" s="5" t="s">
        <v>464</v>
      </c>
      <c r="C15" s="5" t="str">
        <f>IF($B15="","",IFERROR(VLOOKUP($B15,'2_Конкуренты'!$A$4:$B$10,2,FALSE),"не найдено"))</f>
        <v>Datarails</v>
      </c>
      <c r="D15" s="5" t="s">
        <v>571</v>
      </c>
      <c r="E15" s="5" t="s">
        <v>576</v>
      </c>
      <c r="F15" s="5" t="s">
        <v>571</v>
      </c>
      <c r="G15" s="5" t="s">
        <v>577</v>
      </c>
      <c r="H15" s="5" t="s">
        <v>47</v>
      </c>
      <c r="I15" s="5">
        <v>5</v>
      </c>
      <c r="J15" s="13" t="s">
        <v>265</v>
      </c>
      <c r="K15" s="5" t="s">
        <v>541</v>
      </c>
      <c r="L15" s="9" t="s">
        <v>578</v>
      </c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4.25">
      <c r="A16" s="5" t="s">
        <v>579</v>
      </c>
      <c r="B16" s="5" t="s">
        <v>260</v>
      </c>
      <c r="C16" s="5" t="str">
        <f>IF($B16="","",IFERROR(VLOOKUP($B16,'2_Конкуренты'!$A$4:$B$10,2,FALSE),"не найдено"))</f>
        <v>PerfectXL</v>
      </c>
      <c r="D16" s="5" t="s">
        <v>571</v>
      </c>
      <c r="E16" s="5" t="s">
        <v>580</v>
      </c>
      <c r="F16" s="5" t="s">
        <v>571</v>
      </c>
      <c r="G16" s="5" t="s">
        <v>581</v>
      </c>
      <c r="H16" s="5" t="s">
        <v>47</v>
      </c>
      <c r="I16" s="5">
        <v>3</v>
      </c>
      <c r="J16" s="13" t="s">
        <v>265</v>
      </c>
      <c r="K16" s="5" t="s">
        <v>541</v>
      </c>
      <c r="L16" s="9" t="s">
        <v>574</v>
      </c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4.25">
      <c r="A17" s="5" t="s">
        <v>582</v>
      </c>
      <c r="B17" s="5" t="s">
        <v>309</v>
      </c>
      <c r="C17" s="5" t="str">
        <f>IF($B17="","",IFERROR(VLOOKUP($B17,'2_Конкуренты'!$A$4:$B$10,2,FALSE),"не найдено"))</f>
        <v>Arixcel</v>
      </c>
      <c r="D17" s="5" t="s">
        <v>571</v>
      </c>
      <c r="E17" s="5" t="s">
        <v>583</v>
      </c>
      <c r="F17" s="5" t="s">
        <v>571</v>
      </c>
      <c r="G17" s="5" t="s">
        <v>584</v>
      </c>
      <c r="H17" s="5" t="s">
        <v>47</v>
      </c>
      <c r="I17" s="5">
        <v>3</v>
      </c>
      <c r="J17" s="13" t="s">
        <v>265</v>
      </c>
      <c r="K17" s="5" t="s">
        <v>541</v>
      </c>
      <c r="L17" s="9" t="s">
        <v>585</v>
      </c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28.5">
      <c r="A18" s="5" t="s">
        <v>586</v>
      </c>
      <c r="B18" s="5" t="s">
        <v>341</v>
      </c>
      <c r="C18" s="5" t="str">
        <f>IF($B18="","",IFERROR(VLOOKUP($B18,'2_Конкуренты'!$A$4:$B$10,2,FALSE),"не найдено"))</f>
        <v>Operis</v>
      </c>
      <c r="D18" s="5" t="s">
        <v>587</v>
      </c>
      <c r="E18" s="5" t="s">
        <v>588</v>
      </c>
      <c r="F18" s="5" t="s">
        <v>587</v>
      </c>
      <c r="G18" s="5" t="s">
        <v>589</v>
      </c>
      <c r="H18" s="5" t="s">
        <v>40</v>
      </c>
      <c r="I18" s="5">
        <v>3</v>
      </c>
      <c r="J18" s="13" t="s">
        <v>265</v>
      </c>
      <c r="K18" s="5" t="s">
        <v>541</v>
      </c>
      <c r="L18" s="9" t="s">
        <v>590</v>
      </c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4.25">
      <c r="A19" s="5" t="s">
        <v>591</v>
      </c>
      <c r="B19" s="5" t="s">
        <v>504</v>
      </c>
      <c r="C19" s="5" t="str">
        <f>IF($B19="","",IFERROR(VLOOKUP($B19,'2_Конкуренты'!$A$4:$B$10,2,FALSE),"не найдено"))</f>
        <v>DataSnipper</v>
      </c>
      <c r="D19" s="5" t="s">
        <v>587</v>
      </c>
      <c r="E19" s="5" t="s">
        <v>588</v>
      </c>
      <c r="F19" s="5" t="s">
        <v>587</v>
      </c>
      <c r="G19" s="5" t="s">
        <v>592</v>
      </c>
      <c r="H19" s="5" t="s">
        <v>40</v>
      </c>
      <c r="I19" s="5">
        <v>4</v>
      </c>
      <c r="J19" s="13" t="s">
        <v>265</v>
      </c>
      <c r="K19" s="5" t="s">
        <v>541</v>
      </c>
      <c r="L19" s="9" t="s">
        <v>593</v>
      </c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spans="1:26" ht="28.5">
      <c r="A20" s="5" t="s">
        <v>594</v>
      </c>
      <c r="B20" s="5" t="s">
        <v>504</v>
      </c>
      <c r="C20" s="5" t="str">
        <f>IF($B20="","",IFERROR(VLOOKUP($B20,'2_Конкуренты'!$A$4:$B$10,2,FALSE),"не найдено"))</f>
        <v>DataSnipper</v>
      </c>
      <c r="D20" s="5" t="s">
        <v>595</v>
      </c>
      <c r="E20" s="5" t="s">
        <v>596</v>
      </c>
      <c r="F20" s="5" t="s">
        <v>595</v>
      </c>
      <c r="G20" s="5" t="s">
        <v>597</v>
      </c>
      <c r="H20" s="5" t="s">
        <v>32</v>
      </c>
      <c r="I20" s="5">
        <v>5</v>
      </c>
      <c r="J20" s="13" t="s">
        <v>265</v>
      </c>
      <c r="K20" s="5" t="s">
        <v>541</v>
      </c>
      <c r="L20" s="9" t="s">
        <v>598</v>
      </c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14.25">
      <c r="A21" s="5" t="s">
        <v>599</v>
      </c>
      <c r="B21" s="5" t="s">
        <v>504</v>
      </c>
      <c r="C21" s="5" t="str">
        <f>IF($B21="","",IFERROR(VLOOKUP($B21,'2_Конкуренты'!$A$4:$B$10,2,FALSE),"не найдено"))</f>
        <v>DataSnipper</v>
      </c>
      <c r="D21" s="5" t="s">
        <v>544</v>
      </c>
      <c r="E21" s="5" t="s">
        <v>600</v>
      </c>
      <c r="F21" s="5" t="s">
        <v>544</v>
      </c>
      <c r="G21" s="5" t="s">
        <v>601</v>
      </c>
      <c r="H21" s="5" t="s">
        <v>53</v>
      </c>
      <c r="I21" s="5">
        <v>4</v>
      </c>
      <c r="J21" s="13" t="s">
        <v>265</v>
      </c>
      <c r="K21" s="5" t="s">
        <v>541</v>
      </c>
      <c r="L21" s="9" t="s">
        <v>602</v>
      </c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spans="1:26" ht="28.5">
      <c r="A22" s="5" t="s">
        <v>603</v>
      </c>
      <c r="B22" s="5" t="s">
        <v>504</v>
      </c>
      <c r="C22" s="5" t="str">
        <f>IF($B22="","",IFERROR(VLOOKUP($B22,'2_Конкуренты'!$A$4:$B$10,2,FALSE),"не найдено"))</f>
        <v>DataSnipper</v>
      </c>
      <c r="D22" s="5" t="s">
        <v>186</v>
      </c>
      <c r="E22" s="5" t="s">
        <v>604</v>
      </c>
      <c r="F22" s="5" t="s">
        <v>186</v>
      </c>
      <c r="G22" s="5" t="s">
        <v>605</v>
      </c>
      <c r="H22" s="5" t="s">
        <v>32</v>
      </c>
      <c r="I22" s="5">
        <v>4</v>
      </c>
      <c r="J22" s="13" t="s">
        <v>265</v>
      </c>
      <c r="K22" s="5" t="s">
        <v>541</v>
      </c>
      <c r="L22" s="9" t="s">
        <v>606</v>
      </c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spans="1:26" ht="14.25">
      <c r="A23" s="5" t="s">
        <v>607</v>
      </c>
      <c r="B23" s="5" t="s">
        <v>504</v>
      </c>
      <c r="C23" s="5" t="str">
        <f>IF($B23="","",IFERROR(VLOOKUP($B23,'2_Конкуренты'!$A$4:$B$10,2,FALSE),"не найдено"))</f>
        <v>DataSnipper</v>
      </c>
      <c r="D23" s="5" t="s">
        <v>608</v>
      </c>
      <c r="E23" s="5" t="s">
        <v>609</v>
      </c>
      <c r="F23" s="5" t="s">
        <v>608</v>
      </c>
      <c r="G23" s="5" t="s">
        <v>610</v>
      </c>
      <c r="H23" s="5" t="s">
        <v>47</v>
      </c>
      <c r="I23" s="5">
        <v>3</v>
      </c>
      <c r="J23" s="13" t="s">
        <v>265</v>
      </c>
      <c r="K23" s="5" t="s">
        <v>541</v>
      </c>
      <c r="L23" s="9" t="s">
        <v>611</v>
      </c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spans="1:26" ht="28.5">
      <c r="A24" s="5" t="s">
        <v>612</v>
      </c>
      <c r="B24" s="5" t="s">
        <v>464</v>
      </c>
      <c r="C24" s="5" t="str">
        <f>IF($B24="","",IFERROR(VLOOKUP($B24,'2_Конкуренты'!$A$4:$B$10,2,FALSE),"не найдено"))</f>
        <v>Datarails</v>
      </c>
      <c r="D24" s="5" t="s">
        <v>544</v>
      </c>
      <c r="E24" s="5" t="s">
        <v>613</v>
      </c>
      <c r="F24" s="5" t="s">
        <v>544</v>
      </c>
      <c r="G24" s="5" t="s">
        <v>614</v>
      </c>
      <c r="H24" s="5" t="s">
        <v>53</v>
      </c>
      <c r="I24" s="5">
        <v>4</v>
      </c>
      <c r="J24" s="13" t="s">
        <v>265</v>
      </c>
      <c r="K24" s="5" t="s">
        <v>541</v>
      </c>
      <c r="L24" s="9" t="s">
        <v>486</v>
      </c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spans="1:26" ht="28.5">
      <c r="A25" s="5" t="s">
        <v>615</v>
      </c>
      <c r="B25" s="5" t="s">
        <v>464</v>
      </c>
      <c r="C25" s="5" t="str">
        <f>IF($B25="","",IFERROR(VLOOKUP($B25,'2_Конкуренты'!$A$4:$B$10,2,FALSE),"не найдено"))</f>
        <v>Datarails</v>
      </c>
      <c r="D25" s="5" t="s">
        <v>616</v>
      </c>
      <c r="E25" s="5" t="s">
        <v>617</v>
      </c>
      <c r="F25" s="5" t="s">
        <v>616</v>
      </c>
      <c r="G25" s="5" t="s">
        <v>618</v>
      </c>
      <c r="H25" s="5" t="s">
        <v>32</v>
      </c>
      <c r="I25" s="5">
        <v>5</v>
      </c>
      <c r="J25" s="13" t="s">
        <v>265</v>
      </c>
      <c r="K25" s="5" t="s">
        <v>541</v>
      </c>
      <c r="L25" s="9" t="s">
        <v>619</v>
      </c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28.5">
      <c r="A26" s="5" t="s">
        <v>620</v>
      </c>
      <c r="B26" s="5" t="s">
        <v>464</v>
      </c>
      <c r="C26" s="5" t="str">
        <f>IF($B26="","",IFERROR(VLOOKUP($B26,'2_Конкуренты'!$A$4:$B$10,2,FALSE),"не найдено"))</f>
        <v>Datarails</v>
      </c>
      <c r="D26" s="5" t="s">
        <v>186</v>
      </c>
      <c r="E26" s="5" t="s">
        <v>621</v>
      </c>
      <c r="F26" s="5" t="s">
        <v>186</v>
      </c>
      <c r="G26" s="5" t="s">
        <v>622</v>
      </c>
      <c r="H26" s="5" t="s">
        <v>32</v>
      </c>
      <c r="I26" s="5">
        <v>4</v>
      </c>
      <c r="J26" s="13" t="s">
        <v>265</v>
      </c>
      <c r="K26" s="5" t="s">
        <v>541</v>
      </c>
      <c r="L26" s="9" t="s">
        <v>623</v>
      </c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spans="1:26" ht="14.25">
      <c r="A27" s="5" t="s">
        <v>624</v>
      </c>
      <c r="B27" s="5" t="s">
        <v>464</v>
      </c>
      <c r="C27" s="5" t="str">
        <f>IF($B27="","",IFERROR(VLOOKUP($B27,'2_Конкуренты'!$A$4:$B$10,2,FALSE),"не найдено"))</f>
        <v>Datarails</v>
      </c>
      <c r="D27" s="5" t="s">
        <v>608</v>
      </c>
      <c r="E27" s="5" t="s">
        <v>625</v>
      </c>
      <c r="F27" s="5" t="s">
        <v>608</v>
      </c>
      <c r="G27" s="5" t="s">
        <v>626</v>
      </c>
      <c r="H27" s="5" t="s">
        <v>47</v>
      </c>
      <c r="I27" s="5">
        <v>5</v>
      </c>
      <c r="J27" s="13" t="s">
        <v>265</v>
      </c>
      <c r="K27" s="5" t="s">
        <v>541</v>
      </c>
      <c r="L27" s="9" t="s">
        <v>611</v>
      </c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spans="1:26" ht="28.5">
      <c r="A28" s="5" t="s">
        <v>627</v>
      </c>
      <c r="B28" s="5" t="s">
        <v>309</v>
      </c>
      <c r="C28" s="5" t="str">
        <f>IF($B28="","",IFERROR(VLOOKUP($B28,'2_Конкуренты'!$A$4:$B$10,2,FALSE),"не найдено"))</f>
        <v>Arixcel</v>
      </c>
      <c r="D28" s="5" t="s">
        <v>628</v>
      </c>
      <c r="E28" s="5" t="s">
        <v>629</v>
      </c>
      <c r="F28" s="5" t="s">
        <v>628</v>
      </c>
      <c r="G28" s="5" t="s">
        <v>713</v>
      </c>
      <c r="H28" s="5" t="s">
        <v>32</v>
      </c>
      <c r="I28" s="5">
        <v>5</v>
      </c>
      <c r="J28" s="13" t="s">
        <v>265</v>
      </c>
      <c r="K28" s="5" t="s">
        <v>541</v>
      </c>
      <c r="L28" s="9" t="s">
        <v>630</v>
      </c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spans="1:26" ht="28.5">
      <c r="A29" s="5" t="s">
        <v>631</v>
      </c>
      <c r="B29" s="5" t="s">
        <v>341</v>
      </c>
      <c r="C29" s="5" t="str">
        <f>IF($B29="","",IFERROR(VLOOKUP($B29,'2_Конкуренты'!$A$4:$B$10,2,FALSE),"не найдено"))</f>
        <v>Operis</v>
      </c>
      <c r="D29" s="5" t="s">
        <v>632</v>
      </c>
      <c r="E29" s="5" t="s">
        <v>633</v>
      </c>
      <c r="F29" s="5" t="s">
        <v>632</v>
      </c>
      <c r="G29" s="5" t="s">
        <v>714</v>
      </c>
      <c r="H29" s="5" t="s">
        <v>53</v>
      </c>
      <c r="I29" s="5">
        <v>5</v>
      </c>
      <c r="J29" s="13" t="s">
        <v>265</v>
      </c>
      <c r="K29" s="5" t="s">
        <v>541</v>
      </c>
      <c r="L29" s="9" t="s">
        <v>634</v>
      </c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spans="1:26" ht="28.5">
      <c r="A30" s="5" t="s">
        <v>635</v>
      </c>
      <c r="B30" s="5" t="s">
        <v>384</v>
      </c>
      <c r="C30" s="5" t="str">
        <f>IF($B30="","",IFERROR(VLOOKUP($B30,'2_Конкуренты'!$A$4:$B$10,2,FALSE),"не найдено"))</f>
        <v>Shortcut</v>
      </c>
      <c r="D30" s="5" t="s">
        <v>595</v>
      </c>
      <c r="E30" s="5" t="s">
        <v>636</v>
      </c>
      <c r="F30" s="5" t="s">
        <v>595</v>
      </c>
      <c r="G30" s="5" t="s">
        <v>637</v>
      </c>
      <c r="H30" s="5" t="s">
        <v>32</v>
      </c>
      <c r="I30" s="5">
        <v>5</v>
      </c>
      <c r="J30" s="13" t="s">
        <v>265</v>
      </c>
      <c r="K30" s="5" t="s">
        <v>541</v>
      </c>
      <c r="L30" s="9" t="s">
        <v>638</v>
      </c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spans="1:26" ht="28.5">
      <c r="A31" s="5" t="s">
        <v>639</v>
      </c>
      <c r="B31" s="5" t="s">
        <v>426</v>
      </c>
      <c r="C31" s="5" t="str">
        <f>IF($B31="","",IFERROR(VLOOKUP($B31,'2_Конкуренты'!$A$4:$B$10,2,FALSE),"не найдено"))</f>
        <v>Numerous.ai</v>
      </c>
      <c r="D31" s="5" t="s">
        <v>640</v>
      </c>
      <c r="E31" s="5" t="s">
        <v>641</v>
      </c>
      <c r="F31" s="5" t="s">
        <v>640</v>
      </c>
      <c r="G31" s="5" t="s">
        <v>715</v>
      </c>
      <c r="H31" s="5" t="s">
        <v>53</v>
      </c>
      <c r="I31" s="5">
        <v>5</v>
      </c>
      <c r="J31" s="13" t="s">
        <v>265</v>
      </c>
      <c r="K31" s="5" t="s">
        <v>541</v>
      </c>
      <c r="L31" s="9" t="s">
        <v>642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spans="1:26" ht="28.5">
      <c r="A32" s="5" t="s">
        <v>643</v>
      </c>
      <c r="B32" s="5" t="s">
        <v>426</v>
      </c>
      <c r="C32" s="5" t="str">
        <f>IF($B32="","",IFERROR(VLOOKUP($B32,'2_Конкуренты'!$A$4:$B$10,2,FALSE),"не найдено"))</f>
        <v>Numerous.ai</v>
      </c>
      <c r="D32" s="5" t="s">
        <v>644</v>
      </c>
      <c r="E32" s="5" t="s">
        <v>641</v>
      </c>
      <c r="F32" s="5" t="s">
        <v>644</v>
      </c>
      <c r="G32" s="5" t="s">
        <v>645</v>
      </c>
      <c r="H32" s="5" t="s">
        <v>32</v>
      </c>
      <c r="I32" s="5">
        <v>4</v>
      </c>
      <c r="J32" s="13" t="s">
        <v>265</v>
      </c>
      <c r="K32" s="5" t="s">
        <v>541</v>
      </c>
      <c r="L32" s="9" t="s">
        <v>646</v>
      </c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spans="1:26" ht="28.5">
      <c r="A33" s="5" t="s">
        <v>647</v>
      </c>
      <c r="B33" s="5" t="s">
        <v>426</v>
      </c>
      <c r="C33" s="5" t="str">
        <f>IF($B33="","",IFERROR(VLOOKUP($B33,'2_Конкуренты'!$A$4:$B$10,2,FALSE),"не найдено"))</f>
        <v>Numerous.ai</v>
      </c>
      <c r="D33" s="5" t="s">
        <v>648</v>
      </c>
      <c r="E33" s="5" t="s">
        <v>649</v>
      </c>
      <c r="F33" s="5" t="s">
        <v>648</v>
      </c>
      <c r="G33" s="5" t="s">
        <v>650</v>
      </c>
      <c r="H33" s="5" t="s">
        <v>47</v>
      </c>
      <c r="I33" s="5">
        <v>3</v>
      </c>
      <c r="J33" s="13" t="s">
        <v>265</v>
      </c>
      <c r="K33" s="5" t="s">
        <v>541</v>
      </c>
      <c r="L33" s="9" t="s">
        <v>651</v>
      </c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spans="1:26" ht="28.5">
      <c r="A34" s="5" t="s">
        <v>652</v>
      </c>
      <c r="B34" s="5" t="s">
        <v>260</v>
      </c>
      <c r="C34" s="5" t="str">
        <f>IF($B34="","",IFERROR(VLOOKUP($B34,'2_Конкуренты'!$A$4:$B$10,2,FALSE),"не найдено"))</f>
        <v>PerfectXL</v>
      </c>
      <c r="D34" s="5" t="s">
        <v>653</v>
      </c>
      <c r="E34" s="5" t="s">
        <v>654</v>
      </c>
      <c r="F34" s="5" t="s">
        <v>653</v>
      </c>
      <c r="G34" s="5" t="s">
        <v>655</v>
      </c>
      <c r="H34" s="5" t="s">
        <v>32</v>
      </c>
      <c r="I34" s="5">
        <v>5</v>
      </c>
      <c r="J34" s="13" t="s">
        <v>265</v>
      </c>
      <c r="K34" s="5" t="s">
        <v>541</v>
      </c>
      <c r="L34" s="9" t="s">
        <v>656</v>
      </c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28.5">
      <c r="A35" s="6" t="s">
        <v>657</v>
      </c>
      <c r="B35" s="6" t="s">
        <v>260</v>
      </c>
      <c r="C35" s="6" t="str">
        <f>IF($B35="","",IFERROR(VLOOKUP($B35,'2_Конкуренты'!$A$4:$B$10,2,FALSE),"не найдено"))</f>
        <v>PerfectXL</v>
      </c>
      <c r="D35" s="6" t="s">
        <v>658</v>
      </c>
      <c r="E35" s="6" t="s">
        <v>659</v>
      </c>
      <c r="F35" s="6" t="s">
        <v>658</v>
      </c>
      <c r="G35" s="6" t="s">
        <v>660</v>
      </c>
      <c r="H35" s="6" t="s">
        <v>32</v>
      </c>
      <c r="I35" s="6">
        <v>4</v>
      </c>
      <c r="J35" s="14" t="s">
        <v>265</v>
      </c>
      <c r="K35" s="6" t="s">
        <v>541</v>
      </c>
      <c r="L35" s="7" t="s">
        <v>646</v>
      </c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</sheetData>
  <mergeCells count="2">
    <mergeCell ref="A1:L1"/>
    <mergeCell ref="A2:L2"/>
  </mergeCells>
  <dataValidations count="2">
    <dataValidation type="list" sqref="H4:H35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35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1"/>
  <sheetViews>
    <sheetView topLeftCell="N1" workbookViewId="0">
      <selection activeCell="C17" sqref="C17"/>
    </sheetView>
  </sheetViews>
  <sheetFormatPr defaultRowHeight="13.5"/>
  <cols>
    <col min="1" max="1" width="17.1875" style="22" customWidth="1"/>
    <col min="2" max="2" width="15.125" style="22" customWidth="1"/>
    <col min="3" max="14" width="52.5625" style="22" customWidth="1"/>
    <col min="15" max="15" width="19.3125" style="22" customWidth="1"/>
    <col min="16" max="16" width="27.6875" style="22" customWidth="1"/>
    <col min="17" max="17" width="22.4375" style="22" customWidth="1"/>
    <col min="18" max="26" width="10.5625" style="22" customWidth="1"/>
    <col min="27" max="16384" width="9" style="22"/>
  </cols>
  <sheetData>
    <row r="1" spans="1:26" ht="20" customHeight="1">
      <c r="A1" s="41" t="s">
        <v>129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2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729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4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130</v>
      </c>
      <c r="D3" s="3" t="s">
        <v>131</v>
      </c>
      <c r="E3" s="3" t="s">
        <v>132</v>
      </c>
      <c r="F3" s="3" t="s">
        <v>133</v>
      </c>
      <c r="G3" s="3" t="s">
        <v>134</v>
      </c>
      <c r="H3" s="3" t="s">
        <v>135</v>
      </c>
      <c r="I3" s="3" t="s">
        <v>136</v>
      </c>
      <c r="J3" s="3" t="s">
        <v>137</v>
      </c>
      <c r="K3" s="3" t="s">
        <v>138</v>
      </c>
      <c r="L3" s="3" t="s">
        <v>139</v>
      </c>
      <c r="M3" s="3" t="s">
        <v>140</v>
      </c>
      <c r="N3" s="3" t="s">
        <v>141</v>
      </c>
      <c r="O3" s="3" t="s">
        <v>142</v>
      </c>
      <c r="P3" s="3" t="s">
        <v>143</v>
      </c>
      <c r="Q3" s="8" t="s">
        <v>144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266</v>
      </c>
      <c r="D4" s="5" t="s">
        <v>267</v>
      </c>
      <c r="E4" s="5" t="s">
        <v>268</v>
      </c>
      <c r="F4" s="5" t="s">
        <v>269</v>
      </c>
      <c r="G4" s="5" t="s">
        <v>270</v>
      </c>
      <c r="H4" s="5" t="s">
        <v>716</v>
      </c>
      <c r="I4" s="5" t="s">
        <v>271</v>
      </c>
      <c r="J4" s="5" t="s">
        <v>272</v>
      </c>
      <c r="K4" s="5" t="s">
        <v>273</v>
      </c>
      <c r="L4" s="5" t="s">
        <v>274</v>
      </c>
      <c r="M4" s="5" t="s">
        <v>275</v>
      </c>
      <c r="N4" s="5" t="s">
        <v>276</v>
      </c>
      <c r="O4" s="15">
        <f t="shared" ref="O4:O10" si="0">IF($A4="","",(COUNTA($C4:$N4)-COUNTIF($C4:$N4,"-"))/12)</f>
        <v>1</v>
      </c>
      <c r="P4" s="17">
        <f>IF($A4="","",IFERROR(AVERAGEIF('3_Факты_сайта'!$B$4:$B$35,$A4,'3_Факты_сайта'!$I$4:$I$35),0))</f>
        <v>4.2</v>
      </c>
      <c r="Q4" s="9" t="str">
        <f t="shared" ref="Q4:Q10" si="1">IF($A4="","",IF($O4&lt;0.5,"недостаточно данных",IF($P4&lt;3,"низкая доказательность",IF($O4&gt;=0.85,"готов к сравнению","заполнено частично"))))</f>
        <v>готов к сравнению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309</v>
      </c>
      <c r="B5" s="5" t="str">
        <f>IF($A5="","",IFERROR(VLOOKUP($A5,'2_Конкуренты'!$A$4:$B$10,2,FALSE),"не найдено"))</f>
        <v>Arixcel</v>
      </c>
      <c r="C5" s="5" t="s">
        <v>314</v>
      </c>
      <c r="D5" s="5" t="s">
        <v>315</v>
      </c>
      <c r="E5" s="5" t="s">
        <v>316</v>
      </c>
      <c r="F5" s="5" t="s">
        <v>317</v>
      </c>
      <c r="G5" s="5" t="s">
        <v>318</v>
      </c>
      <c r="H5" s="5" t="s">
        <v>717</v>
      </c>
      <c r="I5" s="5" t="s">
        <v>319</v>
      </c>
      <c r="J5" s="5" t="s">
        <v>320</v>
      </c>
      <c r="K5" s="5" t="s">
        <v>265</v>
      </c>
      <c r="L5" s="5" t="s">
        <v>321</v>
      </c>
      <c r="M5" s="5" t="s">
        <v>265</v>
      </c>
      <c r="N5" s="5" t="s">
        <v>322</v>
      </c>
      <c r="O5" s="15">
        <f t="shared" si="0"/>
        <v>0.83333333333333337</v>
      </c>
      <c r="P5" s="17">
        <f>IF($A5="","",IFERROR(AVERAGEIF('3_Факты_сайта'!$B$4:$B$35,$A5,'3_Факты_сайта'!$I$4:$I$35),0))</f>
        <v>4</v>
      </c>
      <c r="Q5" s="9" t="str">
        <f t="shared" si="1"/>
        <v>заполнено частично</v>
      </c>
      <c r="R5" s="23"/>
      <c r="S5" s="23"/>
      <c r="T5" s="23"/>
      <c r="U5" s="23"/>
      <c r="V5" s="23"/>
      <c r="W5" s="23"/>
      <c r="X5" s="23"/>
      <c r="Y5" s="23"/>
      <c r="Z5" s="23"/>
    </row>
    <row r="6" spans="1:26" ht="28.5">
      <c r="A6" s="5" t="s">
        <v>341</v>
      </c>
      <c r="B6" s="5" t="str">
        <f>IF($A6="","",IFERROR(VLOOKUP($A6,'2_Конкуренты'!$A$4:$B$10,2,FALSE),"не найдено"))</f>
        <v>Operis</v>
      </c>
      <c r="C6" s="5" t="s">
        <v>346</v>
      </c>
      <c r="D6" s="5" t="s">
        <v>347</v>
      </c>
      <c r="E6" s="5" t="s">
        <v>348</v>
      </c>
      <c r="F6" s="5" t="s">
        <v>349</v>
      </c>
      <c r="G6" s="5" t="s">
        <v>350</v>
      </c>
      <c r="H6" s="5" t="s">
        <v>351</v>
      </c>
      <c r="I6" s="5" t="s">
        <v>352</v>
      </c>
      <c r="J6" s="5" t="s">
        <v>353</v>
      </c>
      <c r="K6" s="5" t="s">
        <v>354</v>
      </c>
      <c r="L6" s="5" t="s">
        <v>355</v>
      </c>
      <c r="M6" s="5" t="s">
        <v>356</v>
      </c>
      <c r="N6" s="5" t="s">
        <v>357</v>
      </c>
      <c r="O6" s="15">
        <f t="shared" si="0"/>
        <v>1</v>
      </c>
      <c r="P6" s="17">
        <f>IF($A6="","",IFERROR(AVERAGEIF('3_Факты_сайта'!$B$4:$B$35,$A6,'3_Факты_сайта'!$I$4:$I$35),0))</f>
        <v>4</v>
      </c>
      <c r="Q6" s="9" t="str">
        <f t="shared" si="1"/>
        <v>готов к сравнению</v>
      </c>
      <c r="R6" s="23"/>
      <c r="S6" s="23"/>
      <c r="T6" s="23"/>
      <c r="U6" s="23"/>
      <c r="V6" s="23"/>
      <c r="W6" s="23"/>
      <c r="X6" s="23"/>
      <c r="Y6" s="23"/>
      <c r="Z6" s="23"/>
    </row>
    <row r="7" spans="1:26" ht="28.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387</v>
      </c>
      <c r="D7" s="5" t="s">
        <v>390</v>
      </c>
      <c r="E7" s="5" t="s">
        <v>391</v>
      </c>
      <c r="F7" s="5" t="s">
        <v>392</v>
      </c>
      <c r="G7" s="5" t="s">
        <v>393</v>
      </c>
      <c r="H7" s="5" t="s">
        <v>718</v>
      </c>
      <c r="I7" s="5" t="s">
        <v>394</v>
      </c>
      <c r="J7" s="5" t="s">
        <v>395</v>
      </c>
      <c r="K7" s="5" t="s">
        <v>396</v>
      </c>
      <c r="L7" s="5" t="s">
        <v>397</v>
      </c>
      <c r="M7" s="5" t="s">
        <v>398</v>
      </c>
      <c r="N7" s="5" t="s">
        <v>399</v>
      </c>
      <c r="O7" s="15">
        <f t="shared" si="0"/>
        <v>1</v>
      </c>
      <c r="P7" s="17">
        <f>IF($A7="","",IFERROR(AVERAGEIF('3_Факты_сайта'!$B$4:$B$35,$A7,'3_Факты_сайта'!$I$4:$I$35),0))</f>
        <v>4.5</v>
      </c>
      <c r="Q7" s="9" t="str">
        <f t="shared" si="1"/>
        <v>готов к сравнению</v>
      </c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429</v>
      </c>
      <c r="D8" s="5" t="s">
        <v>430</v>
      </c>
      <c r="E8" s="5" t="s">
        <v>431</v>
      </c>
      <c r="F8" s="5" t="s">
        <v>432</v>
      </c>
      <c r="G8" s="5" t="s">
        <v>433</v>
      </c>
      <c r="H8" s="5" t="s">
        <v>719</v>
      </c>
      <c r="I8" s="5" t="s">
        <v>434</v>
      </c>
      <c r="J8" s="5" t="s">
        <v>435</v>
      </c>
      <c r="K8" s="5" t="s">
        <v>436</v>
      </c>
      <c r="L8" s="5" t="s">
        <v>437</v>
      </c>
      <c r="M8" s="5" t="s">
        <v>438</v>
      </c>
      <c r="N8" s="5" t="s">
        <v>439</v>
      </c>
      <c r="O8" s="15">
        <f t="shared" si="0"/>
        <v>1</v>
      </c>
      <c r="P8" s="17">
        <f>IF($A8="","",IFERROR(AVERAGEIF('3_Факты_сайта'!$B$4:$B$35,$A8,'3_Факты_сайта'!$I$4:$I$35),0))</f>
        <v>4.2</v>
      </c>
      <c r="Q8" s="9" t="str">
        <f t="shared" si="1"/>
        <v>готов к сравнению</v>
      </c>
      <c r="R8" s="23"/>
      <c r="S8" s="23"/>
      <c r="T8" s="23"/>
      <c r="U8" s="23"/>
      <c r="V8" s="23"/>
      <c r="W8" s="23"/>
      <c r="X8" s="23"/>
      <c r="Y8" s="23"/>
      <c r="Z8" s="23"/>
    </row>
    <row r="9" spans="1:26" ht="28.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469</v>
      </c>
      <c r="D9" s="5" t="s">
        <v>470</v>
      </c>
      <c r="E9" s="5" t="s">
        <v>720</v>
      </c>
      <c r="F9" s="5" t="s">
        <v>471</v>
      </c>
      <c r="G9" s="5" t="s">
        <v>472</v>
      </c>
      <c r="H9" s="5" t="s">
        <v>473</v>
      </c>
      <c r="I9" s="5" t="s">
        <v>474</v>
      </c>
      <c r="J9" s="5" t="s">
        <v>475</v>
      </c>
      <c r="K9" s="5" t="s">
        <v>476</v>
      </c>
      <c r="L9" s="5" t="s">
        <v>477</v>
      </c>
      <c r="M9" s="5" t="s">
        <v>478</v>
      </c>
      <c r="N9" s="5" t="s">
        <v>479</v>
      </c>
      <c r="O9" s="15">
        <f t="shared" si="0"/>
        <v>1</v>
      </c>
      <c r="P9" s="17">
        <f>IF($A9="","",IFERROR(AVERAGEIF('3_Факты_сайта'!$B$4:$B$35,$A9,'3_Факты_сайта'!$I$4:$I$35),0))</f>
        <v>4.5</v>
      </c>
      <c r="Q9" s="9" t="str">
        <f t="shared" si="1"/>
        <v>готов к сравнению</v>
      </c>
      <c r="R9" s="23"/>
      <c r="S9" s="23"/>
      <c r="T9" s="23"/>
      <c r="U9" s="23"/>
      <c r="V9" s="23"/>
      <c r="W9" s="23"/>
      <c r="X9" s="23"/>
      <c r="Y9" s="23"/>
      <c r="Z9" s="23"/>
    </row>
    <row r="10" spans="1:26" ht="28.5">
      <c r="A10" s="5" t="s">
        <v>504</v>
      </c>
      <c r="B10" s="5" t="str">
        <f>IF($A10="","",IFERROR(VLOOKUP($A10,'2_Конкуренты'!$A$4:$B$10,2,FALSE),"не найдено"))</f>
        <v>DataSnipper</v>
      </c>
      <c r="C10" s="5" t="s">
        <v>508</v>
      </c>
      <c r="D10" s="5" t="s">
        <v>509</v>
      </c>
      <c r="E10" s="5" t="s">
        <v>510</v>
      </c>
      <c r="F10" s="5" t="s">
        <v>511</v>
      </c>
      <c r="G10" s="5" t="s">
        <v>512</v>
      </c>
      <c r="H10" s="5" t="s">
        <v>513</v>
      </c>
      <c r="I10" s="5" t="s">
        <v>514</v>
      </c>
      <c r="J10" s="5" t="s">
        <v>515</v>
      </c>
      <c r="K10" s="5" t="s">
        <v>516</v>
      </c>
      <c r="L10" s="5" t="s">
        <v>517</v>
      </c>
      <c r="M10" s="5" t="s">
        <v>518</v>
      </c>
      <c r="N10" s="5" t="s">
        <v>519</v>
      </c>
      <c r="O10" s="15">
        <f t="shared" si="0"/>
        <v>1</v>
      </c>
      <c r="P10" s="17">
        <f>IF($A10="","",IFERROR(AVERAGEIF('3_Факты_сайта'!$B$4:$B$35,$A10,'3_Факты_сайта'!$I$4:$I$35),0))</f>
        <v>4.166666666666667</v>
      </c>
      <c r="Q10" s="9" t="str">
        <f t="shared" si="1"/>
        <v>готов к сравнению</v>
      </c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20" customHeight="1">
      <c r="A11" s="23"/>
      <c r="B11" s="23"/>
      <c r="C11" s="23"/>
      <c r="D11" s="23"/>
      <c r="E11" s="23"/>
      <c r="F11" s="23"/>
      <c r="G11" s="23"/>
      <c r="H11" s="23"/>
      <c r="I11" s="23"/>
    </row>
  </sheetData>
  <mergeCells count="2">
    <mergeCell ref="A1:Q1"/>
    <mergeCell ref="A2:Q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topLeftCell="G1" workbookViewId="0">
      <selection activeCell="C20" sqref="C20"/>
    </sheetView>
  </sheetViews>
  <sheetFormatPr defaultRowHeight="13.5"/>
  <cols>
    <col min="1" max="1" width="17.1875" style="24" customWidth="1"/>
    <col min="2" max="2" width="15.125" style="24" customWidth="1"/>
    <col min="3" max="3" width="52.5625" style="24" customWidth="1"/>
    <col min="4" max="4" width="35.0625" style="24" customWidth="1"/>
    <col min="5" max="5" width="21.4375" style="24" customWidth="1"/>
    <col min="6" max="6" width="38.1875" style="24" customWidth="1"/>
    <col min="7" max="7" width="43.4375" style="24" customWidth="1"/>
    <col min="8" max="8" width="25.625" style="24" customWidth="1"/>
    <col min="9" max="9" width="28.75" style="24" customWidth="1"/>
    <col min="10" max="10" width="35.0625" style="24" customWidth="1"/>
    <col min="11" max="11" width="52.5625" style="24" customWidth="1"/>
    <col min="12" max="12" width="32.9375" style="24" customWidth="1"/>
    <col min="13" max="13" width="41.375" style="24" customWidth="1"/>
    <col min="14" max="26" width="10.5625" style="24" customWidth="1"/>
    <col min="27" max="16384" width="9" style="24"/>
  </cols>
  <sheetData>
    <row r="1" spans="1:26" ht="20" customHeight="1">
      <c r="A1" s="41" t="s">
        <v>145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742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150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  <c r="M3" s="8" t="s">
        <v>156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71.2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721</v>
      </c>
      <c r="D4" s="5" t="s">
        <v>747</v>
      </c>
      <c r="E4" s="5" t="s">
        <v>748</v>
      </c>
      <c r="F4" s="5" t="s">
        <v>749</v>
      </c>
      <c r="G4" s="5" t="s">
        <v>265</v>
      </c>
      <c r="H4" s="5" t="s">
        <v>277</v>
      </c>
      <c r="I4" s="5" t="s">
        <v>278</v>
      </c>
      <c r="J4" s="5" t="s">
        <v>750</v>
      </c>
      <c r="K4" s="5" t="s">
        <v>267</v>
      </c>
      <c r="L4" s="5" t="s">
        <v>262</v>
      </c>
      <c r="M4" s="9" t="s">
        <v>279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57">
      <c r="A5" s="5" t="s">
        <v>309</v>
      </c>
      <c r="B5" s="5" t="str">
        <f>IF($A5="","",IFERROR(VLOOKUP($A5,'2_Конкуренты'!$A$4:$B$10,2,FALSE),"не найдено"))</f>
        <v>Arixcel</v>
      </c>
      <c r="C5" s="5" t="s">
        <v>722</v>
      </c>
      <c r="D5" s="5" t="s">
        <v>747</v>
      </c>
      <c r="E5" s="5" t="s">
        <v>265</v>
      </c>
      <c r="F5" s="5" t="s">
        <v>749</v>
      </c>
      <c r="G5" s="5" t="s">
        <v>265</v>
      </c>
      <c r="H5" s="5" t="s">
        <v>277</v>
      </c>
      <c r="I5" s="5" t="s">
        <v>278</v>
      </c>
      <c r="J5" s="5" t="s">
        <v>751</v>
      </c>
      <c r="K5" s="5" t="s">
        <v>315</v>
      </c>
      <c r="L5" s="5" t="s">
        <v>311</v>
      </c>
      <c r="M5" s="9" t="s">
        <v>279</v>
      </c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57">
      <c r="A6" s="5" t="s">
        <v>341</v>
      </c>
      <c r="B6" s="5" t="str">
        <f>IF($A6="","",IFERROR(VLOOKUP($A6,'2_Конкуренты'!$A$4:$B$10,2,FALSE),"не найдено"))</f>
        <v>Operis</v>
      </c>
      <c r="C6" s="5" t="s">
        <v>358</v>
      </c>
      <c r="D6" s="5" t="s">
        <v>747</v>
      </c>
      <c r="E6" s="5" t="s">
        <v>752</v>
      </c>
      <c r="F6" s="5" t="s">
        <v>753</v>
      </c>
      <c r="G6" s="5" t="s">
        <v>265</v>
      </c>
      <c r="H6" s="5" t="s">
        <v>277</v>
      </c>
      <c r="I6" s="5" t="s">
        <v>278</v>
      </c>
      <c r="J6" s="5" t="s">
        <v>754</v>
      </c>
      <c r="K6" s="5" t="s">
        <v>347</v>
      </c>
      <c r="L6" s="5" t="s">
        <v>343</v>
      </c>
      <c r="M6" s="9" t="s">
        <v>359</v>
      </c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85.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400</v>
      </c>
      <c r="D7" s="5" t="s">
        <v>755</v>
      </c>
      <c r="E7" s="5" t="s">
        <v>756</v>
      </c>
      <c r="F7" s="5" t="s">
        <v>757</v>
      </c>
      <c r="G7" s="5" t="s">
        <v>758</v>
      </c>
      <c r="H7" s="5" t="s">
        <v>277</v>
      </c>
      <c r="I7" s="5" t="s">
        <v>278</v>
      </c>
      <c r="J7" s="5" t="s">
        <v>759</v>
      </c>
      <c r="K7" s="5" t="s">
        <v>390</v>
      </c>
      <c r="L7" s="5" t="s">
        <v>386</v>
      </c>
      <c r="M7" s="9" t="s">
        <v>359</v>
      </c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57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440</v>
      </c>
      <c r="D8" s="5" t="s">
        <v>755</v>
      </c>
      <c r="E8" s="5" t="s">
        <v>760</v>
      </c>
      <c r="F8" s="5" t="s">
        <v>761</v>
      </c>
      <c r="G8" s="5" t="s">
        <v>265</v>
      </c>
      <c r="H8" s="5" t="s">
        <v>277</v>
      </c>
      <c r="I8" s="5" t="s">
        <v>278</v>
      </c>
      <c r="J8" s="5" t="s">
        <v>762</v>
      </c>
      <c r="K8" s="5" t="s">
        <v>430</v>
      </c>
      <c r="L8" s="5" t="s">
        <v>428</v>
      </c>
      <c r="M8" s="9" t="s">
        <v>279</v>
      </c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71.2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723</v>
      </c>
      <c r="D9" s="5" t="s">
        <v>755</v>
      </c>
      <c r="E9" s="5" t="s">
        <v>763</v>
      </c>
      <c r="F9" s="5" t="s">
        <v>764</v>
      </c>
      <c r="G9" s="5" t="s">
        <v>765</v>
      </c>
      <c r="H9" s="5" t="s">
        <v>277</v>
      </c>
      <c r="I9" s="5" t="s">
        <v>278</v>
      </c>
      <c r="J9" s="5" t="s">
        <v>766</v>
      </c>
      <c r="K9" s="5" t="s">
        <v>470</v>
      </c>
      <c r="L9" s="5" t="s">
        <v>466</v>
      </c>
      <c r="M9" s="9" t="s">
        <v>359</v>
      </c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71.25">
      <c r="A10" s="6" t="s">
        <v>504</v>
      </c>
      <c r="B10" s="6" t="str">
        <f>IF($A10="","",IFERROR(VLOOKUP($A10,'2_Конкуренты'!$A$4:$B$10,2,FALSE),"не найдено"))</f>
        <v>DataSnipper</v>
      </c>
      <c r="C10" s="6" t="s">
        <v>520</v>
      </c>
      <c r="D10" s="6" t="s">
        <v>755</v>
      </c>
      <c r="E10" s="6" t="s">
        <v>763</v>
      </c>
      <c r="F10" s="6" t="s">
        <v>764</v>
      </c>
      <c r="G10" s="6" t="s">
        <v>767</v>
      </c>
      <c r="H10" s="6" t="s">
        <v>277</v>
      </c>
      <c r="I10" s="6" t="s">
        <v>278</v>
      </c>
      <c r="J10" s="6" t="s">
        <v>766</v>
      </c>
      <c r="K10" s="6" t="s">
        <v>509</v>
      </c>
      <c r="L10" s="6" t="s">
        <v>506</v>
      </c>
      <c r="M10" s="7" t="s">
        <v>359</v>
      </c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"/>
  <sheetViews>
    <sheetView workbookViewId="0">
      <selection activeCell="C16" sqref="C16"/>
    </sheetView>
  </sheetViews>
  <sheetFormatPr defaultRowHeight="13.5"/>
  <cols>
    <col min="1" max="1" width="17.1875" style="24" customWidth="1"/>
    <col min="2" max="2" width="15.125" style="24" customWidth="1"/>
    <col min="3" max="3" width="26.6875" style="24" customWidth="1"/>
    <col min="4" max="4" width="36.125" style="24" customWidth="1"/>
    <col min="5" max="5" width="30.875" style="24" customWidth="1"/>
    <col min="6" max="6" width="36.125" style="24" customWidth="1"/>
    <col min="7" max="7" width="52.5625" style="24" customWidth="1"/>
    <col min="8" max="8" width="31.9375" style="24" customWidth="1"/>
    <col min="9" max="9" width="38.1875" style="24" customWidth="1"/>
    <col min="10" max="10" width="29.8125" style="24" customWidth="1"/>
    <col min="11" max="11" width="34" style="24" customWidth="1"/>
    <col min="12" max="12" width="25.625" style="24" customWidth="1"/>
    <col min="13" max="13" width="23.5" style="24" customWidth="1"/>
    <col min="14" max="14" width="52.5625" style="24" customWidth="1"/>
    <col min="15" max="26" width="10.5625" style="24" customWidth="1"/>
    <col min="27" max="16384" width="9" style="24"/>
  </cols>
  <sheetData>
    <row r="1" spans="1:26" ht="20" customHeight="1">
      <c r="A1" s="41" t="s">
        <v>157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2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743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7</v>
      </c>
      <c r="D3" s="3" t="s">
        <v>158</v>
      </c>
      <c r="E3" s="3" t="s">
        <v>159</v>
      </c>
      <c r="F3" s="3" t="s">
        <v>160</v>
      </c>
      <c r="G3" s="3" t="s">
        <v>161</v>
      </c>
      <c r="H3" s="3" t="s">
        <v>162</v>
      </c>
      <c r="I3" s="3" t="s">
        <v>163</v>
      </c>
      <c r="J3" s="3" t="s">
        <v>164</v>
      </c>
      <c r="K3" s="3" t="s">
        <v>165</v>
      </c>
      <c r="L3" s="3" t="s">
        <v>166</v>
      </c>
      <c r="M3" s="3" t="s">
        <v>167</v>
      </c>
      <c r="N3" s="8" t="s">
        <v>168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280</v>
      </c>
      <c r="D4" s="5" t="s">
        <v>281</v>
      </c>
      <c r="E4" s="5" t="s">
        <v>282</v>
      </c>
      <c r="F4" s="5" t="s">
        <v>283</v>
      </c>
      <c r="G4" s="5" t="s">
        <v>284</v>
      </c>
      <c r="H4" s="5" t="s">
        <v>285</v>
      </c>
      <c r="I4" s="5" t="s">
        <v>286</v>
      </c>
      <c r="J4" s="5" t="s">
        <v>287</v>
      </c>
      <c r="K4" s="5" t="s">
        <v>288</v>
      </c>
      <c r="L4" s="5">
        <v>3</v>
      </c>
      <c r="M4" s="5">
        <v>3</v>
      </c>
      <c r="N4" s="9" t="s">
        <v>289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28.5">
      <c r="A5" s="5" t="s">
        <v>309</v>
      </c>
      <c r="B5" s="5" t="str">
        <f>IF($A5="","",IFERROR(VLOOKUP($A5,'2_Конкуренты'!$A$4:$B$10,2,FALSE),"не найдено"))</f>
        <v>Arixcel</v>
      </c>
      <c r="C5" s="5" t="s">
        <v>54</v>
      </c>
      <c r="D5" s="5" t="s">
        <v>323</v>
      </c>
      <c r="E5" s="5" t="s">
        <v>282</v>
      </c>
      <c r="F5" s="5" t="s">
        <v>324</v>
      </c>
      <c r="G5" s="5" t="s">
        <v>325</v>
      </c>
      <c r="H5" s="5" t="s">
        <v>326</v>
      </c>
      <c r="I5" s="5" t="s">
        <v>327</v>
      </c>
      <c r="J5" s="5" t="s">
        <v>328</v>
      </c>
      <c r="K5" s="5" t="s">
        <v>329</v>
      </c>
      <c r="L5" s="5">
        <v>3</v>
      </c>
      <c r="M5" s="5">
        <v>2</v>
      </c>
      <c r="N5" s="9" t="s">
        <v>724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28.5">
      <c r="A6" s="5" t="s">
        <v>341</v>
      </c>
      <c r="B6" s="5" t="str">
        <f>IF($A6="","",IFERROR(VLOOKUP($A6,'2_Конкуренты'!$A$4:$B$10,2,FALSE),"не найдено"))</f>
        <v>Operis</v>
      </c>
      <c r="C6" s="5" t="s">
        <v>360</v>
      </c>
      <c r="D6" s="5" t="s">
        <v>361</v>
      </c>
      <c r="E6" s="5" t="s">
        <v>282</v>
      </c>
      <c r="F6" s="5" t="s">
        <v>362</v>
      </c>
      <c r="G6" s="5" t="s">
        <v>363</v>
      </c>
      <c r="H6" s="5" t="s">
        <v>364</v>
      </c>
      <c r="I6" s="5" t="s">
        <v>365</v>
      </c>
      <c r="J6" s="5" t="s">
        <v>366</v>
      </c>
      <c r="K6" s="5" t="s">
        <v>288</v>
      </c>
      <c r="L6" s="5">
        <v>3</v>
      </c>
      <c r="M6" s="5">
        <v>2</v>
      </c>
      <c r="N6" s="9" t="s">
        <v>725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401</v>
      </c>
      <c r="D7" s="5" t="s">
        <v>402</v>
      </c>
      <c r="E7" s="5" t="s">
        <v>403</v>
      </c>
      <c r="F7" s="5" t="s">
        <v>404</v>
      </c>
      <c r="G7" s="5" t="s">
        <v>405</v>
      </c>
      <c r="H7" s="5" t="s">
        <v>406</v>
      </c>
      <c r="I7" s="5" t="s">
        <v>407</v>
      </c>
      <c r="J7" s="5" t="s">
        <v>408</v>
      </c>
      <c r="K7" s="5" t="s">
        <v>288</v>
      </c>
      <c r="L7" s="5">
        <v>5</v>
      </c>
      <c r="M7" s="5">
        <v>4</v>
      </c>
      <c r="N7" s="9" t="s">
        <v>409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16</v>
      </c>
      <c r="D8" s="5" t="s">
        <v>441</v>
      </c>
      <c r="E8" s="5" t="s">
        <v>282</v>
      </c>
      <c r="F8" s="5" t="s">
        <v>726</v>
      </c>
      <c r="G8" s="5" t="s">
        <v>442</v>
      </c>
      <c r="H8" s="5" t="s">
        <v>443</v>
      </c>
      <c r="I8" s="5" t="s">
        <v>444</v>
      </c>
      <c r="J8" s="5" t="s">
        <v>366</v>
      </c>
      <c r="K8" s="5" t="s">
        <v>445</v>
      </c>
      <c r="L8" s="5">
        <v>5</v>
      </c>
      <c r="M8" s="5">
        <v>2</v>
      </c>
      <c r="N8" s="9" t="s">
        <v>446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480</v>
      </c>
      <c r="D9" s="5" t="s">
        <v>481</v>
      </c>
      <c r="E9" s="5" t="s">
        <v>282</v>
      </c>
      <c r="F9" s="5" t="s">
        <v>482</v>
      </c>
      <c r="G9" s="5" t="s">
        <v>483</v>
      </c>
      <c r="H9" s="5" t="s">
        <v>484</v>
      </c>
      <c r="I9" s="5" t="s">
        <v>485</v>
      </c>
      <c r="J9" s="5" t="s">
        <v>366</v>
      </c>
      <c r="K9" s="5" t="s">
        <v>288</v>
      </c>
      <c r="L9" s="5">
        <v>1</v>
      </c>
      <c r="M9" s="5">
        <v>3</v>
      </c>
      <c r="N9" s="9" t="s">
        <v>486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6" t="s">
        <v>504</v>
      </c>
      <c r="B10" s="6" t="str">
        <f>IF($A10="","",IFERROR(VLOOKUP($A10,'2_Конкуренты'!$A$4:$B$10,2,FALSE),"не найдено"))</f>
        <v>DataSnipper</v>
      </c>
      <c r="C10" s="6" t="s">
        <v>521</v>
      </c>
      <c r="D10" s="6" t="s">
        <v>265</v>
      </c>
      <c r="E10" s="6" t="s">
        <v>282</v>
      </c>
      <c r="F10" s="6" t="s">
        <v>482</v>
      </c>
      <c r="G10" s="6" t="s">
        <v>485</v>
      </c>
      <c r="H10" s="6" t="s">
        <v>54</v>
      </c>
      <c r="I10" s="6" t="s">
        <v>265</v>
      </c>
      <c r="J10" s="6" t="s">
        <v>366</v>
      </c>
      <c r="K10" s="6" t="s">
        <v>288</v>
      </c>
      <c r="L10" s="6">
        <v>1</v>
      </c>
      <c r="M10" s="6">
        <v>2</v>
      </c>
      <c r="N10" s="7" t="s">
        <v>522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2">
    <mergeCell ref="A1:N1"/>
    <mergeCell ref="A2:N2"/>
  </mergeCells>
  <dataValidations count="2">
    <dataValidation type="list" sqref="C4:C10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10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"/>
  <sheetViews>
    <sheetView topLeftCell="K1" workbookViewId="0">
      <selection activeCell="L11" sqref="L11"/>
    </sheetView>
  </sheetViews>
  <sheetFormatPr defaultRowHeight="13.5"/>
  <cols>
    <col min="1" max="1" width="17.1875" style="24" customWidth="1"/>
    <col min="2" max="2" width="15.125" style="24" customWidth="1"/>
    <col min="3" max="3" width="45.5625" style="24" customWidth="1"/>
    <col min="4" max="4" width="29.8125" style="24" customWidth="1"/>
    <col min="5" max="5" width="42.4375" style="24" customWidth="1"/>
    <col min="6" max="6" width="40.3125" style="24" customWidth="1"/>
    <col min="7" max="7" width="29.8125" style="24" customWidth="1"/>
    <col min="8" max="8" width="27.6875" style="24" customWidth="1"/>
    <col min="9" max="9" width="22.4375" style="24" customWidth="1"/>
    <col min="10" max="10" width="31.9375" style="24" customWidth="1"/>
    <col min="11" max="11" width="52.5625" style="24" customWidth="1"/>
    <col min="12" max="12" width="30.875" style="24" customWidth="1"/>
    <col min="13" max="13" width="20.375" style="24" customWidth="1"/>
    <col min="14" max="14" width="52.5625" style="24" customWidth="1"/>
    <col min="15" max="26" width="10.5625" style="24" customWidth="1"/>
    <col min="27" max="16384" width="9" style="24"/>
  </cols>
  <sheetData>
    <row r="1" spans="1:26" ht="20" customHeight="1">
      <c r="A1" s="41" t="s">
        <v>169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2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170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171</v>
      </c>
      <c r="D3" s="3" t="s">
        <v>172</v>
      </c>
      <c r="E3" s="3" t="s">
        <v>173</v>
      </c>
      <c r="F3" s="3" t="s">
        <v>174</v>
      </c>
      <c r="G3" s="3" t="s">
        <v>175</v>
      </c>
      <c r="H3" s="3" t="s">
        <v>8</v>
      </c>
      <c r="I3" s="3" t="s">
        <v>176</v>
      </c>
      <c r="J3" s="3" t="s">
        <v>177</v>
      </c>
      <c r="K3" s="3" t="s">
        <v>178</v>
      </c>
      <c r="L3" s="3" t="s">
        <v>179</v>
      </c>
      <c r="M3" s="3" t="s">
        <v>180</v>
      </c>
      <c r="N3" s="8" t="s">
        <v>181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290</v>
      </c>
      <c r="D4" s="5" t="s">
        <v>291</v>
      </c>
      <c r="E4" s="5" t="s">
        <v>292</v>
      </c>
      <c r="F4" s="5" t="s">
        <v>293</v>
      </c>
      <c r="G4" s="5" t="s">
        <v>294</v>
      </c>
      <c r="H4" s="5" t="s">
        <v>69</v>
      </c>
      <c r="I4" s="5" t="s">
        <v>295</v>
      </c>
      <c r="J4" s="5" t="s">
        <v>296</v>
      </c>
      <c r="K4" s="5" t="s">
        <v>297</v>
      </c>
      <c r="L4" s="5">
        <v>3</v>
      </c>
      <c r="M4" s="5">
        <v>3</v>
      </c>
      <c r="N4" s="9" t="s">
        <v>298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309</v>
      </c>
      <c r="B5" s="5" t="str">
        <f>IF($A5="","",IFERROR(VLOOKUP($A5,'2_Конкуренты'!$A$4:$B$10,2,FALSE),"не найдено"))</f>
        <v>Arixcel</v>
      </c>
      <c r="C5" s="5" t="s">
        <v>330</v>
      </c>
      <c r="D5" s="5" t="s">
        <v>331</v>
      </c>
      <c r="E5" s="5" t="s">
        <v>332</v>
      </c>
      <c r="F5" s="5" t="s">
        <v>333</v>
      </c>
      <c r="G5" s="5" t="s">
        <v>334</v>
      </c>
      <c r="H5" s="5" t="s">
        <v>17</v>
      </c>
      <c r="I5" s="5" t="s">
        <v>265</v>
      </c>
      <c r="J5" s="5" t="s">
        <v>265</v>
      </c>
      <c r="K5" s="5" t="s">
        <v>282</v>
      </c>
      <c r="L5" s="5">
        <v>3</v>
      </c>
      <c r="M5" s="5">
        <v>2</v>
      </c>
      <c r="N5" s="9" t="s">
        <v>335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341</v>
      </c>
      <c r="B6" s="5" t="str">
        <f>IF($A6="","",IFERROR(VLOOKUP($A6,'2_Конкуренты'!$A$4:$B$10,2,FALSE),"не найдено"))</f>
        <v>Operis</v>
      </c>
      <c r="C6" s="5" t="s">
        <v>367</v>
      </c>
      <c r="D6" s="5" t="s">
        <v>368</v>
      </c>
      <c r="E6" s="5" t="s">
        <v>369</v>
      </c>
      <c r="F6" s="5" t="s">
        <v>370</v>
      </c>
      <c r="G6" s="5" t="s">
        <v>371</v>
      </c>
      <c r="H6" s="5" t="s">
        <v>372</v>
      </c>
      <c r="I6" s="5" t="s">
        <v>373</v>
      </c>
      <c r="J6" s="5" t="s">
        <v>282</v>
      </c>
      <c r="K6" s="5" t="s">
        <v>374</v>
      </c>
      <c r="L6" s="5">
        <v>4</v>
      </c>
      <c r="M6" s="5">
        <v>2</v>
      </c>
      <c r="N6" s="9" t="s">
        <v>375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330</v>
      </c>
      <c r="D7" s="5" t="s">
        <v>410</v>
      </c>
      <c r="E7" s="5" t="s">
        <v>369</v>
      </c>
      <c r="F7" s="5" t="s">
        <v>411</v>
      </c>
      <c r="G7" s="5" t="s">
        <v>412</v>
      </c>
      <c r="H7" s="5" t="s">
        <v>17</v>
      </c>
      <c r="I7" s="5" t="s">
        <v>43</v>
      </c>
      <c r="J7" s="5" t="s">
        <v>413</v>
      </c>
      <c r="K7" s="5" t="s">
        <v>414</v>
      </c>
      <c r="L7" s="5">
        <v>2</v>
      </c>
      <c r="M7" s="5">
        <v>5</v>
      </c>
      <c r="N7" s="9" t="s">
        <v>415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447</v>
      </c>
      <c r="D8" s="5" t="s">
        <v>448</v>
      </c>
      <c r="E8" s="5" t="s">
        <v>449</v>
      </c>
      <c r="F8" s="5" t="s">
        <v>450</v>
      </c>
      <c r="G8" s="5" t="s">
        <v>451</v>
      </c>
      <c r="H8" s="5" t="s">
        <v>17</v>
      </c>
      <c r="I8" s="5" t="s">
        <v>452</v>
      </c>
      <c r="J8" s="5" t="s">
        <v>453</v>
      </c>
      <c r="K8" s="5" t="s">
        <v>454</v>
      </c>
      <c r="L8" s="5">
        <v>2</v>
      </c>
      <c r="M8" s="5">
        <v>4</v>
      </c>
      <c r="N8" s="9" t="s">
        <v>455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487</v>
      </c>
      <c r="D9" s="5" t="s">
        <v>488</v>
      </c>
      <c r="E9" s="5" t="s">
        <v>369</v>
      </c>
      <c r="F9" s="5" t="s">
        <v>489</v>
      </c>
      <c r="G9" s="5" t="s">
        <v>490</v>
      </c>
      <c r="H9" s="5" t="s">
        <v>491</v>
      </c>
      <c r="I9" s="5" t="s">
        <v>492</v>
      </c>
      <c r="J9" s="5" t="s">
        <v>482</v>
      </c>
      <c r="K9" s="5" t="s">
        <v>493</v>
      </c>
      <c r="L9" s="5">
        <v>4</v>
      </c>
      <c r="M9" s="5">
        <v>4</v>
      </c>
      <c r="N9" s="9" t="s">
        <v>494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6" t="s">
        <v>504</v>
      </c>
      <c r="B10" s="6" t="str">
        <f>IF($A10="","",IFERROR(VLOOKUP($A10,'2_Конкуренты'!$A$4:$B$10,2,FALSE),"не найдено"))</f>
        <v>DataSnipper</v>
      </c>
      <c r="C10" s="6" t="s">
        <v>523</v>
      </c>
      <c r="D10" s="6" t="s">
        <v>524</v>
      </c>
      <c r="E10" s="6" t="s">
        <v>369</v>
      </c>
      <c r="F10" s="6" t="s">
        <v>525</v>
      </c>
      <c r="G10" s="6" t="s">
        <v>490</v>
      </c>
      <c r="H10" s="6" t="s">
        <v>491</v>
      </c>
      <c r="I10" s="6" t="s">
        <v>492</v>
      </c>
      <c r="J10" s="6" t="s">
        <v>482</v>
      </c>
      <c r="K10" s="6" t="s">
        <v>526</v>
      </c>
      <c r="L10" s="6">
        <v>4</v>
      </c>
      <c r="M10" s="6">
        <v>4</v>
      </c>
      <c r="N10" s="7" t="s">
        <v>527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2">
    <mergeCell ref="A1:N1"/>
    <mergeCell ref="A2:N2"/>
  </mergeCells>
  <dataValidations count="2">
    <dataValidation type="list" sqref="H4:H10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10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"/>
  <sheetViews>
    <sheetView topLeftCell="M1" workbookViewId="0">
      <selection activeCell="E16" sqref="E16"/>
    </sheetView>
  </sheetViews>
  <sheetFormatPr defaultRowHeight="13.5"/>
  <cols>
    <col min="1" max="1" width="17.1875" style="24" customWidth="1"/>
    <col min="2" max="2" width="15.125" style="24" customWidth="1"/>
    <col min="3" max="3" width="50.8125" style="24" customWidth="1"/>
    <col min="4" max="4" width="31.9375" style="24" customWidth="1"/>
    <col min="5" max="5" width="38.1875" style="24" customWidth="1"/>
    <col min="6" max="6" width="28.75" style="24" customWidth="1"/>
    <col min="7" max="7" width="25.625" style="24" customWidth="1"/>
    <col min="8" max="8" width="24.5625" style="24" customWidth="1"/>
    <col min="9" max="9" width="31.9375" style="24" customWidth="1"/>
    <col min="10" max="10" width="29.8125" style="24" customWidth="1"/>
    <col min="11" max="11" width="24.5625" style="24" customWidth="1"/>
    <col min="12" max="12" width="29.8125" style="24" customWidth="1"/>
    <col min="13" max="13" width="36.125" style="24" customWidth="1"/>
    <col min="14" max="14" width="52.5625" style="24" customWidth="1"/>
    <col min="15" max="26" width="10.5625" style="24" customWidth="1"/>
    <col min="27" max="16384" width="9" style="24"/>
  </cols>
  <sheetData>
    <row r="1" spans="1:26" ht="20" customHeight="1">
      <c r="A1" s="41" t="s">
        <v>182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2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744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136</v>
      </c>
      <c r="D3" s="3" t="s">
        <v>183</v>
      </c>
      <c r="E3" s="3" t="s">
        <v>184</v>
      </c>
      <c r="F3" s="3" t="s">
        <v>185</v>
      </c>
      <c r="G3" s="3" t="s">
        <v>186</v>
      </c>
      <c r="H3" s="3" t="s">
        <v>187</v>
      </c>
      <c r="I3" s="3" t="s">
        <v>188</v>
      </c>
      <c r="J3" s="3" t="s">
        <v>189</v>
      </c>
      <c r="K3" s="3" t="s">
        <v>190</v>
      </c>
      <c r="L3" s="3" t="s">
        <v>191</v>
      </c>
      <c r="M3" s="3" t="s">
        <v>192</v>
      </c>
      <c r="N3" s="8" t="s">
        <v>193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4.2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299</v>
      </c>
      <c r="D4" s="5" t="s">
        <v>300</v>
      </c>
      <c r="E4" s="5" t="s">
        <v>301</v>
      </c>
      <c r="F4" s="5" t="s">
        <v>302</v>
      </c>
      <c r="G4" s="5" t="s">
        <v>303</v>
      </c>
      <c r="H4" s="5" t="s">
        <v>304</v>
      </c>
      <c r="I4" s="5" t="s">
        <v>305</v>
      </c>
      <c r="J4" s="5" t="s">
        <v>306</v>
      </c>
      <c r="K4" s="5">
        <v>3</v>
      </c>
      <c r="L4" s="5">
        <v>3</v>
      </c>
      <c r="M4" s="5" t="s">
        <v>307</v>
      </c>
      <c r="N4" s="9" t="s">
        <v>308</v>
      </c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309</v>
      </c>
      <c r="B5" s="5" t="str">
        <f>IF($A5="","",IFERROR(VLOOKUP($A5,'2_Конкуренты'!$A$4:$B$10,2,FALSE),"не найдено"))</f>
        <v>Arixcel</v>
      </c>
      <c r="C5" s="5" t="s">
        <v>336</v>
      </c>
      <c r="D5" s="5" t="s">
        <v>320</v>
      </c>
      <c r="E5" s="5" t="s">
        <v>337</v>
      </c>
      <c r="F5" s="5" t="s">
        <v>265</v>
      </c>
      <c r="G5" s="5" t="s">
        <v>303</v>
      </c>
      <c r="H5" s="5" t="s">
        <v>265</v>
      </c>
      <c r="I5" s="5" t="s">
        <v>331</v>
      </c>
      <c r="J5" s="5" t="s">
        <v>338</v>
      </c>
      <c r="K5" s="5">
        <v>2</v>
      </c>
      <c r="L5" s="5">
        <v>2</v>
      </c>
      <c r="M5" s="5" t="s">
        <v>339</v>
      </c>
      <c r="N5" s="9" t="s">
        <v>340</v>
      </c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341</v>
      </c>
      <c r="B6" s="5" t="str">
        <f>IF($A6="","",IFERROR(VLOOKUP($A6,'2_Конкуренты'!$A$4:$B$10,2,FALSE),"не найдено"))</f>
        <v>Operis</v>
      </c>
      <c r="C6" s="5" t="s">
        <v>376</v>
      </c>
      <c r="D6" s="5" t="s">
        <v>377</v>
      </c>
      <c r="E6" s="5" t="s">
        <v>378</v>
      </c>
      <c r="F6" s="5" t="s">
        <v>379</v>
      </c>
      <c r="G6" s="5" t="s">
        <v>303</v>
      </c>
      <c r="H6" s="5" t="s">
        <v>380</v>
      </c>
      <c r="I6" s="5" t="s">
        <v>381</v>
      </c>
      <c r="J6" s="5" t="s">
        <v>355</v>
      </c>
      <c r="K6" s="5">
        <v>2</v>
      </c>
      <c r="L6" s="5">
        <v>4</v>
      </c>
      <c r="M6" s="5" t="s">
        <v>382</v>
      </c>
      <c r="N6" s="9" t="s">
        <v>383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416</v>
      </c>
      <c r="D7" s="5" t="s">
        <v>417</v>
      </c>
      <c r="E7" s="5" t="s">
        <v>418</v>
      </c>
      <c r="F7" s="5" t="s">
        <v>419</v>
      </c>
      <c r="G7" s="5" t="s">
        <v>420</v>
      </c>
      <c r="H7" s="5" t="s">
        <v>421</v>
      </c>
      <c r="I7" s="5" t="s">
        <v>422</v>
      </c>
      <c r="J7" s="5" t="s">
        <v>423</v>
      </c>
      <c r="K7" s="5">
        <v>4</v>
      </c>
      <c r="L7" s="5">
        <v>3</v>
      </c>
      <c r="M7" s="5" t="s">
        <v>424</v>
      </c>
      <c r="N7" s="9" t="s">
        <v>425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456</v>
      </c>
      <c r="D8" s="5" t="s">
        <v>338</v>
      </c>
      <c r="E8" s="5" t="s">
        <v>457</v>
      </c>
      <c r="F8" s="5" t="s">
        <v>458</v>
      </c>
      <c r="G8" s="5" t="s">
        <v>459</v>
      </c>
      <c r="H8" s="5" t="s">
        <v>436</v>
      </c>
      <c r="I8" s="5" t="s">
        <v>460</v>
      </c>
      <c r="J8" s="5" t="s">
        <v>461</v>
      </c>
      <c r="K8" s="5">
        <v>4</v>
      </c>
      <c r="L8" s="5">
        <v>1</v>
      </c>
      <c r="M8" s="5" t="s">
        <v>462</v>
      </c>
      <c r="N8" s="9" t="s">
        <v>463</v>
      </c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495</v>
      </c>
      <c r="D9" s="5" t="s">
        <v>496</v>
      </c>
      <c r="E9" s="5" t="s">
        <v>497</v>
      </c>
      <c r="F9" s="5" t="s">
        <v>498</v>
      </c>
      <c r="G9" s="5" t="s">
        <v>499</v>
      </c>
      <c r="H9" s="5" t="s">
        <v>500</v>
      </c>
      <c r="I9" s="5" t="s">
        <v>501</v>
      </c>
      <c r="J9" s="5" t="s">
        <v>306</v>
      </c>
      <c r="K9" s="5">
        <v>3</v>
      </c>
      <c r="L9" s="5">
        <v>4</v>
      </c>
      <c r="M9" s="5" t="s">
        <v>502</v>
      </c>
      <c r="N9" s="9" t="s">
        <v>503</v>
      </c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6" t="s">
        <v>504</v>
      </c>
      <c r="B10" s="6" t="str">
        <f>IF($A10="","",IFERROR(VLOOKUP($A10,'2_Конкуренты'!$A$4:$B$10,2,FALSE),"не найдено"))</f>
        <v>DataSnipper</v>
      </c>
      <c r="C10" s="6" t="s">
        <v>528</v>
      </c>
      <c r="D10" s="6" t="s">
        <v>529</v>
      </c>
      <c r="E10" s="6" t="s">
        <v>530</v>
      </c>
      <c r="F10" s="6" t="s">
        <v>531</v>
      </c>
      <c r="G10" s="6" t="s">
        <v>532</v>
      </c>
      <c r="H10" s="6" t="s">
        <v>533</v>
      </c>
      <c r="I10" s="6" t="s">
        <v>534</v>
      </c>
      <c r="J10" s="6" t="s">
        <v>535</v>
      </c>
      <c r="K10" s="6">
        <v>3</v>
      </c>
      <c r="L10" s="6">
        <v>4</v>
      </c>
      <c r="M10" s="6" t="s">
        <v>536</v>
      </c>
      <c r="N10" s="7" t="s">
        <v>537</v>
      </c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2">
    <mergeCell ref="A1:N1"/>
    <mergeCell ref="A2:N2"/>
  </mergeCells>
  <dataValidations count="1">
    <dataValidation type="list" sqref="K4:L10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"/>
  <sheetViews>
    <sheetView topLeftCell="K1" workbookViewId="0">
      <selection activeCell="P16" sqref="P16"/>
    </sheetView>
  </sheetViews>
  <sheetFormatPr defaultRowHeight="13.5"/>
  <cols>
    <col min="1" max="1" width="17.1875" style="24" customWidth="1"/>
    <col min="2" max="2" width="15.125" style="24" customWidth="1"/>
    <col min="3" max="4" width="11.9375" style="24" customWidth="1"/>
    <col min="5" max="6" width="10.5625" style="24" customWidth="1"/>
    <col min="7" max="7" width="13" style="24" customWidth="1"/>
    <col min="8" max="8" width="10.5625" style="24" customWidth="1"/>
    <col min="9" max="9" width="10.9375" style="24" customWidth="1"/>
    <col min="10" max="10" width="11.9375" style="24" customWidth="1"/>
    <col min="11" max="11" width="15.125" style="24" customWidth="1"/>
    <col min="12" max="12" width="10.9375" style="24" customWidth="1"/>
    <col min="13" max="13" width="16.1875" style="24" customWidth="1"/>
    <col min="14" max="14" width="15.125" style="24" customWidth="1"/>
    <col min="15" max="15" width="19.3125" style="24" customWidth="1"/>
    <col min="16" max="16" width="10.9375" style="24" customWidth="1"/>
    <col min="17" max="17" width="28.75" style="24" customWidth="1"/>
    <col min="18" max="26" width="10.5625" style="24" customWidth="1"/>
    <col min="27" max="16384" width="9" style="24"/>
  </cols>
  <sheetData>
    <row r="1" spans="1:26" ht="20" customHeight="1">
      <c r="A1" s="41" t="s">
        <v>194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2"/>
      <c r="R1" s="21"/>
      <c r="S1" s="21"/>
      <c r="T1" s="21"/>
      <c r="U1" s="21"/>
      <c r="V1" s="21"/>
      <c r="W1" s="21"/>
      <c r="X1" s="21"/>
      <c r="Y1" s="21"/>
      <c r="Z1" s="21"/>
    </row>
    <row r="2" spans="1:26" ht="14.25">
      <c r="A2" s="5" t="s">
        <v>195</v>
      </c>
      <c r="B2" s="5"/>
      <c r="C2" s="15">
        <v>1</v>
      </c>
      <c r="D2" s="15">
        <v>1</v>
      </c>
      <c r="E2" s="15">
        <v>1</v>
      </c>
      <c r="F2" s="15">
        <v>1</v>
      </c>
      <c r="G2" s="15">
        <v>1</v>
      </c>
      <c r="H2" s="15">
        <v>1</v>
      </c>
      <c r="I2" s="15">
        <v>1</v>
      </c>
      <c r="J2" s="15">
        <v>1</v>
      </c>
      <c r="K2" s="15">
        <v>1</v>
      </c>
      <c r="L2" s="15">
        <v>1</v>
      </c>
      <c r="M2" s="15">
        <v>1</v>
      </c>
      <c r="N2" s="5"/>
      <c r="O2" s="5"/>
      <c r="P2" s="5"/>
      <c r="Q2" s="9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196</v>
      </c>
      <c r="D3" s="3" t="s">
        <v>197</v>
      </c>
      <c r="E3" s="3" t="s">
        <v>198</v>
      </c>
      <c r="F3" s="3" t="s">
        <v>133</v>
      </c>
      <c r="G3" s="3" t="s">
        <v>199</v>
      </c>
      <c r="H3" s="3" t="s">
        <v>200</v>
      </c>
      <c r="I3" s="3" t="s">
        <v>201</v>
      </c>
      <c r="J3" s="3" t="s">
        <v>187</v>
      </c>
      <c r="K3" s="3" t="s">
        <v>202</v>
      </c>
      <c r="L3" s="3" t="s">
        <v>203</v>
      </c>
      <c r="M3" s="3" t="s">
        <v>204</v>
      </c>
      <c r="N3" s="3" t="s">
        <v>205</v>
      </c>
      <c r="O3" s="3" t="s">
        <v>206</v>
      </c>
      <c r="P3" s="3" t="s">
        <v>207</v>
      </c>
      <c r="Q3" s="8" t="s">
        <v>208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ht="14.25">
      <c r="A4" s="5" t="s">
        <v>260</v>
      </c>
      <c r="B4" s="5" t="str">
        <f>IF($A4="","",IFERROR(VLOOKUP($A4,'2_Конкуренты'!$A$4:$B$10,2,FALSE),"не найдено"))</f>
        <v>PerfectXL</v>
      </c>
      <c r="C4" s="5">
        <v>4</v>
      </c>
      <c r="D4" s="5">
        <v>4</v>
      </c>
      <c r="E4" s="5">
        <v>4</v>
      </c>
      <c r="F4" s="5">
        <v>3</v>
      </c>
      <c r="G4" s="5">
        <v>3</v>
      </c>
      <c r="H4" s="5">
        <v>3</v>
      </c>
      <c r="I4" s="5">
        <v>3</v>
      </c>
      <c r="J4" s="5">
        <v>3</v>
      </c>
      <c r="K4" s="5">
        <v>2</v>
      </c>
      <c r="L4" s="5">
        <v>3</v>
      </c>
      <c r="M4" s="5">
        <v>3</v>
      </c>
      <c r="N4" s="17">
        <f t="shared" ref="N4:N10" si="0">IF($A4="","",SUMPRODUCT($C4:$M4,$C$2:$M$2)/SUM($C$2:$M$2))</f>
        <v>3.1818181818181817</v>
      </c>
      <c r="O4" s="17">
        <f>IF($A4="","",IFERROR(VLOOKUP($A4,'4_Бизнес_модель'!$A$4:$P$10,16,FALSE),0))</f>
        <v>4.2</v>
      </c>
      <c r="P4" s="15">
        <f>IF($A4="","",IFERROR(VLOOKUP($A4,'4_Бизнес_модель'!$A$4:$O$10,15,FALSE),0))</f>
        <v>1</v>
      </c>
      <c r="Q4" s="20">
        <f t="shared" ref="Q4:Q10" si="1">IF($A4="","",$N4*0.6+$O4*0.25+$P4*5*0.15)</f>
        <v>3.709090909090909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309</v>
      </c>
      <c r="B5" s="5" t="str">
        <f>IF($A5="","",IFERROR(VLOOKUP($A5,'2_Конкуренты'!$A$4:$B$10,2,FALSE),"не найдено"))</f>
        <v>Arixcel</v>
      </c>
      <c r="C5" s="5">
        <v>3</v>
      </c>
      <c r="D5" s="5">
        <v>3</v>
      </c>
      <c r="E5" s="5">
        <v>3</v>
      </c>
      <c r="F5" s="5">
        <v>2</v>
      </c>
      <c r="G5" s="5">
        <v>2</v>
      </c>
      <c r="H5" s="5">
        <v>2</v>
      </c>
      <c r="I5" s="5">
        <v>2</v>
      </c>
      <c r="J5" s="5">
        <v>1</v>
      </c>
      <c r="K5" s="5">
        <v>1</v>
      </c>
      <c r="L5" s="5">
        <v>2</v>
      </c>
      <c r="M5" s="5">
        <v>2</v>
      </c>
      <c r="N5" s="17">
        <f t="shared" si="0"/>
        <v>2.0909090909090908</v>
      </c>
      <c r="O5" s="17">
        <f>IF($A5="","",IFERROR(VLOOKUP($A5,'4_Бизнес_модель'!$A$4:$P$10,16,FALSE),0))</f>
        <v>4</v>
      </c>
      <c r="P5" s="15">
        <f>IF($A5="","",IFERROR(VLOOKUP($A5,'4_Бизнес_модель'!$A$4:$O$10,15,FALSE),0))</f>
        <v>0.83333333333333337</v>
      </c>
      <c r="Q5" s="20">
        <f t="shared" si="1"/>
        <v>2.8795454545454544</v>
      </c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341</v>
      </c>
      <c r="B6" s="5" t="str">
        <f>IF($A6="","",IFERROR(VLOOKUP($A6,'2_Конкуренты'!$A$4:$B$10,2,FALSE),"не найдено"))</f>
        <v>Operis</v>
      </c>
      <c r="C6" s="5">
        <v>3</v>
      </c>
      <c r="D6" s="5">
        <v>3</v>
      </c>
      <c r="E6" s="5">
        <v>3</v>
      </c>
      <c r="F6" s="5">
        <v>2</v>
      </c>
      <c r="G6" s="5">
        <v>3</v>
      </c>
      <c r="H6" s="5">
        <v>3</v>
      </c>
      <c r="I6" s="5">
        <v>4</v>
      </c>
      <c r="J6" s="5">
        <v>3</v>
      </c>
      <c r="K6" s="5">
        <v>2</v>
      </c>
      <c r="L6" s="5">
        <v>2</v>
      </c>
      <c r="M6" s="5">
        <v>4</v>
      </c>
      <c r="N6" s="17">
        <f t="shared" si="0"/>
        <v>2.9090909090909092</v>
      </c>
      <c r="O6" s="17">
        <f>IF($A6="","",IFERROR(VLOOKUP($A6,'4_Бизнес_модель'!$A$4:$P$10,16,FALSE),0))</f>
        <v>4</v>
      </c>
      <c r="P6" s="15">
        <f>IF($A6="","",IFERROR(VLOOKUP($A6,'4_Бизнес_модель'!$A$4:$O$10,15,FALSE),0))</f>
        <v>1</v>
      </c>
      <c r="Q6" s="20">
        <f t="shared" si="1"/>
        <v>3.4954545454545451</v>
      </c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384</v>
      </c>
      <c r="B7" s="5" t="str">
        <f>IF($A7="","",IFERROR(VLOOKUP($A7,'2_Конкуренты'!$A$4:$B$10,2,FALSE),"не найдено"))</f>
        <v>Shortcut</v>
      </c>
      <c r="C7" s="5">
        <v>4</v>
      </c>
      <c r="D7" s="5">
        <v>5</v>
      </c>
      <c r="E7" s="5">
        <v>5</v>
      </c>
      <c r="F7" s="5">
        <v>4</v>
      </c>
      <c r="G7" s="5">
        <v>3</v>
      </c>
      <c r="H7" s="5">
        <v>5</v>
      </c>
      <c r="I7" s="5">
        <v>4</v>
      </c>
      <c r="J7" s="5">
        <v>3</v>
      </c>
      <c r="K7" s="5">
        <v>3</v>
      </c>
      <c r="L7" s="5">
        <v>4</v>
      </c>
      <c r="M7" s="5">
        <v>3</v>
      </c>
      <c r="N7" s="17">
        <f t="shared" si="0"/>
        <v>3.9090909090909092</v>
      </c>
      <c r="O7" s="17">
        <f>IF($A7="","",IFERROR(VLOOKUP($A7,'4_Бизнес_модель'!$A$4:$P$10,16,FALSE),0))</f>
        <v>4.5</v>
      </c>
      <c r="P7" s="15">
        <f>IF($A7="","",IFERROR(VLOOKUP($A7,'4_Бизнес_модель'!$A$4:$O$10,15,FALSE),0))</f>
        <v>1</v>
      </c>
      <c r="Q7" s="20">
        <f t="shared" si="1"/>
        <v>4.2204545454545457</v>
      </c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>
        <v>3</v>
      </c>
      <c r="D8" s="5">
        <v>3</v>
      </c>
      <c r="E8" s="5">
        <v>3</v>
      </c>
      <c r="F8" s="5">
        <v>4</v>
      </c>
      <c r="G8" s="5">
        <v>2</v>
      </c>
      <c r="H8" s="5">
        <v>3</v>
      </c>
      <c r="I8" s="5">
        <v>2</v>
      </c>
      <c r="J8" s="5">
        <v>2</v>
      </c>
      <c r="K8" s="5">
        <v>2</v>
      </c>
      <c r="L8" s="5">
        <v>4</v>
      </c>
      <c r="M8" s="5">
        <v>1</v>
      </c>
      <c r="N8" s="17">
        <f t="shared" si="0"/>
        <v>2.6363636363636362</v>
      </c>
      <c r="O8" s="17">
        <f>IF($A8="","",IFERROR(VLOOKUP($A8,'4_Бизнес_модель'!$A$4:$P$10,16,FALSE),0))</f>
        <v>4.2</v>
      </c>
      <c r="P8" s="15">
        <f>IF($A8="","",IFERROR(VLOOKUP($A8,'4_Бизнес_модель'!$A$4:$O$10,15,FALSE),0))</f>
        <v>1</v>
      </c>
      <c r="Q8" s="20">
        <f t="shared" si="1"/>
        <v>3.3818181818181818</v>
      </c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464</v>
      </c>
      <c r="B9" s="5" t="str">
        <f>IF($A9="","",IFERROR(VLOOKUP($A9,'2_Конкуренты'!$A$4:$B$10,2,FALSE),"не найдено"))</f>
        <v>Datarails</v>
      </c>
      <c r="C9" s="5">
        <v>4</v>
      </c>
      <c r="D9" s="5">
        <v>4</v>
      </c>
      <c r="E9" s="5">
        <v>4</v>
      </c>
      <c r="F9" s="5">
        <v>4</v>
      </c>
      <c r="G9" s="5">
        <v>4</v>
      </c>
      <c r="H9" s="5">
        <v>3</v>
      </c>
      <c r="I9" s="5">
        <v>4</v>
      </c>
      <c r="J9" s="5">
        <v>4</v>
      </c>
      <c r="K9" s="5">
        <v>3</v>
      </c>
      <c r="L9" s="5">
        <v>3</v>
      </c>
      <c r="M9" s="5">
        <v>4</v>
      </c>
      <c r="N9" s="17">
        <f t="shared" si="0"/>
        <v>3.7272727272727271</v>
      </c>
      <c r="O9" s="17">
        <f>IF($A9="","",IFERROR(VLOOKUP($A9,'4_Бизнес_модель'!$A$4:$P$10,16,FALSE),0))</f>
        <v>4.5</v>
      </c>
      <c r="P9" s="15">
        <f>IF($A9="","",IFERROR(VLOOKUP($A9,'4_Бизнес_модель'!$A$4:$O$10,15,FALSE),0))</f>
        <v>1</v>
      </c>
      <c r="Q9" s="20">
        <f t="shared" si="1"/>
        <v>4.1113636363636363</v>
      </c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6" t="s">
        <v>504</v>
      </c>
      <c r="B10" s="6" t="str">
        <f>IF($A10="","",IFERROR(VLOOKUP($A10,'2_Конкуренты'!$A$4:$B$10,2,FALSE),"не найдено"))</f>
        <v>DataSnipper</v>
      </c>
      <c r="C10" s="6">
        <v>4</v>
      </c>
      <c r="D10" s="6">
        <v>5</v>
      </c>
      <c r="E10" s="6">
        <v>4</v>
      </c>
      <c r="F10" s="6">
        <v>3</v>
      </c>
      <c r="G10" s="6">
        <v>4</v>
      </c>
      <c r="H10" s="6">
        <v>3</v>
      </c>
      <c r="I10" s="6">
        <v>4</v>
      </c>
      <c r="J10" s="6">
        <v>4</v>
      </c>
      <c r="K10" s="6">
        <v>4</v>
      </c>
      <c r="L10" s="6">
        <v>3</v>
      </c>
      <c r="M10" s="6">
        <v>4</v>
      </c>
      <c r="N10" s="18">
        <f t="shared" si="0"/>
        <v>3.8181818181818183</v>
      </c>
      <c r="O10" s="18">
        <f>IF($A10="","",IFERROR(VLOOKUP($A10,'4_Бизнес_модель'!$A$4:$P$10,16,FALSE),0))</f>
        <v>4.166666666666667</v>
      </c>
      <c r="P10" s="16">
        <f>IF($A10="","",IFERROR(VLOOKUP($A10,'4_Бизнес_модель'!$A$4:$O$10,15,FALSE),0))</f>
        <v>1</v>
      </c>
      <c r="Q10" s="19">
        <f t="shared" si="1"/>
        <v>4.082575757575758</v>
      </c>
      <c r="R10" s="23"/>
      <c r="S10" s="23"/>
      <c r="T10" s="23"/>
      <c r="U10" s="23"/>
      <c r="V10" s="23"/>
      <c r="W10" s="23"/>
      <c r="X10" s="23"/>
      <c r="Y10" s="23"/>
      <c r="Z10" s="23"/>
    </row>
  </sheetData>
  <mergeCells count="1">
    <mergeCell ref="A1:Q1"/>
  </mergeCells>
  <dataValidations count="1">
    <dataValidation type="list" sqref="C4:M10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5"/>
  <sheetViews>
    <sheetView topLeftCell="G1" workbookViewId="0">
      <selection activeCell="H5" sqref="H5"/>
    </sheetView>
  </sheetViews>
  <sheetFormatPr defaultRowHeight="13.5"/>
  <cols>
    <col min="1" max="1" width="49.75" style="24" customWidth="1"/>
    <col min="2" max="2" width="26.6875" style="24" customWidth="1"/>
    <col min="3" max="3" width="52.5625" style="24" customWidth="1"/>
    <col min="4" max="4" width="35.0625" style="24" customWidth="1"/>
    <col min="5" max="5" width="20.375" style="24" customWidth="1"/>
    <col min="6" max="6" width="26.6875" style="24" customWidth="1"/>
    <col min="7" max="7" width="52.5625" style="24" customWidth="1"/>
    <col min="8" max="8" width="47.6875" style="24" customWidth="1"/>
    <col min="9" max="26" width="10.5625" style="24" customWidth="1"/>
    <col min="27" max="16384" width="9" style="24"/>
  </cols>
  <sheetData>
    <row r="1" spans="1:26" ht="20" customHeight="1">
      <c r="A1" s="41" t="s">
        <v>209</v>
      </c>
      <c r="B1" s="41"/>
      <c r="C1" s="41"/>
      <c r="D1" s="41"/>
      <c r="E1" s="41"/>
      <c r="F1" s="41"/>
      <c r="G1" s="41"/>
      <c r="H1" s="42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210</v>
      </c>
      <c r="B2" s="43"/>
      <c r="C2" s="43"/>
      <c r="D2" s="43"/>
      <c r="E2" s="43"/>
      <c r="F2" s="43"/>
      <c r="G2" s="43"/>
      <c r="H2" s="44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211</v>
      </c>
      <c r="B3" s="3" t="s">
        <v>212</v>
      </c>
      <c r="C3" s="3" t="s">
        <v>213</v>
      </c>
      <c r="D3" s="3" t="s">
        <v>214</v>
      </c>
      <c r="E3" s="3" t="s">
        <v>215</v>
      </c>
      <c r="F3" s="3" t="s">
        <v>216</v>
      </c>
      <c r="G3" s="3" t="s">
        <v>217</v>
      </c>
      <c r="H3" s="8" t="s">
        <v>218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4.25">
      <c r="A4" s="5" t="s">
        <v>661</v>
      </c>
      <c r="B4" s="5" t="s">
        <v>132</v>
      </c>
      <c r="C4" s="5" t="s">
        <v>662</v>
      </c>
      <c r="D4" s="5">
        <v>7</v>
      </c>
      <c r="E4" s="15">
        <f>IF($D4="","",IFERROR($D4/'12_Сводка'!$B$4,0))</f>
        <v>1</v>
      </c>
      <c r="F4" s="5" t="str">
        <f t="shared" ref="F4:F1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5" t="str">
        <f t="shared" ref="G4:G15" si="1">IF($A4="","",IF($F4="рыночный стандарт","необходимо включить в минимально приемлемое предложение",IF($F4="формирующийся стандарт","значимость для клиента и вероятность закрепления оценены",IF($F4="зона дифференциации","может использоваться как поле позиционирования","использовать с ограничением"))))</f>
        <v>необходимо включить в минимально приемлемое предложение</v>
      </c>
      <c r="H4" s="9" t="s">
        <v>745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663</v>
      </c>
      <c r="B5" s="5" t="s">
        <v>135</v>
      </c>
      <c r="C5" s="5" t="s">
        <v>664</v>
      </c>
      <c r="D5" s="5">
        <v>2</v>
      </c>
      <c r="E5" s="15">
        <f>IF($D5="","",IFERROR($D5/'12_Сводка'!$B$4,0))</f>
        <v>0.2857142857142857</v>
      </c>
      <c r="F5" s="5" t="str">
        <f t="shared" si="0"/>
        <v>зона дифференциации</v>
      </c>
      <c r="G5" s="5" t="str">
        <f t="shared" si="1"/>
        <v>может использоваться как поле позиционирования</v>
      </c>
      <c r="H5" s="9" t="s">
        <v>745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665</v>
      </c>
      <c r="B6" s="5" t="s">
        <v>134</v>
      </c>
      <c r="C6" s="5" t="s">
        <v>666</v>
      </c>
      <c r="D6" s="5">
        <v>3</v>
      </c>
      <c r="E6" s="15">
        <f>IF($D6="","",IFERROR($D6/'12_Сводка'!$B$4,0))</f>
        <v>0.42857142857142855</v>
      </c>
      <c r="F6" s="5" t="str">
        <f t="shared" si="0"/>
        <v>формирующийся стандарт</v>
      </c>
      <c r="G6" s="5" t="str">
        <f t="shared" si="1"/>
        <v>значимость для клиента и вероятность закрепления оценены</v>
      </c>
      <c r="H6" s="9" t="s">
        <v>745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667</v>
      </c>
      <c r="B7" s="5" t="s">
        <v>133</v>
      </c>
      <c r="C7" s="5" t="s">
        <v>668</v>
      </c>
      <c r="D7" s="5">
        <v>4</v>
      </c>
      <c r="E7" s="15">
        <f>IF($D7="","",IFERROR($D7/'12_Сводка'!$B$4,0))</f>
        <v>0.5714285714285714</v>
      </c>
      <c r="F7" s="5" t="str">
        <f t="shared" si="0"/>
        <v>формирующийся стандарт</v>
      </c>
      <c r="G7" s="5" t="str">
        <f t="shared" si="1"/>
        <v>значимость для клиента и вероятность закрепления оценены</v>
      </c>
      <c r="H7" s="9" t="s">
        <v>745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669</v>
      </c>
      <c r="B8" s="5" t="s">
        <v>136</v>
      </c>
      <c r="C8" s="5" t="s">
        <v>670</v>
      </c>
      <c r="D8" s="5">
        <v>3</v>
      </c>
      <c r="E8" s="15">
        <f>IF($D8="","",IFERROR($D8/'12_Сводка'!$B$4,0))</f>
        <v>0.42857142857142855</v>
      </c>
      <c r="F8" s="5" t="str">
        <f t="shared" si="0"/>
        <v>формирующийся стандарт</v>
      </c>
      <c r="G8" s="5" t="str">
        <f t="shared" si="1"/>
        <v>значимость для клиента и вероятность закрепления оценены</v>
      </c>
      <c r="H8" s="9" t="s">
        <v>745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671</v>
      </c>
      <c r="B9" s="5" t="s">
        <v>131</v>
      </c>
      <c r="C9" s="5" t="s">
        <v>672</v>
      </c>
      <c r="D9" s="5">
        <v>5</v>
      </c>
      <c r="E9" s="15">
        <f>IF($D9="","",IFERROR($D9/'12_Сводка'!$B$4,0))</f>
        <v>0.7142857142857143</v>
      </c>
      <c r="F9" s="5" t="str">
        <f t="shared" si="0"/>
        <v>рыночный стандарт</v>
      </c>
      <c r="G9" s="5" t="str">
        <f t="shared" si="1"/>
        <v>необходимо включить в минимально приемлемое предложение</v>
      </c>
      <c r="H9" s="9" t="s">
        <v>745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5" t="s">
        <v>673</v>
      </c>
      <c r="B10" s="5" t="s">
        <v>135</v>
      </c>
      <c r="C10" s="5" t="s">
        <v>674</v>
      </c>
      <c r="D10" s="5">
        <v>5</v>
      </c>
      <c r="E10" s="15">
        <f>IF($D10="","",IFERROR($D10/'12_Сводка'!$B$4,0))</f>
        <v>0.7142857142857143</v>
      </c>
      <c r="F10" s="5" t="str">
        <f t="shared" si="0"/>
        <v>рыночный стандарт</v>
      </c>
      <c r="G10" s="5" t="str">
        <f t="shared" si="1"/>
        <v>необходимо включить в минимально приемлемое предложение</v>
      </c>
      <c r="H10" s="9" t="s">
        <v>745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4.25">
      <c r="A11" s="5" t="s">
        <v>675</v>
      </c>
      <c r="B11" s="5" t="s">
        <v>134</v>
      </c>
      <c r="C11" s="5" t="s">
        <v>676</v>
      </c>
      <c r="D11" s="5">
        <v>6</v>
      </c>
      <c r="E11" s="15">
        <f>IF($D11="","",IFERROR($D11/'12_Сводка'!$B$4,0))</f>
        <v>0.8571428571428571</v>
      </c>
      <c r="F11" s="5" t="str">
        <f t="shared" si="0"/>
        <v>рыночный стандарт</v>
      </c>
      <c r="G11" s="5" t="str">
        <f t="shared" si="1"/>
        <v>необходимо включить в минимально приемлемое предложение</v>
      </c>
      <c r="H11" s="9" t="s">
        <v>745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4.25">
      <c r="A12" s="5" t="s">
        <v>677</v>
      </c>
      <c r="B12" s="5" t="s">
        <v>132</v>
      </c>
      <c r="C12" s="5" t="s">
        <v>678</v>
      </c>
      <c r="D12" s="5">
        <v>4</v>
      </c>
      <c r="E12" s="15">
        <f>IF($D12="","",IFERROR($D12/'12_Сводка'!$B$4,0))</f>
        <v>0.5714285714285714</v>
      </c>
      <c r="F12" s="5" t="str">
        <f t="shared" si="0"/>
        <v>формирующийся стандарт</v>
      </c>
      <c r="G12" s="5" t="str">
        <f t="shared" si="1"/>
        <v>значимость для клиента и вероятность закрепления оценены</v>
      </c>
      <c r="H12" s="9" t="s">
        <v>745</v>
      </c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14.25">
      <c r="A13" s="5" t="s">
        <v>679</v>
      </c>
      <c r="B13" s="5" t="s">
        <v>132</v>
      </c>
      <c r="C13" s="5" t="s">
        <v>680</v>
      </c>
      <c r="D13" s="5">
        <v>2</v>
      </c>
      <c r="E13" s="15">
        <f>IF($D13="","",IFERROR($D13/'12_Сводка'!$B$4,0))</f>
        <v>0.2857142857142857</v>
      </c>
      <c r="F13" s="5" t="str">
        <f t="shared" si="0"/>
        <v>зона дифференциации</v>
      </c>
      <c r="G13" s="5" t="str">
        <f t="shared" si="1"/>
        <v>может использоваться как поле позиционирования</v>
      </c>
      <c r="H13" s="9" t="s">
        <v>745</v>
      </c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4.25">
      <c r="A14" s="5" t="s">
        <v>681</v>
      </c>
      <c r="B14" s="5" t="s">
        <v>135</v>
      </c>
      <c r="C14" s="5" t="s">
        <v>682</v>
      </c>
      <c r="D14" s="5">
        <v>4</v>
      </c>
      <c r="E14" s="15">
        <f>IF($D14="","",IFERROR($D14/'12_Сводка'!$B$4,0))</f>
        <v>0.5714285714285714</v>
      </c>
      <c r="F14" s="5" t="str">
        <f t="shared" si="0"/>
        <v>формирующийся стандарт</v>
      </c>
      <c r="G14" s="5" t="str">
        <f t="shared" si="1"/>
        <v>значимость для клиента и вероятность закрепления оценены</v>
      </c>
      <c r="H14" s="9" t="s">
        <v>745</v>
      </c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4.25">
      <c r="A15" s="6" t="s">
        <v>683</v>
      </c>
      <c r="B15" s="6" t="s">
        <v>138</v>
      </c>
      <c r="C15" s="6" t="s">
        <v>684</v>
      </c>
      <c r="D15" s="6">
        <v>4</v>
      </c>
      <c r="E15" s="16">
        <f>IF($D15="","",IFERROR($D15/'12_Сводка'!$B$4,0))</f>
        <v>0.5714285714285714</v>
      </c>
      <c r="F15" s="6" t="str">
        <f t="shared" si="0"/>
        <v>формирующийся стандарт</v>
      </c>
      <c r="G15" s="6" t="str">
        <f t="shared" si="1"/>
        <v>значимость для клиента и вероятность закрепления оценены</v>
      </c>
      <c r="H15" s="7" t="s">
        <v>745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</sheetData>
  <mergeCells count="2">
    <mergeCell ref="A1:H1"/>
    <mergeCell ref="A2:H2"/>
  </mergeCells>
  <dataValidations count="1">
    <dataValidation type="list" sqref="B4:B15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1"/>
  <sheetViews>
    <sheetView workbookViewId="0">
      <selection activeCell="C16" sqref="C16"/>
    </sheetView>
  </sheetViews>
  <sheetFormatPr defaultRowHeight="13.5"/>
  <cols>
    <col min="1" max="1" width="17.1875" style="24" customWidth="1"/>
    <col min="2" max="2" width="15.125" style="24" customWidth="1"/>
    <col min="3" max="3" width="52.5625" style="24" customWidth="1"/>
    <col min="4" max="4" width="20.375" style="24" customWidth="1"/>
    <col min="5" max="5" width="32.9375" style="24" customWidth="1"/>
    <col min="6" max="6" width="27.6875" style="24" customWidth="1"/>
    <col min="7" max="7" width="11.9375" style="24" customWidth="1"/>
    <col min="8" max="8" width="29.8125" style="24" customWidth="1"/>
    <col min="9" max="9" width="31.9375" style="24" customWidth="1"/>
    <col min="10" max="10" width="23.5" style="24" customWidth="1"/>
    <col min="11" max="11" width="17.1875" style="24" customWidth="1"/>
    <col min="12" max="12" width="26.6875" style="24" customWidth="1"/>
    <col min="13" max="13" width="66.25" style="24" customWidth="1"/>
    <col min="14" max="26" width="10.5625" style="24" customWidth="1"/>
    <col min="27" max="16384" width="9" style="24"/>
  </cols>
  <sheetData>
    <row r="1" spans="1:26" ht="20" customHeight="1">
      <c r="A1" s="41" t="s">
        <v>219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2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220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4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120</v>
      </c>
      <c r="B3" s="3" t="s">
        <v>121</v>
      </c>
      <c r="C3" s="3" t="s">
        <v>221</v>
      </c>
      <c r="D3" s="3" t="s">
        <v>10</v>
      </c>
      <c r="E3" s="3" t="s">
        <v>222</v>
      </c>
      <c r="F3" s="3" t="s">
        <v>155</v>
      </c>
      <c r="G3" s="3" t="s">
        <v>223</v>
      </c>
      <c r="H3" s="3" t="s">
        <v>191</v>
      </c>
      <c r="I3" s="3" t="s">
        <v>224</v>
      </c>
      <c r="J3" s="3" t="s">
        <v>126</v>
      </c>
      <c r="K3" s="3" t="s">
        <v>225</v>
      </c>
      <c r="L3" s="3" t="s">
        <v>75</v>
      </c>
      <c r="M3" s="8" t="s">
        <v>226</v>
      </c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28.5">
      <c r="A4" s="5" t="s">
        <v>260</v>
      </c>
      <c r="B4" s="5" t="str">
        <f>IF($A4="","",IFERROR(VLOOKUP($A4,'2_Конкуренты'!$A$4:$B$10,2,FALSE),"не найдено"))</f>
        <v>PerfectXL</v>
      </c>
      <c r="C4" s="5" t="s">
        <v>685</v>
      </c>
      <c r="D4" s="5" t="s">
        <v>686</v>
      </c>
      <c r="E4" s="5" t="s">
        <v>131</v>
      </c>
      <c r="F4" s="5" t="s">
        <v>687</v>
      </c>
      <c r="G4" s="5">
        <v>4</v>
      </c>
      <c r="H4" s="5">
        <v>3</v>
      </c>
      <c r="I4" s="5">
        <v>4</v>
      </c>
      <c r="J4" s="5">
        <v>5</v>
      </c>
      <c r="K4" s="17">
        <f t="shared" ref="K4:K11" si="0">IF($A4="","",$G4*0.3+$H4*0.25+$I4*0.25+$J4*0.2)</f>
        <v>3.95</v>
      </c>
      <c r="L4" s="5" t="str">
        <f t="shared" ref="L4:L11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9" t="s">
        <v>727</v>
      </c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260</v>
      </c>
      <c r="B5" s="5" t="str">
        <f>IF($A5="","",IFERROR(VLOOKUP($A5,'2_Конкуренты'!$A$4:$B$10,2,FALSE),"не найдено"))</f>
        <v>PerfectXL</v>
      </c>
      <c r="C5" s="5" t="s">
        <v>688</v>
      </c>
      <c r="D5" s="5" t="s">
        <v>19</v>
      </c>
      <c r="E5" s="5" t="s">
        <v>132</v>
      </c>
      <c r="F5" s="5" t="s">
        <v>689</v>
      </c>
      <c r="G5" s="5">
        <v>4</v>
      </c>
      <c r="H5" s="5">
        <v>3</v>
      </c>
      <c r="I5" s="5">
        <v>4</v>
      </c>
      <c r="J5" s="5">
        <v>4</v>
      </c>
      <c r="K5" s="17">
        <f t="shared" si="0"/>
        <v>3.75</v>
      </c>
      <c r="L5" s="5" t="str">
        <f t="shared" si="1"/>
        <v>умеренное преимущество</v>
      </c>
      <c r="M5" s="9" t="s">
        <v>727</v>
      </c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384</v>
      </c>
      <c r="B6" s="5" t="str">
        <f>IF($A6="","",IFERROR(VLOOKUP($A6,'2_Конкуренты'!$A$4:$B$10,2,FALSE),"не найдено"))</f>
        <v>Shortcut</v>
      </c>
      <c r="C6" s="5" t="s">
        <v>690</v>
      </c>
      <c r="D6" s="5" t="s">
        <v>691</v>
      </c>
      <c r="E6" s="5" t="s">
        <v>135</v>
      </c>
      <c r="F6" s="5" t="s">
        <v>402</v>
      </c>
      <c r="G6" s="5">
        <v>4</v>
      </c>
      <c r="H6" s="5">
        <v>2</v>
      </c>
      <c r="I6" s="5">
        <v>4</v>
      </c>
      <c r="J6" s="5">
        <v>5</v>
      </c>
      <c r="K6" s="17">
        <f t="shared" si="0"/>
        <v>3.7</v>
      </c>
      <c r="L6" s="5" t="str">
        <f t="shared" si="1"/>
        <v>умеренное преимущество</v>
      </c>
      <c r="M6" s="9" t="s">
        <v>727</v>
      </c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384</v>
      </c>
      <c r="B7" s="5" t="str">
        <f>IF($A7="","",IFERROR(VLOOKUP($A7,'2_Конкуренты'!$A$4:$B$10,2,FALSE),"не найдено"))</f>
        <v>Shortcut</v>
      </c>
      <c r="C7" s="5" t="s">
        <v>692</v>
      </c>
      <c r="D7" s="5" t="s">
        <v>686</v>
      </c>
      <c r="E7" s="5" t="s">
        <v>136</v>
      </c>
      <c r="F7" s="5" t="s">
        <v>693</v>
      </c>
      <c r="G7" s="5">
        <v>5</v>
      </c>
      <c r="H7" s="5">
        <v>3</v>
      </c>
      <c r="I7" s="5">
        <v>5</v>
      </c>
      <c r="J7" s="5">
        <v>5</v>
      </c>
      <c r="K7" s="17">
        <f t="shared" si="0"/>
        <v>4.5</v>
      </c>
      <c r="L7" s="5" t="str">
        <f t="shared" si="1"/>
        <v>сильное преимущество</v>
      </c>
      <c r="M7" s="9" t="s">
        <v>727</v>
      </c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426</v>
      </c>
      <c r="B8" s="5" t="str">
        <f>IF($A8="","",IFERROR(VLOOKUP($A8,'2_Конкуренты'!$A$4:$B$10,2,FALSE),"не найдено"))</f>
        <v>Numerous.ai</v>
      </c>
      <c r="C8" s="5" t="s">
        <v>694</v>
      </c>
      <c r="D8" s="5" t="s">
        <v>28</v>
      </c>
      <c r="E8" s="5" t="s">
        <v>135</v>
      </c>
      <c r="F8" s="5" t="s">
        <v>441</v>
      </c>
      <c r="G8" s="5">
        <v>3</v>
      </c>
      <c r="H8" s="5">
        <v>1</v>
      </c>
      <c r="I8" s="5">
        <v>3</v>
      </c>
      <c r="J8" s="5">
        <v>5</v>
      </c>
      <c r="K8" s="17">
        <f t="shared" si="0"/>
        <v>2.9</v>
      </c>
      <c r="L8" s="5" t="str">
        <f t="shared" si="1"/>
        <v>слабое преимущество</v>
      </c>
      <c r="M8" s="9" t="s">
        <v>727</v>
      </c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464</v>
      </c>
      <c r="B9" s="5" t="str">
        <f>IF($A9="","",IFERROR(VLOOKUP($A9,'2_Конкуренты'!$A$4:$B$10,2,FALSE),"не найдено"))</f>
        <v>Datarails</v>
      </c>
      <c r="C9" s="5" t="s">
        <v>695</v>
      </c>
      <c r="D9" s="5" t="s">
        <v>696</v>
      </c>
      <c r="E9" s="5" t="s">
        <v>138</v>
      </c>
      <c r="F9" s="5" t="s">
        <v>697</v>
      </c>
      <c r="G9" s="5">
        <v>5</v>
      </c>
      <c r="H9" s="5">
        <v>4</v>
      </c>
      <c r="I9" s="5">
        <v>4</v>
      </c>
      <c r="J9" s="5">
        <v>4</v>
      </c>
      <c r="K9" s="17">
        <f t="shared" si="0"/>
        <v>4.3</v>
      </c>
      <c r="L9" s="5" t="str">
        <f t="shared" si="1"/>
        <v>сильное преимущество</v>
      </c>
      <c r="M9" s="9" t="s">
        <v>727</v>
      </c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5" t="s">
        <v>504</v>
      </c>
      <c r="B10" s="5" t="str">
        <f>IF($A10="","",IFERROR(VLOOKUP($A10,'2_Конкуренты'!$A$4:$B$10,2,FALSE),"не найдено"))</f>
        <v>DataSnipper</v>
      </c>
      <c r="C10" s="5" t="s">
        <v>698</v>
      </c>
      <c r="D10" s="5" t="s">
        <v>686</v>
      </c>
      <c r="E10" s="5" t="s">
        <v>131</v>
      </c>
      <c r="F10" s="5" t="s">
        <v>699</v>
      </c>
      <c r="G10" s="5">
        <v>5</v>
      </c>
      <c r="H10" s="5">
        <v>4</v>
      </c>
      <c r="I10" s="5">
        <v>5</v>
      </c>
      <c r="J10" s="5">
        <v>5</v>
      </c>
      <c r="K10" s="17">
        <f t="shared" si="0"/>
        <v>4.75</v>
      </c>
      <c r="L10" s="5" t="str">
        <f t="shared" si="1"/>
        <v>сильное преимущество</v>
      </c>
      <c r="M10" s="9" t="s">
        <v>727</v>
      </c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4.25">
      <c r="A11" s="6" t="s">
        <v>341</v>
      </c>
      <c r="B11" s="6" t="str">
        <f>IF($A11="","",IFERROR(VLOOKUP($A11,'2_Конкуренты'!$A$4:$B$10,2,FALSE),"не найдено"))</f>
        <v>Operis</v>
      </c>
      <c r="C11" s="6" t="s">
        <v>700</v>
      </c>
      <c r="D11" s="6" t="s">
        <v>701</v>
      </c>
      <c r="E11" s="6" t="s">
        <v>131</v>
      </c>
      <c r="F11" s="6" t="s">
        <v>702</v>
      </c>
      <c r="G11" s="6">
        <v>4</v>
      </c>
      <c r="H11" s="6">
        <v>5</v>
      </c>
      <c r="I11" s="6">
        <v>3</v>
      </c>
      <c r="J11" s="6">
        <v>4</v>
      </c>
      <c r="K11" s="18">
        <f t="shared" si="0"/>
        <v>4</v>
      </c>
      <c r="L11" s="6" t="str">
        <f t="shared" si="1"/>
        <v>сильное преимущество</v>
      </c>
      <c r="M11" s="7" t="s">
        <v>727</v>
      </c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</sheetData>
  <mergeCells count="2">
    <mergeCell ref="A1:M1"/>
    <mergeCell ref="A2:M2"/>
  </mergeCells>
  <dataValidations count="3">
    <dataValidation type="list" sqref="D4:D11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11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11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6"/>
  <sheetViews>
    <sheetView topLeftCell="A22" zoomScale="84" workbookViewId="0">
      <selection activeCell="C41" sqref="C41"/>
    </sheetView>
  </sheetViews>
  <sheetFormatPr defaultRowHeight="13.5"/>
  <cols>
    <col min="1" max="1" width="45.5625" style="22" customWidth="1"/>
    <col min="2" max="3" width="52.5625" style="22" customWidth="1"/>
    <col min="4" max="4" width="10.5625" style="22" customWidth="1"/>
    <col min="5" max="5" width="23.5" style="22" customWidth="1"/>
    <col min="6" max="6" width="15.125" style="22" customWidth="1"/>
    <col min="7" max="7" width="17.1875" style="22" customWidth="1"/>
    <col min="8" max="26" width="10.5625" style="22" customWidth="1"/>
    <col min="27" max="16384" width="9" style="22"/>
  </cols>
  <sheetData>
    <row r="1" spans="1:26" ht="20" customHeight="1">
      <c r="A1" s="41" t="s">
        <v>227</v>
      </c>
      <c r="B1" s="41"/>
      <c r="C1" s="41"/>
      <c r="D1" s="41"/>
      <c r="E1" s="41"/>
      <c r="F1" s="41"/>
      <c r="G1" s="41"/>
      <c r="H1" s="41"/>
      <c r="I1" s="41"/>
      <c r="J1" s="42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20" customHeight="1">
      <c r="A2" s="43" t="s">
        <v>228</v>
      </c>
      <c r="B2" s="43"/>
      <c r="C2" s="43"/>
      <c r="D2" s="38"/>
      <c r="E2" s="43"/>
      <c r="F2" s="43"/>
      <c r="G2" s="43"/>
      <c r="H2" s="38"/>
      <c r="I2" s="38"/>
      <c r="J2" s="47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ht="14.25">
      <c r="A3" s="3" t="s">
        <v>229</v>
      </c>
      <c r="B3" s="3" t="s">
        <v>230</v>
      </c>
      <c r="C3" s="8" t="s">
        <v>75</v>
      </c>
      <c r="D3" s="23"/>
      <c r="E3" s="3" t="s">
        <v>231</v>
      </c>
      <c r="F3" s="3"/>
      <c r="G3" s="8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4.25">
      <c r="A4" s="5" t="s">
        <v>232</v>
      </c>
      <c r="B4" s="5">
        <f>COUNTA('2_Конкуренты'!$A$4:$A$10)</f>
        <v>7</v>
      </c>
      <c r="C4" s="9" t="s">
        <v>233</v>
      </c>
      <c r="D4" s="23"/>
      <c r="E4" s="5" t="s">
        <v>234</v>
      </c>
      <c r="F4" s="5" t="s">
        <v>235</v>
      </c>
      <c r="G4" s="9" t="s">
        <v>225</v>
      </c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4.25">
      <c r="A5" s="5" t="s">
        <v>236</v>
      </c>
      <c r="B5" s="5">
        <f>COUNTIF('2_Конкуренты'!$H$4:$H$10,"завершен")</f>
        <v>7</v>
      </c>
      <c r="C5" s="9" t="s">
        <v>237</v>
      </c>
      <c r="D5" s="23"/>
      <c r="E5" s="5">
        <v>1</v>
      </c>
      <c r="F5" s="5" t="str">
        <f>IFERROR(INDEX('9_Матрица'!$B$4:$B$10,MATCH(LARGE('9_Матрица'!$Q$4:$Q$10,$E5),'9_Матрица'!$Q$4:$Q$10,0)),"-")</f>
        <v>Shortcut</v>
      </c>
      <c r="G5" s="20">
        <f>IFERROR(LARGE('9_Матрица'!$Q$4:$Q$10,$E5),"-")</f>
        <v>4.2204545454545457</v>
      </c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4.25">
      <c r="A6" s="5" t="s">
        <v>238</v>
      </c>
      <c r="B6" s="15">
        <f>IFERROR($B$5/$B$4,0)</f>
        <v>1</v>
      </c>
      <c r="C6" s="9" t="s">
        <v>239</v>
      </c>
      <c r="D6" s="23"/>
      <c r="E6" s="5">
        <v>2</v>
      </c>
      <c r="F6" s="5" t="str">
        <f>IFERROR(INDEX('9_Матрица'!$B$4:$B$10,MATCH(LARGE('9_Матрица'!$Q$4:$Q$10,$E6),'9_Матрица'!$Q$4:$Q$10,0)),"-")</f>
        <v>Datarails</v>
      </c>
      <c r="G6" s="20">
        <f>IFERROR(LARGE('9_Матрица'!$Q$4:$Q$10,$E6),"-")</f>
        <v>4.1113636363636363</v>
      </c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4.25">
      <c r="A7" s="5" t="s">
        <v>240</v>
      </c>
      <c r="B7" s="15">
        <f>IFERROR(AVERAGE('4_Бизнес_модель'!$O$4:$O$10),0)</f>
        <v>0.97619047619047628</v>
      </c>
      <c r="C7" s="9" t="s">
        <v>241</v>
      </c>
      <c r="D7" s="23"/>
      <c r="E7" s="5">
        <v>3</v>
      </c>
      <c r="F7" s="5" t="str">
        <f>IFERROR(INDEX('9_Матрица'!$B$4:$B$10,MATCH(LARGE('9_Матрица'!$Q$4:$Q$10,$E7),'9_Матрица'!$Q$4:$Q$10,0)),"-")</f>
        <v>DataSnipper</v>
      </c>
      <c r="G7" s="20">
        <f>IFERROR(LARGE('9_Матрица'!$Q$4:$Q$10,$E7),"-")</f>
        <v>4.082575757575758</v>
      </c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4.25">
      <c r="A8" s="5" t="s">
        <v>242</v>
      </c>
      <c r="B8" s="17">
        <f>IFERROR(AVERAGE('4_Бизнес_модель'!$P$4:$P$10),0)</f>
        <v>4.2238095238095239</v>
      </c>
      <c r="C8" s="9" t="s">
        <v>243</v>
      </c>
      <c r="D8" s="23"/>
      <c r="E8" s="5">
        <v>4</v>
      </c>
      <c r="F8" s="5" t="str">
        <f>IFERROR(INDEX('9_Матрица'!$B$4:$B$10,MATCH(LARGE('9_Матрица'!$Q$4:$Q$10,$E8),'9_Матрица'!$Q$4:$Q$10,0)),"-")</f>
        <v>PerfectXL</v>
      </c>
      <c r="G8" s="20">
        <f>IFERROR(LARGE('9_Матрица'!$Q$4:$Q$10,$E8),"-")</f>
        <v>3.709090909090909</v>
      </c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4.25">
      <c r="A9" s="5" t="s">
        <v>244</v>
      </c>
      <c r="B9" s="17">
        <f>IFERROR(AVERAGE('9_Матрица'!$Q$4:$Q$10),0)</f>
        <v>3.6971861471861471</v>
      </c>
      <c r="C9" s="9" t="s">
        <v>245</v>
      </c>
      <c r="D9" s="23"/>
      <c r="E9" s="5">
        <v>5</v>
      </c>
      <c r="F9" s="5" t="str">
        <f>IFERROR(INDEX('9_Матрица'!$B$4:$B$10,MATCH(LARGE('9_Матрица'!$Q$4:$Q$10,$E9),'9_Матрица'!$Q$4:$Q$10,0)),"-")</f>
        <v>Operis</v>
      </c>
      <c r="G9" s="20">
        <f>IFERROR(LARGE('9_Матрица'!$Q$4:$Q$10,$E9),"-")</f>
        <v>3.4954545454545451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4.25">
      <c r="A10" s="6" t="s">
        <v>246</v>
      </c>
      <c r="B10" s="6">
        <f>COUNTIF('11_Преимущества'!$A$4:$A$11,"&lt;&gt;")</f>
        <v>8</v>
      </c>
      <c r="C10" s="7" t="s">
        <v>247</v>
      </c>
      <c r="D10" s="23"/>
      <c r="E10" s="5">
        <v>6</v>
      </c>
      <c r="F10" s="5" t="str">
        <f>IFERROR(INDEX('9_Матрица'!$B$4:$B$10,MATCH(LARGE('9_Матрица'!$Q$4:$Q$10,$E10),'9_Матрица'!$Q$4:$Q$10,0)),"-")</f>
        <v>Numerous.ai</v>
      </c>
      <c r="G10" s="20">
        <f>IFERROR(LARGE('9_Матрица'!$Q$4:$Q$10,$E10),"-")</f>
        <v>3.3818181818181818</v>
      </c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4.25">
      <c r="A11" s="23"/>
      <c r="B11" s="23"/>
      <c r="C11" s="23"/>
      <c r="D11" s="23"/>
      <c r="E11" s="5">
        <v>7</v>
      </c>
      <c r="F11" s="5" t="str">
        <f>IFERROR(INDEX('9_Матрица'!$B$4:$B$10,MATCH(LARGE('9_Матрица'!$Q$4:$Q$10,$E11),'9_Матрица'!$Q$4:$Q$10,0)),"-")</f>
        <v>Arixcel</v>
      </c>
      <c r="G11" s="20">
        <f>IFERROR(LARGE('9_Матрица'!$Q$4:$Q$10,$E11),"-")</f>
        <v>2.8795454545454544</v>
      </c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4.25">
      <c r="A12" s="23"/>
      <c r="B12" s="23"/>
      <c r="C12" s="23"/>
      <c r="D12" s="23"/>
      <c r="E12"/>
      <c r="F12"/>
      <c r="G12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14.25">
      <c r="A13" s="3" t="s">
        <v>248</v>
      </c>
      <c r="B13" s="3"/>
      <c r="C13" s="8"/>
      <c r="D13" s="23"/>
      <c r="E13"/>
      <c r="F13"/>
      <c r="G1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4.25">
      <c r="A14" s="5" t="s">
        <v>216</v>
      </c>
      <c r="B14" s="5" t="s">
        <v>249</v>
      </c>
      <c r="C14" s="9" t="s">
        <v>250</v>
      </c>
      <c r="D14" s="23"/>
      <c r="E14"/>
      <c r="F14"/>
      <c r="G14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28.5">
      <c r="A15" s="5" t="s">
        <v>18</v>
      </c>
      <c r="B15" s="5">
        <f>COUNTIF('10_Стандарт'!$F$4:$F$15,"рыночный стандарт")</f>
        <v>4</v>
      </c>
      <c r="C15" s="9" t="s">
        <v>251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4.25">
      <c r="A16" s="5" t="s">
        <v>27</v>
      </c>
      <c r="B16" s="5">
        <f>COUNTIF('10_Стандарт'!$F$4:$F$15,"формирующийся стандарт")</f>
        <v>6</v>
      </c>
      <c r="C16" s="9" t="s">
        <v>252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4.25">
      <c r="A17" s="5" t="s">
        <v>36</v>
      </c>
      <c r="B17" s="5">
        <f>COUNTIF('10_Стандарт'!$F$4:$F$15,"зона дифференциации")</f>
        <v>2</v>
      </c>
      <c r="C17" s="9" t="s">
        <v>253</v>
      </c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14.25">
      <c r="A18" s="6" t="s">
        <v>51</v>
      </c>
      <c r="B18" s="6">
        <f>COUNTIF('10_Стандарт'!$F$4:$F$15,"слабый сигнал")</f>
        <v>0</v>
      </c>
      <c r="C18" s="7" t="s">
        <v>254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4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spans="1:26" ht="14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20" customHeight="1">
      <c r="A21" s="48" t="s">
        <v>728</v>
      </c>
      <c r="B21" s="48"/>
      <c r="C21" s="49"/>
      <c r="D21" s="49"/>
      <c r="E21" s="49"/>
      <c r="F21" s="49"/>
      <c r="G21" s="49"/>
      <c r="H21" s="49"/>
      <c r="I21" s="49"/>
      <c r="J21" s="50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spans="1:26" ht="48" customHeight="1">
      <c r="A22" s="5" t="s">
        <v>255</v>
      </c>
      <c r="B22" s="51" t="s">
        <v>768</v>
      </c>
      <c r="C22" s="52"/>
      <c r="D22" s="52"/>
      <c r="E22" s="52"/>
      <c r="F22" s="52"/>
      <c r="G22" s="52"/>
      <c r="H22" s="52"/>
      <c r="I22" s="52"/>
      <c r="J22" s="52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spans="1:26" ht="48" customHeight="1">
      <c r="A23" s="5" t="s">
        <v>256</v>
      </c>
      <c r="B23" s="45" t="s">
        <v>771</v>
      </c>
      <c r="C23" s="46"/>
      <c r="D23" s="46"/>
      <c r="E23" s="46"/>
      <c r="F23" s="46"/>
      <c r="G23" s="46"/>
      <c r="H23" s="46"/>
      <c r="I23" s="46"/>
      <c r="J23" s="46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spans="1:26" ht="48" customHeight="1">
      <c r="A24" s="5" t="s">
        <v>257</v>
      </c>
      <c r="B24" s="45" t="s">
        <v>769</v>
      </c>
      <c r="C24" s="46"/>
      <c r="D24" s="46"/>
      <c r="E24" s="46"/>
      <c r="F24" s="46"/>
      <c r="G24" s="46"/>
      <c r="H24" s="46"/>
      <c r="I24" s="46"/>
      <c r="J24" s="46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spans="1:26" ht="48" customHeight="1">
      <c r="A25" s="5" t="s">
        <v>258</v>
      </c>
      <c r="B25" s="45" t="s">
        <v>772</v>
      </c>
      <c r="C25" s="46"/>
      <c r="D25" s="46"/>
      <c r="E25" s="46"/>
      <c r="F25" s="46"/>
      <c r="G25" s="46"/>
      <c r="H25" s="46"/>
      <c r="I25" s="46"/>
      <c r="J25" s="46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48" customHeight="1">
      <c r="A26" s="6" t="s">
        <v>259</v>
      </c>
      <c r="B26" s="45" t="s">
        <v>770</v>
      </c>
      <c r="C26" s="46"/>
      <c r="D26" s="46"/>
      <c r="E26" s="46"/>
      <c r="F26" s="46"/>
      <c r="G26" s="46"/>
      <c r="H26" s="46"/>
      <c r="I26" s="46"/>
      <c r="J26" s="46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</sheetData>
  <mergeCells count="8">
    <mergeCell ref="B24:J24"/>
    <mergeCell ref="B25:J25"/>
    <mergeCell ref="B26:J26"/>
    <mergeCell ref="A1:J1"/>
    <mergeCell ref="A2:J2"/>
    <mergeCell ref="A21:J21"/>
    <mergeCell ref="B22:J22"/>
    <mergeCell ref="B23:J2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tabSelected="1" topLeftCell="C1" workbookViewId="0">
      <selection activeCell="F18" sqref="F18"/>
    </sheetView>
  </sheetViews>
  <sheetFormatPr defaultRowHeight="13.5"/>
  <cols>
    <col min="1" max="1" width="26.6875" customWidth="1"/>
    <col min="2" max="2" width="13" customWidth="1"/>
    <col min="3" max="3" width="20.375" customWidth="1"/>
    <col min="4" max="4" width="30.875" customWidth="1"/>
    <col min="5" max="5" width="27.6875" customWidth="1"/>
    <col min="6" max="6" width="29.8125" customWidth="1"/>
    <col min="7" max="7" width="27.6875" customWidth="1"/>
    <col min="8" max="8" width="26.6875" customWidth="1"/>
    <col min="9" max="9" width="20.375" customWidth="1"/>
    <col min="10" max="26" width="10.5625" customWidth="1"/>
  </cols>
  <sheetData>
    <row r="1" spans="1:26" ht="20" customHeight="1">
      <c r="A1" s="41" t="s">
        <v>0</v>
      </c>
      <c r="B1" s="41"/>
      <c r="C1" s="41"/>
      <c r="D1" s="41"/>
      <c r="E1" s="41"/>
      <c r="F1" s="41"/>
      <c r="G1" s="41"/>
      <c r="H1" s="4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51" t="s">
        <v>1</v>
      </c>
      <c r="B2" s="51"/>
      <c r="C2" s="51"/>
      <c r="D2" s="51"/>
      <c r="E2" s="51"/>
      <c r="F2" s="51"/>
      <c r="G2" s="51"/>
      <c r="H2" s="5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8" t="s">
        <v>10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 t="s">
        <v>18</v>
      </c>
      <c r="I4" s="9" t="s">
        <v>19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20</v>
      </c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5" t="s">
        <v>27</v>
      </c>
      <c r="I5" s="9" t="s">
        <v>28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 t="s">
        <v>36</v>
      </c>
      <c r="I6" s="9" t="s">
        <v>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38</v>
      </c>
      <c r="B7" s="10" t="s">
        <v>265</v>
      </c>
      <c r="C7" s="5" t="s">
        <v>39</v>
      </c>
      <c r="D7" s="5" t="s">
        <v>40</v>
      </c>
      <c r="E7" s="5" t="s">
        <v>41</v>
      </c>
      <c r="F7" s="5" t="s">
        <v>42</v>
      </c>
      <c r="G7" s="5" t="s">
        <v>43</v>
      </c>
      <c r="H7" s="5" t="s">
        <v>44</v>
      </c>
      <c r="I7" s="9" t="s">
        <v>45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46</v>
      </c>
      <c r="B8" s="10" t="s">
        <v>265</v>
      </c>
      <c r="C8" s="10" t="s">
        <v>265</v>
      </c>
      <c r="D8" s="5" t="s">
        <v>47</v>
      </c>
      <c r="E8" s="5" t="s">
        <v>48</v>
      </c>
      <c r="F8" s="5" t="s">
        <v>49</v>
      </c>
      <c r="G8" s="5" t="s">
        <v>50</v>
      </c>
      <c r="H8" s="5" t="s">
        <v>51</v>
      </c>
      <c r="I8" s="9" t="s">
        <v>52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0" t="s">
        <v>265</v>
      </c>
      <c r="B9" s="10" t="s">
        <v>265</v>
      </c>
      <c r="C9" s="10" t="s">
        <v>265</v>
      </c>
      <c r="D9" s="5" t="s">
        <v>53</v>
      </c>
      <c r="E9" s="10" t="s">
        <v>265</v>
      </c>
      <c r="F9" s="5" t="s">
        <v>54</v>
      </c>
      <c r="G9" s="5" t="s">
        <v>55</v>
      </c>
      <c r="H9" s="10" t="s">
        <v>265</v>
      </c>
      <c r="I9" s="9" t="s">
        <v>56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0" t="s">
        <v>265</v>
      </c>
      <c r="B10" s="10" t="s">
        <v>265</v>
      </c>
      <c r="C10" s="10" t="s">
        <v>265</v>
      </c>
      <c r="D10" s="5" t="s">
        <v>57</v>
      </c>
      <c r="E10" s="10" t="s">
        <v>265</v>
      </c>
      <c r="F10" s="5" t="s">
        <v>58</v>
      </c>
      <c r="G10" s="5" t="s">
        <v>59</v>
      </c>
      <c r="H10" s="10" t="s">
        <v>265</v>
      </c>
      <c r="I10" s="9" t="s">
        <v>60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0" t="s">
        <v>265</v>
      </c>
      <c r="B11" s="10" t="s">
        <v>265</v>
      </c>
      <c r="C11" s="10" t="s">
        <v>265</v>
      </c>
      <c r="D11" s="5" t="s">
        <v>61</v>
      </c>
      <c r="E11" s="10" t="s">
        <v>265</v>
      </c>
      <c r="F11" s="5" t="s">
        <v>62</v>
      </c>
      <c r="G11" s="5" t="s">
        <v>63</v>
      </c>
      <c r="H11" s="10" t="s">
        <v>265</v>
      </c>
      <c r="I11" s="9" t="s">
        <v>64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10" t="s">
        <v>265</v>
      </c>
      <c r="B12" s="10" t="s">
        <v>265</v>
      </c>
      <c r="C12" s="10" t="s">
        <v>265</v>
      </c>
      <c r="D12" s="5" t="s">
        <v>65</v>
      </c>
      <c r="E12" s="10" t="s">
        <v>265</v>
      </c>
      <c r="F12" s="5" t="s">
        <v>66</v>
      </c>
      <c r="G12" s="10" t="s">
        <v>265</v>
      </c>
      <c r="H12" s="10" t="s">
        <v>265</v>
      </c>
      <c r="I12" s="9" t="s">
        <v>67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11" t="s">
        <v>265</v>
      </c>
      <c r="B13" s="11" t="s">
        <v>265</v>
      </c>
      <c r="C13" s="11" t="s">
        <v>265</v>
      </c>
      <c r="D13" s="6" t="s">
        <v>68</v>
      </c>
      <c r="E13" s="11" t="s">
        <v>265</v>
      </c>
      <c r="F13" s="6" t="s">
        <v>69</v>
      </c>
      <c r="G13" s="11" t="s">
        <v>265</v>
      </c>
      <c r="H13" s="11" t="s">
        <v>265</v>
      </c>
      <c r="I13" s="12" t="s">
        <v>265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</sheetData>
  <mergeCells count="2">
    <mergeCell ref="A1:H1"/>
    <mergeCell ref="A2:H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Методика</vt:lpstr>
      <vt:lpstr>2_Конкуренты</vt:lpstr>
      <vt:lpstr>3_Факты_сайта</vt:lpstr>
      <vt:lpstr>4_Бизнес_модель</vt:lpstr>
      <vt:lpstr>5_Товар_ценность</vt:lpstr>
      <vt:lpstr>6_Монетизация</vt:lpstr>
      <vt:lpstr>7_Каналы</vt:lpstr>
      <vt:lpstr>8_Операц_модель</vt:lpstr>
      <vt:lpstr>9_Матрица</vt:lpstr>
      <vt:lpstr>10_Стандарт</vt:lpstr>
      <vt:lpstr>11_Преимущества</vt:lpstr>
      <vt:lpstr>12_Сводка</vt:lpstr>
      <vt:lpstr>13_Справочники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2026-10-07T12:12:07Z</dcterms:modified>
</cp:coreProperties>
</file>