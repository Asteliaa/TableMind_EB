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5_Анализ_конкурентов\Excel\"/>
    </mc:Choice>
  </mc:AlternateContent>
  <xr:revisionPtr revIDLastSave="0" documentId="13_ncr:1_{A58C82C9-535A-4716-8DBD-44B4A89C826A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13_Справочники" sheetId="1" r:id="rId1"/>
    <sheet name="01_Инструкция" sheetId="2" r:id="rId2"/>
    <sheet name="02_Конкуренты" sheetId="3" r:id="rId3"/>
    <sheet name="03_Факты_сайта" sheetId="4" r:id="rId4"/>
    <sheet name="04_Бизнес_модель" sheetId="5" r:id="rId5"/>
    <sheet name="05_Товар_ценность" sheetId="6" r:id="rId6"/>
    <sheet name="06_Монетизация" sheetId="7" r:id="rId7"/>
    <sheet name="07_Каналы" sheetId="8" r:id="rId8"/>
    <sheet name="08_Операц_модель" sheetId="9" r:id="rId9"/>
    <sheet name="09_Матрица" sheetId="10" r:id="rId10"/>
    <sheet name="10_Стандарт" sheetId="11" r:id="rId11"/>
    <sheet name="11_Преимущества" sheetId="12" r:id="rId12"/>
    <sheet name="12_Сводка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" i="5" l="1"/>
  <c r="Q4" i="5" s="1"/>
  <c r="O5" i="5"/>
  <c r="Q5" i="5" s="1"/>
  <c r="O6" i="5"/>
  <c r="Q6" i="5" s="1"/>
  <c r="O7" i="5"/>
  <c r="Q7" i="5" s="1"/>
  <c r="O8" i="5"/>
  <c r="Q8" i="5" s="1"/>
  <c r="O9" i="5"/>
  <c r="P9" i="10" s="1"/>
  <c r="O10" i="5"/>
  <c r="P10" i="10" s="1"/>
  <c r="E14" i="13"/>
  <c r="E13" i="13"/>
  <c r="E12" i="13"/>
  <c r="E11" i="13"/>
  <c r="E10" i="13"/>
  <c r="B10" i="13"/>
  <c r="E9" i="13"/>
  <c r="E8" i="13"/>
  <c r="E7" i="13"/>
  <c r="E6" i="13"/>
  <c r="E5" i="13"/>
  <c r="B5" i="13"/>
  <c r="B4" i="13"/>
  <c r="E15" i="11" s="1"/>
  <c r="F15" i="11" s="1"/>
  <c r="G15" i="11" s="1"/>
  <c r="K11" i="12"/>
  <c r="L11" i="12" s="1"/>
  <c r="B11" i="12"/>
  <c r="K10" i="12"/>
  <c r="L10" i="12" s="1"/>
  <c r="B10" i="12"/>
  <c r="K9" i="12"/>
  <c r="L9" i="12" s="1"/>
  <c r="B9" i="12"/>
  <c r="K8" i="12"/>
  <c r="L8" i="12" s="1"/>
  <c r="B8" i="12"/>
  <c r="K7" i="12"/>
  <c r="L7" i="12" s="1"/>
  <c r="B7" i="12"/>
  <c r="K6" i="12"/>
  <c r="L6" i="12" s="1"/>
  <c r="B6" i="12"/>
  <c r="K5" i="12"/>
  <c r="L5" i="12" s="1"/>
  <c r="B5" i="12"/>
  <c r="K4" i="12"/>
  <c r="L4" i="12" s="1"/>
  <c r="B4" i="12"/>
  <c r="N10" i="10"/>
  <c r="B10" i="10"/>
  <c r="N9" i="10"/>
  <c r="B9" i="10"/>
  <c r="N8" i="10"/>
  <c r="B8" i="10"/>
  <c r="N7" i="10"/>
  <c r="B7" i="10"/>
  <c r="N6" i="10"/>
  <c r="B6" i="10"/>
  <c r="N5" i="10"/>
  <c r="B5" i="10"/>
  <c r="N4" i="10"/>
  <c r="B4" i="10"/>
  <c r="B10" i="9"/>
  <c r="B9" i="9"/>
  <c r="B8" i="9"/>
  <c r="B7" i="9"/>
  <c r="B6" i="9"/>
  <c r="B5" i="9"/>
  <c r="B4" i="9"/>
  <c r="B10" i="8"/>
  <c r="B9" i="8"/>
  <c r="B8" i="8"/>
  <c r="B7" i="8"/>
  <c r="B6" i="8"/>
  <c r="B5" i="8"/>
  <c r="B4" i="8"/>
  <c r="B10" i="7"/>
  <c r="B9" i="7"/>
  <c r="B8" i="7"/>
  <c r="B7" i="7"/>
  <c r="B6" i="7"/>
  <c r="B5" i="7"/>
  <c r="B4" i="7"/>
  <c r="B10" i="6"/>
  <c r="B9" i="6"/>
  <c r="B8" i="6"/>
  <c r="B7" i="6"/>
  <c r="B6" i="6"/>
  <c r="B5" i="6"/>
  <c r="B4" i="6"/>
  <c r="P10" i="5"/>
  <c r="O10" i="10" s="1"/>
  <c r="B10" i="5"/>
  <c r="P9" i="5"/>
  <c r="O9" i="10" s="1"/>
  <c r="B9" i="5"/>
  <c r="P8" i="5"/>
  <c r="O8" i="10" s="1"/>
  <c r="B8" i="5"/>
  <c r="P7" i="5"/>
  <c r="O7" i="10" s="1"/>
  <c r="B7" i="5"/>
  <c r="P6" i="5"/>
  <c r="O6" i="10" s="1"/>
  <c r="B6" i="5"/>
  <c r="P5" i="5"/>
  <c r="O5" i="10" s="1"/>
  <c r="B5" i="5"/>
  <c r="P4" i="5"/>
  <c r="O4" i="10" s="1"/>
  <c r="B4" i="5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P7" i="10" l="1"/>
  <c r="P4" i="10"/>
  <c r="Q9" i="5"/>
  <c r="Q10" i="5"/>
  <c r="E4" i="11"/>
  <c r="F4" i="11" s="1"/>
  <c r="G4" i="11" s="1"/>
  <c r="P6" i="10"/>
  <c r="P8" i="10"/>
  <c r="Q8" i="10" s="1"/>
  <c r="P5" i="10"/>
  <c r="Q5" i="10" s="1"/>
  <c r="E5" i="11"/>
  <c r="F5" i="11" s="1"/>
  <c r="G5" i="11" s="1"/>
  <c r="E6" i="11"/>
  <c r="F6" i="11" s="1"/>
  <c r="G6" i="11" s="1"/>
  <c r="E7" i="11"/>
  <c r="F7" i="11" s="1"/>
  <c r="G7" i="11" s="1"/>
  <c r="E8" i="11"/>
  <c r="F8" i="11" s="1"/>
  <c r="G8" i="11" s="1"/>
  <c r="E9" i="11"/>
  <c r="F9" i="11" s="1"/>
  <c r="G9" i="11" s="1"/>
  <c r="E10" i="11"/>
  <c r="F10" i="11" s="1"/>
  <c r="G10" i="11" s="1"/>
  <c r="E11" i="11"/>
  <c r="F11" i="11" s="1"/>
  <c r="G11" i="11" s="1"/>
  <c r="E12" i="11"/>
  <c r="F12" i="11" s="1"/>
  <c r="G12" i="11" s="1"/>
  <c r="E13" i="11"/>
  <c r="F13" i="11" s="1"/>
  <c r="G13" i="11" s="1"/>
  <c r="E14" i="11"/>
  <c r="F14" i="11" s="1"/>
  <c r="G14" i="11" s="1"/>
  <c r="Q10" i="10"/>
  <c r="Q9" i="10"/>
  <c r="Q7" i="10"/>
  <c r="Q6" i="10"/>
  <c r="B7" i="13"/>
  <c r="B8" i="13"/>
  <c r="Q4" i="10"/>
  <c r="B6" i="13"/>
  <c r="B15" i="13"/>
  <c r="B16" i="13"/>
  <c r="B17" i="13"/>
  <c r="G12" i="13" l="1"/>
  <c r="F12" i="13"/>
  <c r="B18" i="13"/>
  <c r="F11" i="13"/>
  <c r="F13" i="13"/>
  <c r="G7" i="13"/>
  <c r="G11" i="13"/>
  <c r="G6" i="13"/>
  <c r="B9" i="13"/>
  <c r="F8" i="13"/>
  <c r="F7" i="13"/>
  <c r="F6" i="13"/>
  <c r="G13" i="13"/>
  <c r="G8" i="13"/>
  <c r="F5" i="13"/>
  <c r="F10" i="13"/>
  <c r="G10" i="13"/>
  <c r="G14" i="13"/>
  <c r="G9" i="13"/>
  <c r="G5" i="13"/>
  <c r="F14" i="13"/>
  <c r="F9" i="13"/>
</calcChain>
</file>

<file path=xl/sharedStrings.xml><?xml version="1.0" encoding="utf-8"?>
<sst xmlns="http://schemas.openxmlformats.org/spreadsheetml/2006/main" count="1269" uniqueCount="762">
  <si>
    <t>Справочники для раскрывающихся списков</t>
  </si>
  <si>
    <t>Используйте эти значения в рабочих листах, чтобы результаты можно было сопоставлять между конкурентами.</t>
  </si>
  <si>
    <t>Тип конкурента</t>
  </si>
  <si>
    <t>Приоритет</t>
  </si>
  <si>
    <t>Статус анализа</t>
  </si>
  <si>
    <t>Элемент бизнес-модели</t>
  </si>
  <si>
    <t>Уровень доказательности</t>
  </si>
  <si>
    <t>Модель монетизации</t>
  </si>
  <si>
    <t>Тип воронки</t>
  </si>
  <si>
    <t>Классификация практики</t>
  </si>
  <si>
    <t>Тип преимущества</t>
  </si>
  <si>
    <t>прямой</t>
  </si>
  <si>
    <t>высокий</t>
  </si>
  <si>
    <t>не начат</t>
  </si>
  <si>
    <t>целевые сегменты</t>
  </si>
  <si>
    <t>1</t>
  </si>
  <si>
    <t>подписка</t>
  </si>
  <si>
    <t>самостоятельная покупка</t>
  </si>
  <si>
    <t>рыночный стандарт</t>
  </si>
  <si>
    <t>товарное</t>
  </si>
  <si>
    <t>косвенный</t>
  </si>
  <si>
    <t>средний</t>
  </si>
  <si>
    <t>в работе</t>
  </si>
  <si>
    <t>ценностное предложение</t>
  </si>
  <si>
    <t>2</t>
  </si>
  <si>
    <t>разовая покупка</t>
  </si>
  <si>
    <t>заявка на консультацию</t>
  </si>
  <si>
    <t>формирующийся стандарт</t>
  </si>
  <si>
    <t>ценовое</t>
  </si>
  <si>
    <t>заменитель</t>
  </si>
  <si>
    <t>низкий</t>
  </si>
  <si>
    <t>требует проверки</t>
  </si>
  <si>
    <t>цифровой товар</t>
  </si>
  <si>
    <t>3</t>
  </si>
  <si>
    <t>комиссия</t>
  </si>
  <si>
    <t>демонстрация продукта</t>
  </si>
  <si>
    <t>зона дифференциации</t>
  </si>
  <si>
    <t>канальное</t>
  </si>
  <si>
    <t>эталон лучшей практики</t>
  </si>
  <si>
    <t>завершен</t>
  </si>
  <si>
    <t>каналы</t>
  </si>
  <si>
    <t>4</t>
  </si>
  <si>
    <t>транзакционная оплата</t>
  </si>
  <si>
    <t>регистрация</t>
  </si>
  <si>
    <t>нишевой признак</t>
  </si>
  <si>
    <t>технологическое</t>
  </si>
  <si>
    <t>смежная модель</t>
  </si>
  <si>
    <t>отношения с клиентами</t>
  </si>
  <si>
    <t>5</t>
  </si>
  <si>
    <t>условно-бесплатная модель</t>
  </si>
  <si>
    <t>пробный доступ</t>
  </si>
  <si>
    <t>слабый сигнал</t>
  </si>
  <si>
    <t>данные</t>
  </si>
  <si>
    <t>потоки доходов</t>
  </si>
  <si>
    <t>лицензия</t>
  </si>
  <si>
    <t>контентная воронка</t>
  </si>
  <si>
    <t>партнерское</t>
  </si>
  <si>
    <t>ключевые ресурсы</t>
  </si>
  <si>
    <t>реклама</t>
  </si>
  <si>
    <t>корпоративные продажи</t>
  </si>
  <si>
    <t>брендовое</t>
  </si>
  <si>
    <t>ключевые виды деятельности</t>
  </si>
  <si>
    <t>оплата за использование</t>
  </si>
  <si>
    <t>маркетплейс</t>
  </si>
  <si>
    <t>сервисное</t>
  </si>
  <si>
    <t>ключевые партнеры</t>
  </si>
  <si>
    <t>пакетная продажа</t>
  </si>
  <si>
    <t>операционное</t>
  </si>
  <si>
    <t>структура затрат</t>
  </si>
  <si>
    <t>смешанная</t>
  </si>
  <si>
    <t>Методика анализа бизнес-модели конкурентов по их сайтам</t>
  </si>
  <si>
    <t>Этап</t>
  </si>
  <si>
    <t>Что сделать</t>
  </si>
  <si>
    <t>Результат</t>
  </si>
  <si>
    <t>Шкала</t>
  </si>
  <si>
    <t>Интерпретация</t>
  </si>
  <si>
    <t>1. Сформировать контур анализа</t>
  </si>
  <si>
    <t>Внести список конкурентов, тип конкурента, географию, сегмент, приоритет и статус анализа.</t>
  </si>
  <si>
    <t>02_Конкуренты</t>
  </si>
  <si>
    <t>Единый перечень объектов наблюдения.</t>
  </si>
  <si>
    <t>2. Собрать факты с сайтов</t>
  </si>
  <si>
    <t>Фиксировать URL, раздел сайта, наблюдаемый факт, элемент бизнес-модели, уровень доказательности и вывод.</t>
  </si>
  <si>
    <t>03_Факты_сайта</t>
  </si>
  <si>
    <t>Проверяемая база фактов, на которой строятся гипотезы.</t>
  </si>
  <si>
    <t>3. Восстановить бизнес-модель</t>
  </si>
  <si>
    <t>04_Бизнес_модель</t>
  </si>
  <si>
    <t>Профиль бизнес-модели конкурента с оценкой полноты и доказательности.</t>
  </si>
  <si>
    <t>4. Уточнить товар и ценность</t>
  </si>
  <si>
    <t>Разложить предложение на ядро цифрового товара, ожидаемый уровень, расширенный уровень, потенциальное развитие и клиентский результат.</t>
  </si>
  <si>
    <t>05_Товар_ценность</t>
  </si>
  <si>
    <t>Понимание того, что фактически продается и за счет чего создается ценность.</t>
  </si>
  <si>
    <t>5. Оценить монетизацию</t>
  </si>
  <si>
    <t>Зафиксировать признаки ценовой модели, тарифы, пробный доступ, ограничения, платежные условия и логику получения выручки.</t>
  </si>
  <si>
    <t>06_Монетизация</t>
  </si>
  <si>
    <t>Вывод о потоках доходов и зрелости коммерческой модели.</t>
  </si>
  <si>
    <t>6. Описать каналы и воронку</t>
  </si>
  <si>
    <t>Выявить источники привлечения, точки конверсии, призывы к действию, контент, регистрацию, демонстрацию, заявки и продажи.</t>
  </si>
  <si>
    <t>07_Каналы</t>
  </si>
  <si>
    <t>Понимание способа выхода на рынок и механики превращения посетителя в клиента.</t>
  </si>
  <si>
    <t>7. Описать операционную основу</t>
  </si>
  <si>
    <t>Оценить ресурсы, процессы, данные, интеграции, партнеров, поддержку, признаки масштабируемости и операционных ограничений.</t>
  </si>
  <si>
    <t>08_Операц_модель</t>
  </si>
  <si>
    <t>Оценка устойчивости и воспроизводимости бизнес-модели.</t>
  </si>
  <si>
    <t>8. Сравнить конкурентов</t>
  </si>
  <si>
    <t>Поставить оценки по ключевым блокам, использовать веса и получить итоговый индекс силы бизнес-модели.</t>
  </si>
  <si>
    <t>09_Матрица</t>
  </si>
  <si>
    <t>Рейтинг бизнес-моделей конкурентов.</t>
  </si>
  <si>
    <t>9. Определить рыночный стандарт</t>
  </si>
  <si>
    <t>Сгруппировать повторяющиеся практики и рассчитать долю конкурентов, у которых они присутствуют.</t>
  </si>
  <si>
    <t>10_Стандарт</t>
  </si>
  <si>
    <t>Отделение обязательного рыночного минимума от зон дифференциации.</t>
  </si>
  <si>
    <t>10. Сформулировать преимущества</t>
  </si>
  <si>
    <t>Выделить преимущества конкурентов и оценить силу, трудность копирования, коммерческую значимость и доказательность.</t>
  </si>
  <si>
    <t>11_Преимущества</t>
  </si>
  <si>
    <t>Список проверяемых преимуществ и угроз.</t>
  </si>
  <si>
    <t>11. Подготовить итог</t>
  </si>
  <si>
    <t>Использовать сводный лист для контроля заполнения, рейтинга и общей интерпретации.</t>
  </si>
  <si>
    <t>12_Сводка</t>
  </si>
  <si>
    <t>Сводная картина рынка и рекомендации к дальнейшему анализу.</t>
  </si>
  <si>
    <t>Реестр конкурентов</t>
  </si>
  <si>
    <t>ID</t>
  </si>
  <si>
    <t>Название конкурента</t>
  </si>
  <si>
    <t>Сайт</t>
  </si>
  <si>
    <t>Сегмент</t>
  </si>
  <si>
    <t>География</t>
  </si>
  <si>
    <t>Дата фиксации</t>
  </si>
  <si>
    <t>Ответственный</t>
  </si>
  <si>
    <t>Примечание</t>
  </si>
  <si>
    <t>Факты, извлеченные с сайтов конкурентов</t>
  </si>
  <si>
    <t>Факт_ID</t>
  </si>
  <si>
    <t>ID конкурента</t>
  </si>
  <si>
    <t>Название</t>
  </si>
  <si>
    <t>Раздел сайта</t>
  </si>
  <si>
    <t>URL</t>
  </si>
  <si>
    <t>Блок/страница</t>
  </si>
  <si>
    <t>Наблюдаемый факт</t>
  </si>
  <si>
    <t>Доказательность 1-5</t>
  </si>
  <si>
    <t>Цитата/скриншот</t>
  </si>
  <si>
    <t>Аналитический вывод</t>
  </si>
  <si>
    <t>Профиль бизнес-модели конкурента</t>
  </si>
  <si>
    <t>Целевые сегменты</t>
  </si>
  <si>
    <t>Ценностное предложение</t>
  </si>
  <si>
    <t>Цифровой товар</t>
  </si>
  <si>
    <t>Каналы</t>
  </si>
  <si>
    <t>Отношения с клиентами</t>
  </si>
  <si>
    <t>Потоки доходов</t>
  </si>
  <si>
    <t>Ключевые ресурсы</t>
  </si>
  <si>
    <t>Ключевые виды деятельности</t>
  </si>
  <si>
    <t>Ключевые партнеры</t>
  </si>
  <si>
    <t>Структура затрат</t>
  </si>
  <si>
    <t>Данные и сетевые эффекты</t>
  </si>
  <si>
    <t>Главная гипотеза бизнес-модели</t>
  </si>
  <si>
    <t>Полнота профиля</t>
  </si>
  <si>
    <t>Средняя доказательность</t>
  </si>
  <si>
    <t>Качество профиля</t>
  </si>
  <si>
    <t>Цифровой товар и ценностное предложение</t>
  </si>
  <si>
    <t>Лист помогает отделить сам цифровой товар от упаковки, сервиса, каналов продажи и обещаний на сайте.</t>
  </si>
  <si>
    <t>Ядро цифрового товара</t>
  </si>
  <si>
    <t>Базовое предложение</t>
  </si>
  <si>
    <t>Ожидаемый уровень</t>
  </si>
  <si>
    <t>Расширенный уровень</t>
  </si>
  <si>
    <t>Потенциальное развитие</t>
  </si>
  <si>
    <t>Клиентская проблема</t>
  </si>
  <si>
    <t>Клиентский результат</t>
  </si>
  <si>
    <t>Задача клиента</t>
  </si>
  <si>
    <t>Отличие от рынка</t>
  </si>
  <si>
    <t>Подтверждающие страницы</t>
  </si>
  <si>
    <t>Вывод о роли товара в бизнес-модели</t>
  </si>
  <si>
    <t>Монетизация и потоки доходов</t>
  </si>
  <si>
    <t>Страница с тарифами/ценой</t>
  </si>
  <si>
    <t>Наличие бесплатного уровня</t>
  </si>
  <si>
    <t>Пробный доступ</t>
  </si>
  <si>
    <t>Тарифные уровни</t>
  </si>
  <si>
    <t>Единица оплаты</t>
  </si>
  <si>
    <t>Ограничения тарифа</t>
  </si>
  <si>
    <t>Платежная периодичность</t>
  </si>
  <si>
    <t>Признаки корпоративных продаж</t>
  </si>
  <si>
    <t>Прозрачность цены 1-5</t>
  </si>
  <si>
    <t>Гибкость модели 1-5</t>
  </si>
  <si>
    <t>Вывод о потоках доходов</t>
  </si>
  <si>
    <t>Каналы, воронка и механика продаж</t>
  </si>
  <si>
    <t>Анализируется, как сайт превращает посетителя в пользователя, лид или покупателя.</t>
  </si>
  <si>
    <t>Главные каналы привлечения</t>
  </si>
  <si>
    <t>Контентная стратегия</t>
  </si>
  <si>
    <t>Поисковая видимость по сайту</t>
  </si>
  <si>
    <t>Призыв к действию</t>
  </si>
  <si>
    <t>Первичная конверсия</t>
  </si>
  <si>
    <t>Регистрация/заявка</t>
  </si>
  <si>
    <t>Демонстрация/пробный доступ</t>
  </si>
  <si>
    <t>Доверительные элементы</t>
  </si>
  <si>
    <t>Сложность пути клиента 1-5</t>
  </si>
  <si>
    <t>Сила воронки 1-5</t>
  </si>
  <si>
    <t>Вывод о рынке и каналах</t>
  </si>
  <si>
    <t>Операционная основа бизнес-модели</t>
  </si>
  <si>
    <t>Лист фиксирует, за счет каких ресурсов, процессов, партнерств и данных конкурент поддерживает цифровой товар.</t>
  </si>
  <si>
    <t>Ключевые процессы</t>
  </si>
  <si>
    <t>Технологические признаки на сайте</t>
  </si>
  <si>
    <t>Использование данных</t>
  </si>
  <si>
    <t>Интеграции</t>
  </si>
  <si>
    <t>Партнеры</t>
  </si>
  <si>
    <t>Поддержка и сервис</t>
  </si>
  <si>
    <t>Признаки структуры затрат</t>
  </si>
  <si>
    <t>Масштабируемость 1-5</t>
  </si>
  <si>
    <t>Трудность копирования 1-5</t>
  </si>
  <si>
    <t>Операционный риск</t>
  </si>
  <si>
    <t>Вывод об устойчивости модели</t>
  </si>
  <si>
    <t>Сравнительная матрица бизнес-моделей</t>
  </si>
  <si>
    <t>Вес</t>
  </si>
  <si>
    <t>Сегменты</t>
  </si>
  <si>
    <t>Ценность</t>
  </si>
  <si>
    <t>Товар</t>
  </si>
  <si>
    <t>Отношения</t>
  </si>
  <si>
    <t>Доходы</t>
  </si>
  <si>
    <t>Ресурсы</t>
  </si>
  <si>
    <t>Данные/сеть</t>
  </si>
  <si>
    <t>Масштаб</t>
  </si>
  <si>
    <t>Защищенность</t>
  </si>
  <si>
    <t>Индекс силы</t>
  </si>
  <si>
    <t>Доказательность</t>
  </si>
  <si>
    <t>Полнота</t>
  </si>
  <si>
    <t>Итог с учетом надежности</t>
  </si>
  <si>
    <t>Определение рыночного стандарта бизнес-модели</t>
  </si>
  <si>
    <t>Повторяющиеся практики отделяются от настоящих конкурентных преимуществ. Порог стандарта можно корректировать в методике, базово используется 70%.</t>
  </si>
  <si>
    <t>Практика/элемент</t>
  </si>
  <si>
    <t>Блок бизнес-модели</t>
  </si>
  <si>
    <t>Описание признака</t>
  </si>
  <si>
    <t>Кол-во конкурентов с признаком</t>
  </si>
  <si>
    <t>Доля конкурентов</t>
  </si>
  <si>
    <t>Статус</t>
  </si>
  <si>
    <t>Управленческий вывод</t>
  </si>
  <si>
    <t>Подтверждающие URL/факты</t>
  </si>
  <si>
    <t>Конкурентные преимущества по бизнес-модели</t>
  </si>
  <si>
    <t>Оцениваются только преимущества, которые подтверждаются публичными фактами сайта или устойчивой совокупностью признаков.</t>
  </si>
  <si>
    <t>Гипотеза преимущества</t>
  </si>
  <si>
    <t>Связанный блок бизнес-модели</t>
  </si>
  <si>
    <t>Сила 1-5</t>
  </si>
  <si>
    <t>Коммерческая значимость 1-5</t>
  </si>
  <si>
    <t>Итоговый балл</t>
  </si>
  <si>
    <t>Риск для нашей модели</t>
  </si>
  <si>
    <t>Сводка анализа бизнес-моделей конкурентов</t>
  </si>
  <si>
    <t>Контроль заполнения, надежности выводов и рейтинга бизнес-моделей. Данные подтягиваются из рабочих листов.</t>
  </si>
  <si>
    <t>Показатель</t>
  </si>
  <si>
    <t>Значение</t>
  </si>
  <si>
    <t>Рейтинг конкурентов</t>
  </si>
  <si>
    <t>Конкурентов в реестре</t>
  </si>
  <si>
    <t>Сколько объектов анализа внесено на лист 02_Конкуренты.</t>
  </si>
  <si>
    <t>Место</t>
  </si>
  <si>
    <t>Конкурент</t>
  </si>
  <si>
    <t>Конкурентов со статусом «завершен»</t>
  </si>
  <si>
    <t>Сколько профилей можно использовать для итоговых выводов.</t>
  </si>
  <si>
    <t>Доля завершенных профилей</t>
  </si>
  <si>
    <t>Контроль готовности исследования.</t>
  </si>
  <si>
    <t>Средняя полнота бизнес-модели</t>
  </si>
  <si>
    <t>Насколько полно заполнены ключевые блоки бизнес-модели.</t>
  </si>
  <si>
    <t>Средняя доказательность выводов</t>
  </si>
  <si>
    <t>Насколько выводы подтверждены фактами с сайта.</t>
  </si>
  <si>
    <t>Средний индекс силы бизнес-модели</t>
  </si>
  <si>
    <t>Сопоставимая оценка по матрице бизнес-модели.</t>
  </si>
  <si>
    <t>Количество зафиксированных преимуществ</t>
  </si>
  <si>
    <t>Сколько гипотез преимуществ внесено на лист 11_Преимущества.</t>
  </si>
  <si>
    <t>Классификация практик бизнес-модели</t>
  </si>
  <si>
    <t>Количество</t>
  </si>
  <si>
    <t>Что означает</t>
  </si>
  <si>
    <t>Минимальный уровень, без которого товар или модель воспринимаются слабее рынка.</t>
  </si>
  <si>
    <t>Практика уже заметна, но еще не стала обязательной.</t>
  </si>
  <si>
    <t>Поле, где можно отличаться от конкурентов.</t>
  </si>
  <si>
    <t>Требует дополнительной проверки до управленческого вывода.</t>
  </si>
  <si>
    <t>1. Рыночный стандарт бизнес-модели</t>
  </si>
  <si>
    <t>Опишите элементы, которые встречаются у большинства конкурентов и поэтому должны рассматриваться как минимально приемлемые.</t>
  </si>
  <si>
    <t>2. Доминирующая логика получения выручки</t>
  </si>
  <si>
    <t>Укажите, какая модель монетизации чаще всего подтверждается сайтами конкурентов.</t>
  </si>
  <si>
    <t>3. Зоны конкурентной дифференциации</t>
  </si>
  <si>
    <t>Перечислите элементы, которые встречаются не у всех, но могут создавать значимое преимущество.</t>
  </si>
  <si>
    <t>4. Наиболее сильные конкуренты</t>
  </si>
  <si>
    <t>Используйте рейтинг на этом листе и проверьте доказательность профилей.</t>
  </si>
  <si>
    <t>5. Риски копирования чужой модели</t>
  </si>
  <si>
    <t>Отделите видимые элементы сайта от глубинных ресурсов, партнерств, данных и процессов, которые труднее воспроизвести.</t>
  </si>
  <si>
    <t>C01</t>
  </si>
  <si>
    <t>PerfectXL</t>
  </si>
  <si>
    <t>https://www.perfectxl.com/</t>
  </si>
  <si>
    <t>аудиторские, налоговые и консалтинговые фирмы, страховщики, пенсионные фонды, контролеры</t>
  </si>
  <si>
    <t>Нидерланды, мир</t>
  </si>
  <si>
    <t>подтверждено</t>
  </si>
  <si>
    <t>-</t>
  </si>
  <si>
    <t>Р. В. Земляник</t>
  </si>
  <si>
    <t>ЛР5</t>
  </si>
  <si>
    <t>аудит, налоги, консалтинг, страхование и пенсии; контролеры и проверяющие модели</t>
  </si>
  <si>
    <t>контроль качества и рисков Excel-моделей, 39 принципов</t>
  </si>
  <si>
    <t>надстройка и пакет инструментов, пользовательские проекты, обучение</t>
  </si>
  <si>
    <t>прямой трафик 40 %, органический поиск 33 %, рефералы 11 %; английский, нидерландский, немецкий</t>
  </si>
  <si>
    <t>демо и пробный период 30 дней, академия, поддержка в пакетах Enterprise</t>
  </si>
  <si>
    <t>методология 39 принципов, команда разработки, партнерства с вузами</t>
  </si>
  <si>
    <t>разработка надстройки, исследования, обучение, проекты</t>
  </si>
  <si>
    <t>TU Delft, Erasmus University, Microsoft, Software Improvement Group</t>
  </si>
  <si>
    <t>разработка, продажи корпоративным клиентам, обучение</t>
  </si>
  <si>
    <t>накопленные правила и сравнения файлов; сетевых эффектов нет</t>
  </si>
  <si>
    <t>ниша аудита Excel с корпоративными пакетами вместо массовых подписок</t>
  </si>
  <si>
    <t>доступ к проверке и результату</t>
  </si>
  <si>
    <t>надстройка и веб</t>
  </si>
  <si>
    <t>AI-пояснения, интеграции, команды</t>
  </si>
  <si>
    <t>автоисправление, доказательство вывода</t>
  </si>
  <si>
    <t>риск ошибки в таблице</t>
  </si>
  <si>
    <t>найденные ошибки и отчет</t>
  </si>
  <si>
    <t>проверить и подтвердить модель</t>
  </si>
  <si>
    <t>Товар - ядро предложения</t>
  </si>
  <si>
    <t>подписка + услуги</t>
  </si>
  <si>
    <t>perfectxl.com/pricing</t>
  </si>
  <si>
    <t>нет</t>
  </si>
  <si>
    <t>да (30 дней, Formula Inspector)</t>
  </si>
  <si>
    <t>инструмент, Professional, Medium Business, Enterprise</t>
  </si>
  <si>
    <t>инструмент или пользователь</t>
  </si>
  <si>
    <t>пакеты без цен</t>
  </si>
  <si>
    <t>месяц</t>
  </si>
  <si>
    <t>да</t>
  </si>
  <si>
    <t>Цена раскрыта только для отдельных инструментов; основной доход от корпоративных пакетов</t>
  </si>
  <si>
    <t>прямой, органика, рефералы</t>
  </si>
  <si>
    <t>блог, академия, ресурсы</t>
  </si>
  <si>
    <t>высокая по теме аудита Excel</t>
  </si>
  <si>
    <t>Get started now / 30-day free trial</t>
  </si>
  <si>
    <t>пробный период или запрос</t>
  </si>
  <si>
    <t>форма на сайте</t>
  </si>
  <si>
    <t>30 дней Formula Inspector</t>
  </si>
  <si>
    <t>клиенты Big-4, награда 2026, вузы</t>
  </si>
  <si>
    <t>Воронка корпоративная с пробным входом; основной канал - репутация</t>
  </si>
  <si>
    <t>методология и команда разработки</t>
  </si>
  <si>
    <t>аудит, обучение, проекты</t>
  </si>
  <si>
    <t>надстройка Excel и веб</t>
  </si>
  <si>
    <t>накопленные правила</t>
  </si>
  <si>
    <t>Excel</t>
  </si>
  <si>
    <t>вузы, Microsoft</t>
  </si>
  <si>
    <t>помощь в пакетах Enterprise</t>
  </si>
  <si>
    <t>разработка, продажи</t>
  </si>
  <si>
    <t>зависимость от Excel-платформы</t>
  </si>
  <si>
    <t>Устойчивая нишевая модель на основе методологии</t>
  </si>
  <si>
    <t>C02</t>
  </si>
  <si>
    <t>Arixcel</t>
  </si>
  <si>
    <t>https://www.arixcel.com/</t>
  </si>
  <si>
    <t>профессиональные пользователи Excel и моделисты</t>
  </si>
  <si>
    <t>мир (США, Австралия, Япония)</t>
  </si>
  <si>
    <t>профессиональные пользователи Excel</t>
  </si>
  <si>
    <t>быстрая навигация по формулам и сравнение файлов</t>
  </si>
  <si>
    <t>Arixcel Explorer (надстройка)</t>
  </si>
  <si>
    <t>прямые заходы 39 %, органика 33 %, рефералы 11 %</t>
  </si>
  <si>
    <t>загрузка и активация, справка</t>
  </si>
  <si>
    <t>надстройка, малая команда</t>
  </si>
  <si>
    <t>разработка надстройки</t>
  </si>
  <si>
    <t>разработка и поддержка</t>
  </si>
  <si>
    <t>узкий инструмент для специалистов с продажей лицензий</t>
  </si>
  <si>
    <t>arixcel.com/explorer/download</t>
  </si>
  <si>
    <t>да (пробный режим)</t>
  </si>
  <si>
    <t>одна лицензия</t>
  </si>
  <si>
    <t>пользователь в месяц</t>
  </si>
  <si>
    <t>срок 12-36 месяцев</t>
  </si>
  <si>
    <t>месяц, срок 12-36 месяцев</t>
  </si>
  <si>
    <t>да (многопользовательская)</t>
  </si>
  <si>
    <t>прямой, органика</t>
  </si>
  <si>
    <t>справка</t>
  </si>
  <si>
    <t>низкая</t>
  </si>
  <si>
    <t>Download / Activate</t>
  </si>
  <si>
    <t>загрузка надстройки</t>
  </si>
  <si>
    <t>Простая воронка без доверительных элементов</t>
  </si>
  <si>
    <t>малая команда</t>
  </si>
  <si>
    <t>надстройка Excel</t>
  </si>
  <si>
    <t>разработка</t>
  </si>
  <si>
    <t>малый масштаб</t>
  </si>
  <si>
    <t>Слабая защищенность</t>
  </si>
  <si>
    <t>C03</t>
  </si>
  <si>
    <t>Operis</t>
  </si>
  <si>
    <t>https://www.operis.com/</t>
  </si>
  <si>
    <t>проектное финансирование, инфраструктура</t>
  </si>
  <si>
    <t>Великобритания, мир</t>
  </si>
  <si>
    <t>проектное финансирование и инфраструктура</t>
  </si>
  <si>
    <t>независимая проверка моделей с репутацией 30 лет</t>
  </si>
  <si>
    <t>услуги Model Audit и Advisory, надстройка OAK, курс</t>
  </si>
  <si>
    <t>прямые заходы 27 %, органика 29 %, рефералы 8 %, соцсети 10 %</t>
  </si>
  <si>
    <t>консультанты, сопровождение проектов</t>
  </si>
  <si>
    <t>гонорары за аудит и консалтинг, обучение, надстройка</t>
  </si>
  <si>
    <t>эксперты и репутация, более 1 200 проектов</t>
  </si>
  <si>
    <t>аудит моделей, консалтинг, обучение</t>
  </si>
  <si>
    <t>банки и спонсоры проектов (не названы)</t>
  </si>
  <si>
    <t>оплата экспертов</t>
  </si>
  <si>
    <t>знания и шаблоны, масштабируемость ограничена</t>
  </si>
  <si>
    <t>услуга аудита моделей как основной доход, надстройка как поддержка</t>
  </si>
  <si>
    <t>Model Audit, OAK (надстройка Excel), онлайн-курс по моделированию</t>
  </si>
  <si>
    <t>Товар встроен в платформу или услугу</t>
  </si>
  <si>
    <t>услуги + лицензия</t>
  </si>
  <si>
    <t>operisanalysiskit.com/oak-price</t>
  </si>
  <si>
    <t>да (30 дней по запросу)</t>
  </si>
  <si>
    <t>проект, лицензия OAK</t>
  </si>
  <si>
    <t>проект, пользователь</t>
  </si>
  <si>
    <t>налог сверх цены</t>
  </si>
  <si>
    <t>год</t>
  </si>
  <si>
    <t>прямой, органика, соцсети</t>
  </si>
  <si>
    <t>статьи, курс</t>
  </si>
  <si>
    <t>средняя</t>
  </si>
  <si>
    <t>Contact</t>
  </si>
  <si>
    <t>запрос консультации</t>
  </si>
  <si>
    <t>консультативная</t>
  </si>
  <si>
    <t>форма контакта</t>
  </si>
  <si>
    <t>30 лет, 1 200 проектов</t>
  </si>
  <si>
    <t>Воронка через контакт и репутацию</t>
  </si>
  <si>
    <t>эксперты</t>
  </si>
  <si>
    <t>аудит и консалтинг</t>
  </si>
  <si>
    <t>OAK</t>
  </si>
  <si>
    <t>шаблоны</t>
  </si>
  <si>
    <t>банки</t>
  </si>
  <si>
    <t>консультанты</t>
  </si>
  <si>
    <t>масштабирование через людей</t>
  </si>
  <si>
    <t>Защита через репутацию, не через продукт</t>
  </si>
  <si>
    <t>C04</t>
  </si>
  <si>
    <t>Shortcut</t>
  </si>
  <si>
    <t>https://www.shortcut.ai/</t>
  </si>
  <si>
    <t>хедж-фонды, PE, банки, управляющие активами, FP&amp;A-команды</t>
  </si>
  <si>
    <t>частичный</t>
  </si>
  <si>
    <t>США, мир</t>
  </si>
  <si>
    <t>точный финансовый AI-агент для моделей и анализа</t>
  </si>
  <si>
    <t>агент в Excel, веб, CLI, настольное приложение</t>
  </si>
  <si>
    <t>прямые заходы 56 %, органика 32 %, рефералы 6 %</t>
  </si>
  <si>
    <t>самообслуживание и корпоративные продажи, кейсы клиентов</t>
  </si>
  <si>
    <t>собственная модель Pivot, провайдер LLM, команда безопасности</t>
  </si>
  <si>
    <t>разработка агента, оценка точности, безопасность</t>
  </si>
  <si>
    <t>провайдер LLM, Vanta (аудит безопасности)</t>
  </si>
  <si>
    <t>вычисления LLM, разработка, продажи</t>
  </si>
  <si>
    <t>данные использования улучшают агента; сетевые эффекты слабые</t>
  </si>
  <si>
    <t>дорогой высокоточный агент для профессионалов с упором на безопасность</t>
  </si>
  <si>
    <t>AI-агент для финансового моделирования в Excel, веб и CLI</t>
  </si>
  <si>
    <t>подписка по местам</t>
  </si>
  <si>
    <t>shortcut.ai/pricing</t>
  </si>
  <si>
    <t>да (20 кредитов в неделю)</t>
  </si>
  <si>
    <t>да (Free)</t>
  </si>
  <si>
    <t>Free, Pro, Teams, Enterprise</t>
  </si>
  <si>
    <t>место и кредиты</t>
  </si>
  <si>
    <t>лимиты кредитов</t>
  </si>
  <si>
    <t>год со скидкой 20 %</t>
  </si>
  <si>
    <t>Прозрачная лестница тарифов от бесплатного до корпоративного</t>
  </si>
  <si>
    <t>кейсы, ресурсы</t>
  </si>
  <si>
    <t>Start for Free</t>
  </si>
  <si>
    <t>бесплатный старт</t>
  </si>
  <si>
    <t>Free</t>
  </si>
  <si>
    <t>SOC 2 Type II, кейсы, бенчмарки</t>
  </si>
  <si>
    <t>Сильная воронка через бесплатный вход и доверие</t>
  </si>
  <si>
    <t>модель и вычисления, безопасность</t>
  </si>
  <si>
    <t>создание и проверка моделей</t>
  </si>
  <si>
    <t>агент, Excel add-in, CLI</t>
  </si>
  <si>
    <t>данные использования</t>
  </si>
  <si>
    <t>Excel, веб</t>
  </si>
  <si>
    <t>провайдер LLM, Vanta</t>
  </si>
  <si>
    <t>по тарифам</t>
  </si>
  <si>
    <t>LLM, разработка</t>
  </si>
  <si>
    <t>зависимость от провайдера LLM</t>
  </si>
  <si>
    <t>Быстрый рост при высокой стоимости вычислений</t>
  </si>
  <si>
    <t>C05</t>
  </si>
  <si>
    <t>Numerous.ai</t>
  </si>
  <si>
    <t>https://www.numerous.ai/</t>
  </si>
  <si>
    <t>маркетологи, студенты, исследователи, менеджеры</t>
  </si>
  <si>
    <t>ChatGPT внутри таблиц без API-ключей</t>
  </si>
  <si>
    <t>функция =AI для Sheets и Excel</t>
  </si>
  <si>
    <t>органика 56 %, рефералы 8 %, прямые 26 %</t>
  </si>
  <si>
    <t>самообслуживание, поддержка по почте</t>
  </si>
  <si>
    <t>интеграция с провайдером LLM, кэширование</t>
  </si>
  <si>
    <t>разработка надстройки и функции</t>
  </si>
  <si>
    <t>провайдеры LLM</t>
  </si>
  <si>
    <t>вычисления LLM</t>
  </si>
  <si>
    <t>кэширование результатов снижает затраты; сетевых эффектов нет</t>
  </si>
  <si>
    <t>массовый недорогой AI-помощник для таблиц</t>
  </si>
  <si>
    <t>функция =AI для ChatGPT в Google Sheets и Excel</t>
  </si>
  <si>
    <t>numerous.ai/pricing</t>
  </si>
  <si>
    <t>Personal, Pro, Enterprise</t>
  </si>
  <si>
    <t>пользователь, символы</t>
  </si>
  <si>
    <t>500 тыс. символов и 500 генераций</t>
  </si>
  <si>
    <t>да (от 8 пользователей)</t>
  </si>
  <si>
    <t>Один низкий тариф для массового сегмента</t>
  </si>
  <si>
    <t>органика, прямой</t>
  </si>
  <si>
    <t>сценарии использования</t>
  </si>
  <si>
    <t>высокая по запросам про AI в таблицах</t>
  </si>
  <si>
    <t>Get started</t>
  </si>
  <si>
    <t>установка надстройки</t>
  </si>
  <si>
    <t>установка</t>
  </si>
  <si>
    <t>7 дней</t>
  </si>
  <si>
    <t>команда в Сан-Франциско</t>
  </si>
  <si>
    <t>Короткий путь к установке</t>
  </si>
  <si>
    <t>надстройка и кэш</t>
  </si>
  <si>
    <t>функция AI в ячейке</t>
  </si>
  <si>
    <t>кэш результатов</t>
  </si>
  <si>
    <t>Google Sheets, Excel</t>
  </si>
  <si>
    <t>почта</t>
  </si>
  <si>
    <t>LLM</t>
  </si>
  <si>
    <t>легко копируется</t>
  </si>
  <si>
    <t>Низкий барьер копирования</t>
  </si>
  <si>
    <t>C06</t>
  </si>
  <si>
    <t>Datarails</t>
  </si>
  <si>
    <t>https://datarails.com/</t>
  </si>
  <si>
    <t>CFO, финансовые директора и контролеры компаний среднего размера</t>
  </si>
  <si>
    <t>США, Израиль</t>
  </si>
  <si>
    <t>CFO, контролеры и финансовые команды среднего размера</t>
  </si>
  <si>
    <t>доверенный AI для финансов поверх Excel</t>
  </si>
  <si>
    <t>прямые заходы 59 %, органика 12 %, платный поиск 12 %</t>
  </si>
  <si>
    <t>демо, менеджеры по работе с клиентами, Trust Center</t>
  </si>
  <si>
    <t>подписка по запросу, модульные продукты</t>
  </si>
  <si>
    <t>интеграции 600+, данные клиентов, команда продаж</t>
  </si>
  <si>
    <t>разработка платформы, интеграции, продажи и успех клиентов</t>
  </si>
  <si>
    <t>Microsoft (Solutions Partner), ERP-системы</t>
  </si>
  <si>
    <t>разработка, продажи, поддержка</t>
  </si>
  <si>
    <t>консолидированные данные клиентов; умеренные эффекты данных</t>
  </si>
  <si>
    <t>платформа консолидации данных, удерживающая клиента через интеграции</t>
  </si>
  <si>
    <t>подписка по запросу</t>
  </si>
  <si>
    <t>datarails.com/pricing</t>
  </si>
  <si>
    <t>демо</t>
  </si>
  <si>
    <t>модульные продукты</t>
  </si>
  <si>
    <t>модуль</t>
  </si>
  <si>
    <t>по запросу</t>
  </si>
  <si>
    <t>Цена по запросу, длинный цикл продажи</t>
  </si>
  <si>
    <t>прямой, органика, платный поиск</t>
  </si>
  <si>
    <t>решения, истории клиентов</t>
  </si>
  <si>
    <t>Request Demo</t>
  </si>
  <si>
    <t>запрос демо</t>
  </si>
  <si>
    <t>продажа через менеджера</t>
  </si>
  <si>
    <t>форма демо</t>
  </si>
  <si>
    <t>Capterra 4,8, G2, Microsoft Solutions Partner, Trust Center</t>
  </si>
  <si>
    <t>Классическая B2B-воронка с демо</t>
  </si>
  <si>
    <t>команда интеграций и продаж</t>
  </si>
  <si>
    <t>внедрение, успех клиентов</t>
  </si>
  <si>
    <t>платформа FinanceOS</t>
  </si>
  <si>
    <t>консолидированные данные</t>
  </si>
  <si>
    <t>более 600 систем</t>
  </si>
  <si>
    <t>Microsoft, ERP</t>
  </si>
  <si>
    <t>менеджеры успеха</t>
  </si>
  <si>
    <t>длинный цикл внедрения</t>
  </si>
  <si>
    <t>Защита через интеграции и данные клиентов</t>
  </si>
  <si>
    <t>C07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</si>
  <si>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</si>
  <si>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</si>
  <si>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</si>
  <si>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аудиторские фирмы, внутренний аудит, налоги, государственный аудит</t>
  </si>
  <si>
    <t>автоматизация проверки доказательств аудита</t>
  </si>
  <si>
    <t>платформа Alwin, надстройка Excel, DocuMine</t>
  </si>
  <si>
    <t>корпоративные продажи, демо, магазин надстроек</t>
  </si>
  <si>
    <t>демо, ROI-калькулятор, поддержка, сообщество</t>
  </si>
  <si>
    <t>корпоративные лицензии (цена не показана)</t>
  </si>
  <si>
    <t>технологии извлечения данных, клиентская база Big-4 и крупных фирм</t>
  </si>
  <si>
    <t>разработка платформы, продажи, внедрение</t>
  </si>
  <si>
    <t>аудиторские фирмы, Microsoft (AppSource)</t>
  </si>
  <si>
    <t>разработка, внедрение, продажи</t>
  </si>
  <si>
    <t>данные документов и шаблоны проверок; сильные эффекты данных у лидера</t>
  </si>
  <si>
    <t>глубокая специализация на аудиторских процедурах с корпоративной моделью</t>
  </si>
  <si>
    <t>агентная автоматизация аудита, надстройка Excel, извлечение данных из документов</t>
  </si>
  <si>
    <t>корпоративная лицензия</t>
  </si>
  <si>
    <t>Только корпоративные продажи с демонстрацией</t>
  </si>
  <si>
    <t>корпоративные продажи, магазин надстроек</t>
  </si>
  <si>
    <t>ресурсы, ROI-калькулятор</t>
  </si>
  <si>
    <t>Book a demo</t>
  </si>
  <si>
    <t>SOC 2, GDPR, AI Act, G2 4,9</t>
  </si>
  <si>
    <t>Сильное доверие при закрытой цене</t>
  </si>
  <si>
    <t>технологии извлечения данных, клиентская база</t>
  </si>
  <si>
    <t>внедрение у аудиторов</t>
  </si>
  <si>
    <t>платформа Alwin, AI Vision</t>
  </si>
  <si>
    <t>данные документов</t>
  </si>
  <si>
    <t>Excel, системы аудита</t>
  </si>
  <si>
    <t>аудиторские фирмы</t>
  </si>
  <si>
    <t>внедрение и поддержка</t>
  </si>
  <si>
    <t>разработка, внедрение</t>
  </si>
  <si>
    <t>зависимость от аудиторских фирм</t>
  </si>
  <si>
    <t>Сильная специализация и доверие</t>
  </si>
  <si>
    <t>F001</t>
  </si>
  <si>
    <t>Главная</t>
  </si>
  <si>
    <t>Software That Helps You Master Excel; клиенты Deloitte, Grant Thornton, BDO; премия 2026</t>
  </si>
  <si>
    <t>страница сайта</t>
  </si>
  <si>
    <t>Позиционирование на контроле качества и рисках</t>
  </si>
  <si>
    <t>F002</t>
  </si>
  <si>
    <t>Цены</t>
  </si>
  <si>
    <t>https://www.perfectxl.com/pricing/</t>
  </si>
  <si>
    <t>Цены раскрыты частично</t>
  </si>
  <si>
    <t>F003</t>
  </si>
  <si>
    <t>Узкий инструмент без цен и без отзывов</t>
  </si>
  <si>
    <t>F004</t>
  </si>
  <si>
    <t>Advisory, Modelling, Model Audit, Tax &amp; Accounting, OAK, Training; с 1990 г., более 1 200 проектов</t>
  </si>
  <si>
    <t>Консалтинговый бизнес с надстройкой</t>
  </si>
  <si>
    <t>F005</t>
  </si>
  <si>
    <t>AI-агент для финансистов, SOC 2 Type II, Excel Add-in, веб, CLI</t>
  </si>
  <si>
    <t>Сильное доверие и безопасность на первом экране</t>
  </si>
  <si>
    <t>F006</t>
  </si>
  <si>
    <t>https://www.shortcut.ai/pricing</t>
  </si>
  <si>
    <t>Прозрачные тарифы</t>
  </si>
  <si>
    <t>F007</t>
  </si>
  <si>
    <t>ChatGPT в Sheets и Excel, функция =AI, без API-ключей</t>
  </si>
  <si>
    <t>Простое предложение для массового пользователя</t>
  </si>
  <si>
    <t>F008</t>
  </si>
  <si>
    <t>https://www.numerous.ai/pricing</t>
  </si>
  <si>
    <t>Один тариф</t>
  </si>
  <si>
    <t>F009</t>
  </si>
  <si>
    <t>Trusted AI for Finance Teams; 600+ интеграций; 2 000+ клиентов</t>
  </si>
  <si>
    <t>Платформа, а не инструмент проверки</t>
  </si>
  <si>
    <t>F010</t>
  </si>
  <si>
    <t>End-to-end Agentic Automation for Audit and Finance; SOC 2, GDPR, AI Act</t>
  </si>
  <si>
    <t>Сильная позиция в аудите</t>
  </si>
  <si>
    <t>F011</t>
  </si>
  <si>
    <t>Отзывы</t>
  </si>
  <si>
    <t>https://www.g2.com/search?query=shortcut</t>
  </si>
  <si>
    <t>карточки на G2 нет</t>
  </si>
  <si>
    <t>Нет публичных отзывов</t>
  </si>
  <si>
    <t>F012</t>
  </si>
  <si>
    <t>https://www.g2.com/search?query=datarails</t>
  </si>
  <si>
    <t>G2 386 отзывов, 4,6</t>
  </si>
  <si>
    <t>Самый сильный репутационный профиль</t>
  </si>
  <si>
    <t>F013</t>
  </si>
  <si>
    <t>https://www.g2.com/search?query=perfectxl</t>
  </si>
  <si>
    <t>G2 0 отзывов; Trustpilot 0</t>
  </si>
  <si>
    <t>F014</t>
  </si>
  <si>
    <t>https://www.g2.com/search?query=arixcel</t>
  </si>
  <si>
    <t>G2 Arixcel Explorer 4,0 (1 отзыв)</t>
  </si>
  <si>
    <t>Один отзыв</t>
  </si>
  <si>
    <t>F015</t>
  </si>
  <si>
    <t>AppSource</t>
  </si>
  <si>
    <t>https://appsource.microsoft.com/</t>
  </si>
  <si>
    <t>OAK (Excel add-in) указан на сайте; в AppSource по запросу formula checker найден 1 результат</t>
  </si>
  <si>
    <t>Видимость в магазине низкая</t>
  </si>
  <si>
    <t>F016</t>
  </si>
  <si>
    <t>DataSnipper for Excel Online в выдаче по запросу excel audit</t>
  </si>
  <si>
    <t>Присутствует в магазине надстроек</t>
  </si>
  <si>
    <t>F017</t>
  </si>
  <si>
    <t>Безопасность</t>
  </si>
  <si>
    <t>https://www.datasnipper.com/security</t>
  </si>
  <si>
    <t>SOC 2 Type II, Azure, AES-256, TLS 1.2+, хранение до 24 часов, обучение на данных клиентов не ведется, GDPR и AI Act</t>
  </si>
  <si>
    <t>Самый подробный профиль безопасности среди специализированных игроков</t>
  </si>
  <si>
    <t>F018</t>
  </si>
  <si>
    <t>https://www.datasnipper.com/pricing</t>
  </si>
  <si>
    <t>Start, Accelerate, Elevate без сумм; Book demo и Contact sales</t>
  </si>
  <si>
    <t>Цена по запросу, вход через демо</t>
  </si>
  <si>
    <t>F019</t>
  </si>
  <si>
    <t>https://knowledge.datasnipper.com/en/collections/1449483-integrations</t>
  </si>
  <si>
    <t>SharePoint, OneDrive, Box, Dropbox, SAP Concur, QuickBooks, Suralink, Azure</t>
  </si>
  <si>
    <t>Интеграции документов аудита, не проверки формул</t>
  </si>
  <si>
    <t>F020</t>
  </si>
  <si>
    <t>Отзывы Capterra</t>
  </si>
  <si>
    <t>https://www.capterra.com/p/10002513/DataSnipper/</t>
  </si>
  <si>
    <t>4,7 из 5, 131 отзыв, пробной версии нет</t>
  </si>
  <si>
    <t>Сильный репутационный профиль</t>
  </si>
  <si>
    <t>F021</t>
  </si>
  <si>
    <t>https://datarails.com/pricing/</t>
  </si>
  <si>
    <t>Professional, Premium, Expert без сумм; Request Quote, пробного периода нет</t>
  </si>
  <si>
    <t>F022</t>
  </si>
  <si>
    <t>Центр доверия</t>
  </si>
  <si>
    <t>https://trust.datarails.com/overview</t>
  </si>
  <si>
    <t>SOC 2 Type II, SOC 1, политика информационной безопасности, тест на проникновение; отчеты по запросу</t>
  </si>
  <si>
    <t>Самый полный профиль доверия</t>
  </si>
  <si>
    <t>F023</t>
  </si>
  <si>
    <t>https://datarails.com/integrations/</t>
  </si>
  <si>
    <t>более 200 интеграций в списке (ERP, CRM, хранилища); на главной заявлено более 600</t>
  </si>
  <si>
    <t>Интеграции - барьер переключения</t>
  </si>
  <si>
    <t>F024</t>
  </si>
  <si>
    <t>https://www.capterra.com/p/177451/DataRails/</t>
  </si>
  <si>
    <t>4,7 из 5, 245 отзывов</t>
  </si>
  <si>
    <t>F025</t>
  </si>
  <si>
    <t>Лицензирование</t>
  </si>
  <si>
    <t>https://www.arixcel.com/explorer/download</t>
  </si>
  <si>
    <t>Цена опубликована, лестницы тарифов нет</t>
  </si>
  <si>
    <t>F026</t>
  </si>
  <si>
    <t>Цены OAK</t>
  </si>
  <si>
    <t>https://www.operisanalysiskit.com/oak-price/</t>
  </si>
  <si>
    <t>Единичная цена, продажа без консультанта</t>
  </si>
  <si>
    <t>F027</t>
  </si>
  <si>
    <t>https://shortcut.ai/privacy</t>
  </si>
  <si>
    <t>SOC 2 Type II, AES-256, TLS 1.3, нулевое хранение у провайдеров, SAML, ролевой доступ</t>
  </si>
  <si>
    <t>Безопасность раскрыта в центре приватности</t>
  </si>
  <si>
    <t>F028</t>
  </si>
  <si>
    <t>Цены и регистрация</t>
  </si>
  <si>
    <t>https://numerous.ai/</t>
  </si>
  <si>
    <t>Путь от пробы к подписке без продавца</t>
  </si>
  <si>
    <t>F029</t>
  </si>
  <si>
    <t>Подвал сайта</t>
  </si>
  <si>
    <t>только политика конфиденциальности и условия, заявлений о безопасности нет</t>
  </si>
  <si>
    <t>Безопасность не раскрыта</t>
  </si>
  <si>
    <t>F030</t>
  </si>
  <si>
    <t>Отзывы Trustpilot</t>
  </si>
  <si>
    <t>https://www.trustpilot.com/review/numerous.ai</t>
  </si>
  <si>
    <t>2,5 из 5, 5 отзывов, жалобы на автосписание после пробного периода</t>
  </si>
  <si>
    <t>Риск политики пробного периода</t>
  </si>
  <si>
    <t>F031</t>
  </si>
  <si>
    <t>Пробный период</t>
  </si>
  <si>
    <t>https://www.perfectxl.com/products/perfectxl-formula-inspector/free-trial-vdependents/</t>
  </si>
  <si>
    <t>30 дней без карты и автопродления, Excel 2016 и новее</t>
  </si>
  <si>
    <t>Бесплатный вход есть</t>
  </si>
  <si>
    <t>F032</t>
  </si>
  <si>
    <t>Правовые страницы</t>
  </si>
  <si>
    <t>https://www.perfectxl.com/legal/privacy-policy/</t>
  </si>
  <si>
    <t>политика конфиденциальности, условия, cookie; страницы безопасности нет</t>
  </si>
  <si>
    <t>Надстройка Excel или Excel-интеграция</t>
  </si>
  <si>
    <t>продукт доступен внутри Excel</t>
  </si>
  <si>
    <t>страницы конкурентов (лист 03_Факты_сайта)</t>
  </si>
  <si>
    <t>Прозрачные тарифы на сайте</t>
  </si>
  <si>
    <t>цена и состав тарифа видны без разговора с продавцом</t>
  </si>
  <si>
    <t>Бесплатный тариф или пробный период</t>
  </si>
  <si>
    <t>вход без обязательств</t>
  </si>
  <si>
    <t>Запрос демо / консультация как основной вход</t>
  </si>
  <si>
    <t>основной путь через менеджера</t>
  </si>
  <si>
    <t>Раскрытие безопасности и соответствия</t>
  </si>
  <si>
    <t>SOC 2, GDPR, Trust Center</t>
  </si>
  <si>
    <t>Кейсы и клиенты на сайте</t>
  </si>
  <si>
    <t>названы клиенты или проекты</t>
  </si>
  <si>
    <t>Корпоративные пакеты и продажи</t>
  </si>
  <si>
    <t>пакеты для организаций</t>
  </si>
  <si>
    <t>Обучение и документация</t>
  </si>
  <si>
    <t>академия, курсы, справка</t>
  </si>
  <si>
    <t>AI-пояснения в продукте</t>
  </si>
  <si>
    <t>ИИ объясняет результат</t>
  </si>
  <si>
    <t>Доказательство вывода проверяемой логикой</t>
  </si>
  <si>
    <t>детерминированная проверка и воспроизводимость</t>
  </si>
  <si>
    <t>Подписка по пользователям или местам</t>
  </si>
  <si>
    <t>оплата за пользователя или место</t>
  </si>
  <si>
    <t>Интеграции и API</t>
  </si>
  <si>
    <t>подключение к системам</t>
  </si>
  <si>
    <t>Методология 39 принципов, подтвержденная вузами, и клиенты Big-4</t>
  </si>
  <si>
    <t>доверие</t>
  </si>
  <si>
    <t>perfectxl.com</t>
  </si>
  <si>
    <t>Широкий набор инструментов проверки в одном пакете</t>
  </si>
  <si>
    <t>perfectxl.com/products</t>
  </si>
  <si>
    <t>Прозрачная лестница тарифов и бесплатный вход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</si>
  <si>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</si>
  <si>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</si>
  <si>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</si>
  <si>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</si>
  <si>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Более 600 интеграций и 2 000 клиентов</t>
  </si>
  <si>
    <t>ресурсное</t>
  </si>
  <si>
    <t>datarails.com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</si>
  <si>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</si>
  <si>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</si>
  <si>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</si>
  <si>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репутационное</t>
  </si>
  <si>
    <t>operis.com</t>
  </si>
  <si>
    <t>Рабочая книга предназначена для восстановления бизнес-модели конкурента по публичным данным сайта - продукт, ценность, монетизация, каналы, ресурсы, партнерства, данные, масштабируемость и конкурентные преимущества.</t>
  </si>
  <si>
    <t>Лист</t>
  </si>
  <si>
    <t>Слабый косвенный признак - предположение без прямого подтверждения на сайте.</t>
  </si>
  <si>
    <t>Косвенное подтверждение - факт есть, но связь с блоком бизнес-модели неочевидна.</t>
  </si>
  <si>
    <t>Достаточное подтверждение - факт прямо указывает на элемент бизнес-модели.</t>
  </si>
  <si>
    <t>Сильное подтверждение - несколько страниц или блоков сайта подтверждают один вывод.</t>
  </si>
  <si>
    <t>Высокая доказательность - прямое описание, тариф, оферта, демонстрация, кейс или документация подтверждают вывод.</t>
  </si>
  <si>
    <t>Каждый вывод по бизнес-модели должен иметь источник - URL, наблюдаемый факт и уровень доказательности.</t>
  </si>
  <si>
    <t>один инструмент от 69 у.е. в месяц; пакеты без цен; обучение от 49 у.е.</t>
  </si>
  <si>
    <t>надстройка Excel - логика формул, сравнение, карта формул, трассировка</t>
  </si>
  <si>
    <t>Free, Pro 89 у.е., Teams 284 у.е. + 89 у.е. за место, Enterprise</t>
  </si>
  <si>
    <t>8,9 у.е. в месяц, 7 дней пробного периода</t>
  </si>
  <si>
    <t>3,2 у.е. за пользователя в месяц, лицензия 12-36 месяцев, только Windows, пробный режим</t>
  </si>
  <si>
    <t>подписка 365 у.е. в год, более 30 инструментов, Try OAK и Buy now</t>
  </si>
  <si>
    <t>7 дней бесплатно, оплата за год, 8,9 у.е. в месяц, лимит 500 тыс. символов</t>
  </si>
  <si>
    <t>подписка на инструменты (от 69 у.е. в месяц), пакеты по запросу, проекты, обучение</t>
  </si>
  <si>
    <t>лицензия 3,2 у.е. за пользователя в месяц (срок 12-36 месяцев)</t>
  </si>
  <si>
    <t>подписки Free, Pro 89 у.е., Teams 284 у.е. + 89 у.е. за место, Enterprise</t>
  </si>
  <si>
    <t>подписка 8,9 у.е. в месяц, корпоративный тариф</t>
  </si>
  <si>
    <t>платформа FinanceOS - FP&amp;A, закрытие месяца, денежные потоки, расходы</t>
  </si>
  <si>
    <t>PerfectXL Suite - Risk Finder, Explore, Compare, Highlighter, Formula Inspector, Source Inspector</t>
  </si>
  <si>
    <t>Arixcel Explorer - логика формул, сравнение таблиц, карта формул, трассировка зависимых ячеек</t>
  </si>
  <si>
    <t>FinanceOS - FP&amp;A, закрытие месяца, денежные потоки, контроль расходов</t>
  </si>
  <si>
    <t>Фиксируются признаки получения выручки - тарифы, пробный доступ, условия оплаты, ограничения и коммерческая логика.</t>
  </si>
  <si>
    <t>Цена опубликована (3,2 у.е.), но лестницы тарифов и бесплатного входа нет</t>
  </si>
  <si>
    <t>Цена OAK опубликована (365 у.е. в год), услуги аудита продаются через консультанта</t>
  </si>
  <si>
    <t>да (7 дней, 0,9 у.е.)</t>
  </si>
  <si>
    <t>учесть в позиционировании TableMind - повторять нельзя, дифференцироваться</t>
  </si>
  <si>
    <t>Итоговый вывод</t>
  </si>
  <si>
    <t>Первым. Один конкурент - одна строка. ID используется во всех остальных листах.</t>
  </si>
  <si>
    <t>На основе фактов с сайта. Полнота и доказательность рассчитываются автоматически.</t>
  </si>
  <si>
    <t>По каждому конкуренту описаны блоки бизнес-модели - сегменты, ценность, цифровой товар, каналы, отношения, доходы, ресурсы, деятельность, партнеры, издержки, данные.</t>
  </si>
  <si>
    <t>Примечание - блоки бизнес-модели восстановлены по листу 03_Факты_сайта; гипотеза опирается на ссылки на доказательства.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</si>
</sst>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sz val="11"/>
      <name val="Carlito"/>
    </font>
    <font>
      <b/>
      <sz val="11"/>
      <color rgb="FFFFFFFF"/>
      <name val="Calibri"/>
      <family val="2"/>
      <charset val="204"/>
    </font>
    <font>
      <b/>
      <sz val="14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rgb="FFFFFFFF"/>
      <name val="Calibr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2E75B6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4" fillId="0" borderId="0" xfId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4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3" borderId="2" xfId="1" applyFont="1" applyFill="1" applyBorder="1" applyAlignment="1">
      <alignment horizontal="left" vertical="center" wrapText="1"/>
    </xf>
    <xf numFmtId="0" fontId="4" fillId="3" borderId="3" xfId="1" applyFont="1" applyFill="1" applyBorder="1" applyAlignment="1">
      <alignment horizontal="left" vertical="center" wrapText="1"/>
    </xf>
    <xf numFmtId="0" fontId="4" fillId="3" borderId="1" xfId="1" applyFont="1" applyFill="1" applyBorder="1" applyAlignment="1">
      <alignment horizontal="center" vertical="center" wrapText="1"/>
    </xf>
    <xf numFmtId="0" fontId="4" fillId="3" borderId="2" xfId="1" applyFont="1" applyFill="1" applyBorder="1" applyAlignment="1">
      <alignment horizontal="center" vertical="center" wrapText="1"/>
    </xf>
    <xf numFmtId="0" fontId="4" fillId="3" borderId="3" xfId="1" applyFont="1" applyFill="1" applyBorder="1" applyAlignment="1">
      <alignment horizontal="center" vertical="center" wrapText="1"/>
    </xf>
    <xf numFmtId="0" fontId="2" fillId="4" borderId="4" xfId="1" applyFont="1" applyFill="1" applyBorder="1" applyAlignment="1">
      <alignment horizontal="center" vertical="center" wrapText="1"/>
    </xf>
    <xf numFmtId="0" fontId="4" fillId="3" borderId="4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3" borderId="4" xfId="1" applyFont="1" applyFill="1" applyBorder="1" applyAlignment="1">
      <alignment horizontal="left" vertical="center" wrapText="1"/>
    </xf>
    <xf numFmtId="49" fontId="4" fillId="3" borderId="1" xfId="1" applyNumberFormat="1" applyFont="1" applyFill="1" applyBorder="1" applyAlignment="1">
      <alignment horizontal="left" vertical="center" wrapText="1"/>
    </xf>
    <xf numFmtId="49" fontId="4" fillId="3" borderId="2" xfId="1" applyNumberFormat="1" applyFont="1" applyFill="1" applyBorder="1" applyAlignment="1">
      <alignment horizontal="left" vertical="center" wrapText="1"/>
    </xf>
    <xf numFmtId="164" fontId="4" fillId="3" borderId="1" xfId="1" applyNumberFormat="1" applyFont="1" applyFill="1" applyBorder="1" applyAlignment="1">
      <alignment horizontal="center" vertical="center" wrapText="1"/>
    </xf>
    <xf numFmtId="164" fontId="4" fillId="3" borderId="2" xfId="1" applyNumberFormat="1" applyFont="1" applyFill="1" applyBorder="1" applyAlignment="1">
      <alignment horizontal="center" vertical="center" wrapText="1"/>
    </xf>
    <xf numFmtId="9" fontId="4" fillId="3" borderId="1" xfId="1" applyNumberFormat="1" applyFont="1" applyFill="1" applyBorder="1" applyAlignment="1">
      <alignment horizontal="center" vertical="center" wrapText="1"/>
    </xf>
    <xf numFmtId="9" fontId="4" fillId="3" borderId="2" xfId="1" applyNumberFormat="1" applyFont="1" applyFill="1" applyBorder="1" applyAlignment="1">
      <alignment horizontal="center" vertical="center" wrapText="1"/>
    </xf>
    <xf numFmtId="165" fontId="4" fillId="3" borderId="1" xfId="1" applyNumberFormat="1" applyFont="1" applyFill="1" applyBorder="1" applyAlignment="1">
      <alignment horizontal="center" vertical="center" wrapText="1"/>
    </xf>
    <xf numFmtId="165" fontId="4" fillId="3" borderId="2" xfId="1" applyNumberFormat="1" applyFont="1" applyFill="1" applyBorder="1" applyAlignment="1">
      <alignment horizontal="center" vertical="center" wrapText="1"/>
    </xf>
    <xf numFmtId="165" fontId="4" fillId="3" borderId="3" xfId="1" applyNumberFormat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vertical="center" wrapText="1"/>
    </xf>
    <xf numFmtId="0" fontId="4" fillId="3" borderId="4" xfId="1" applyFont="1" applyFill="1" applyBorder="1" applyAlignment="1">
      <alignment vertical="center" wrapText="1"/>
    </xf>
    <xf numFmtId="165" fontId="4" fillId="3" borderId="4" xfId="1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3" borderId="4" xfId="1" applyFont="1" applyFill="1" applyBorder="1" applyAlignment="1">
      <alignment horizontal="left" vertical="center" wrapText="1"/>
    </xf>
    <xf numFmtId="0" fontId="4" fillId="3" borderId="2" xfId="1" applyFont="1" applyFill="1" applyBorder="1" applyAlignment="1">
      <alignment horizontal="left" vertical="center" wrapText="1"/>
    </xf>
    <xf numFmtId="0" fontId="4" fillId="3" borderId="3" xfId="1" applyFont="1" applyFill="1" applyBorder="1" applyAlignment="1">
      <alignment horizontal="left" vertical="center" wrapText="1"/>
    </xf>
    <xf numFmtId="0" fontId="5" fillId="2" borderId="1" xfId="1" applyFont="1" applyFill="1" applyBorder="1" applyAlignment="1">
      <alignment horizontal="left" vertical="center" wrapText="1"/>
    </xf>
    <xf numFmtId="0" fontId="5" fillId="2" borderId="2" xfId="1" applyFont="1" applyFill="1" applyBorder="1" applyAlignment="1">
      <alignment horizontal="left" vertical="center" wrapText="1"/>
    </xf>
    <xf numFmtId="0" fontId="5" fillId="2" borderId="3" xfId="1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170"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Итоговый балл</c:v>
          </c:tx>
          <c:spPr>
            <a:solidFill>
              <a:srgbClr val="1F4E79"/>
            </a:solidFill>
          </c:spPr>
          <c:invertIfNegative val="1"/>
          <c:cat>
            <c:strRef>
              <c:f>'12_Сводка'!$F$5:$F$14</c:f>
              <c:strCache>
                <c:ptCount val="8"/>
                <c:pt idx="0">
                  <c:v>Shortcut</c:v>
                </c:pt>
                <c:pt idx="1">
                  <c:v>Datarails</c:v>
                </c:pt>
                <c:pt idx="3">
                  <c:v>DataSnipper</c:v>
                </c:pt>
                <c:pt idx="4">
                  <c:v>PerfectXL</c:v>
                </c:pt>
                <c:pt idx="5">
                  <c:v>Operis</c:v>
                </c:pt>
                <c:pt idx="6">
                  <c:v>Numerous.ai</c:v>
                </c:pt>
                <c:pt idx="7">
                  <c:v>Arixcel</c:v>
                </c:pt>
              </c:strCache>
            </c:strRef>
          </c:cat>
          <c:val>
            <c:numRef>
              <c:f>'12_Сводка'!$G$5:$G$14</c:f>
              <c:numCache>
                <c:formatCode>0.0</c:formatCode>
                <c:ptCount val="10"/>
                <c:pt idx="0">
                  <c:v>4.2204545454545457</c:v>
                </c:pt>
                <c:pt idx="1">
                  <c:v>4.1113636363636363</c:v>
                </c:pt>
                <c:pt idx="2">
                  <c:v>0</c:v>
                </c:pt>
                <c:pt idx="3">
                  <c:v>4.082575757575758</c:v>
                </c:pt>
                <c:pt idx="4">
                  <c:v>3.709090909090909</c:v>
                </c:pt>
                <c:pt idx="5">
                  <c:v>3.4954545454545451</c:v>
                </c:pt>
                <c:pt idx="6">
                  <c:v>3.3818181818181818</c:v>
                </c:pt>
                <c:pt idx="7">
                  <c:v>2.8795454545454544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3053-443B-B017-FD4ACF18A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1</xdr:col>
      <xdr:colOff>2370137</xdr:colOff>
      <xdr:row>47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structionTable" displayName="InstructionTable" ref="A3:D14" headerRowDxfId="169" dataDxfId="168" totalsRowDxfId="167">
  <tableColumns count="4">
    <tableColumn id="1" xr3:uid="{00000000-0010-0000-0000-000001000000}" name="Этап" dataDxfId="166"/>
    <tableColumn id="2" xr3:uid="{00000000-0010-0000-0000-000002000000}" name="Что сделать" dataDxfId="165"/>
    <tableColumn id="3" xr3:uid="{00000000-0010-0000-0000-000003000000}" name="Лист" dataDxfId="164"/>
    <tableColumn id="4" xr3:uid="{00000000-0010-0000-0000-000004000000}" name="Результат" dataDxfId="1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Table" displayName="CompetitorsTable" ref="A3:K10" headerRowDxfId="162" dataDxfId="161" totalsRowDxfId="160">
  <tableColumns count="11">
    <tableColumn id="1" xr3:uid="{00000000-0010-0000-0100-000001000000}" name="ID" dataDxfId="159"/>
    <tableColumn id="2" xr3:uid="{00000000-0010-0000-0100-000002000000}" name="Название конкурента" dataDxfId="158"/>
    <tableColumn id="3" xr3:uid="{00000000-0010-0000-0100-000003000000}" name="Сайт" dataDxfId="157"/>
    <tableColumn id="4" xr3:uid="{00000000-0010-0000-0100-000004000000}" name="Сегмент" dataDxfId="156"/>
    <tableColumn id="5" xr3:uid="{00000000-0010-0000-0100-000005000000}" name="Тип конкурента" dataDxfId="155"/>
    <tableColumn id="6" xr3:uid="{00000000-0010-0000-0100-000006000000}" name="География" dataDxfId="154"/>
    <tableColumn id="7" xr3:uid="{00000000-0010-0000-0100-000007000000}" name="Приоритет" dataDxfId="153"/>
    <tableColumn id="8" xr3:uid="{00000000-0010-0000-0100-000008000000}" name="Статус анализа" dataDxfId="152"/>
    <tableColumn id="9" xr3:uid="{00000000-0010-0000-0100-000009000000}" name="Дата фиксации" dataDxfId="151"/>
    <tableColumn id="10" xr3:uid="{00000000-0010-0000-0100-00000A000000}" name="Ответственный" dataDxfId="150"/>
    <tableColumn id="11" xr3:uid="{00000000-0010-0000-0100-00000B000000}" name="Примечание" dataDxfId="1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actsTable" displayName="FactsTable" ref="A3:L35" headerRowDxfId="148" dataDxfId="147" totalsRowDxfId="146">
  <tableColumns count="12">
    <tableColumn id="1" xr3:uid="{00000000-0010-0000-0200-000001000000}" name="Факт_ID" dataDxfId="145"/>
    <tableColumn id="2" xr3:uid="{00000000-0010-0000-0200-000002000000}" name="ID конкурента" dataDxfId="144"/>
    <tableColumn id="3" xr3:uid="{00000000-0010-0000-0200-000003000000}" name="Название" dataDxfId="143"/>
    <tableColumn id="4" xr3:uid="{00000000-0010-0000-0200-000004000000}" name="Раздел сайта" dataDxfId="142"/>
    <tableColumn id="5" xr3:uid="{00000000-0010-0000-0200-000005000000}" name="URL" dataDxfId="141"/>
    <tableColumn id="6" xr3:uid="{00000000-0010-0000-0200-000006000000}" name="Блок/страница" dataDxfId="140"/>
    <tableColumn id="7" xr3:uid="{00000000-0010-0000-0200-000007000000}" name="Наблюдаемый факт" dataDxfId="139"/>
    <tableColumn id="8" xr3:uid="{00000000-0010-0000-0200-000008000000}" name="Элемент бизнес-модели" dataDxfId="138"/>
    <tableColumn id="9" xr3:uid="{00000000-0010-0000-0200-000009000000}" name="Доказательность 1-5" dataDxfId="137"/>
    <tableColumn id="10" xr3:uid="{00000000-0010-0000-0200-00000A000000}" name="Дата фиксации" dataDxfId="136"/>
    <tableColumn id="11" xr3:uid="{00000000-0010-0000-0200-00000B000000}" name="Цитата/скриншот" dataDxfId="135"/>
    <tableColumn id="12" xr3:uid="{00000000-0010-0000-0200-00000C000000}" name="Аналитический вывод" dataDxfId="1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usinessModelTable" displayName="BusinessModelTable" ref="A3:Q10" headerRowDxfId="133" dataDxfId="132" totalsRowDxfId="131">
  <tableColumns count="17">
    <tableColumn id="1" xr3:uid="{00000000-0010-0000-0300-000001000000}" name="ID конкурента" dataDxfId="130"/>
    <tableColumn id="2" xr3:uid="{00000000-0010-0000-0300-000002000000}" name="Название" dataDxfId="129"/>
    <tableColumn id="3" xr3:uid="{00000000-0010-0000-0300-000003000000}" name="Целевые сегменты" dataDxfId="128"/>
    <tableColumn id="4" xr3:uid="{00000000-0010-0000-0300-000004000000}" name="Ценностное предложение" dataDxfId="127"/>
    <tableColumn id="5" xr3:uid="{00000000-0010-0000-0300-000005000000}" name="Цифровой товар" dataDxfId="126"/>
    <tableColumn id="6" xr3:uid="{00000000-0010-0000-0300-000006000000}" name="Каналы" dataDxfId="125"/>
    <tableColumn id="7" xr3:uid="{00000000-0010-0000-0300-000007000000}" name="Отношения с клиентами" dataDxfId="124"/>
    <tableColumn id="8" xr3:uid="{00000000-0010-0000-0300-000008000000}" name="Потоки доходов" dataDxfId="123"/>
    <tableColumn id="9" xr3:uid="{00000000-0010-0000-0300-000009000000}" name="Ключевые ресурсы" dataDxfId="122"/>
    <tableColumn id="10" xr3:uid="{00000000-0010-0000-0300-00000A000000}" name="Ключевые виды деятельности" dataDxfId="121"/>
    <tableColumn id="11" xr3:uid="{00000000-0010-0000-0300-00000B000000}" name="Ключевые партнеры" dataDxfId="120"/>
    <tableColumn id="12" xr3:uid="{00000000-0010-0000-0300-00000C000000}" name="Структура затрат" dataDxfId="119"/>
    <tableColumn id="13" xr3:uid="{00000000-0010-0000-0300-00000D000000}" name="Данные и сетевые эффекты" dataDxfId="118"/>
    <tableColumn id="14" xr3:uid="{00000000-0010-0000-0300-00000E000000}" name="Главная гипотеза бизнес-модели" dataDxfId="117"/>
    <tableColumn id="15" xr3:uid="{00000000-0010-0000-0300-00000F000000}" name="Полнота профиля" dataDxfId="116">
      <calculatedColumnFormula>IF($A4="","",(COUNTA($C4:$N4)-COUNTIF($C4:$N4,"-"))/12)</calculatedColumnFormula>
    </tableColumn>
    <tableColumn id="16" xr3:uid="{00000000-0010-0000-0300-000010000000}" name="Средняя доказательность" dataDxfId="115"/>
    <tableColumn id="17" xr3:uid="{00000000-0010-0000-0300-000011000000}" name="Качество профиля" dataDxfId="1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ValueTable" displayName="ProductValueTable" ref="A3:M10" headerRowDxfId="113" dataDxfId="112" totalsRowDxfId="111">
  <tableColumns count="13">
    <tableColumn id="1" xr3:uid="{00000000-0010-0000-0400-000001000000}" name="ID конкурента" dataDxfId="110"/>
    <tableColumn id="2" xr3:uid="{00000000-0010-0000-0400-000002000000}" name="Название" dataDxfId="109"/>
    <tableColumn id="3" xr3:uid="{00000000-0010-0000-0400-000003000000}" name="Ядро цифрового товара" dataDxfId="108"/>
    <tableColumn id="4" xr3:uid="{00000000-0010-0000-0400-000004000000}" name="Базовое предложение" dataDxfId="107"/>
    <tableColumn id="5" xr3:uid="{00000000-0010-0000-0400-000005000000}" name="Ожидаемый уровень" dataDxfId="106"/>
    <tableColumn id="6" xr3:uid="{00000000-0010-0000-0400-000006000000}" name="Расширенный уровень" dataDxfId="105"/>
    <tableColumn id="7" xr3:uid="{00000000-0010-0000-0400-000007000000}" name="Потенциальное развитие" dataDxfId="104"/>
    <tableColumn id="8" xr3:uid="{00000000-0010-0000-0400-000008000000}" name="Клиентская проблема" dataDxfId="103"/>
    <tableColumn id="9" xr3:uid="{00000000-0010-0000-0400-000009000000}" name="Клиентский результат" dataDxfId="102"/>
    <tableColumn id="10" xr3:uid="{00000000-0010-0000-0400-00000A000000}" name="Задача клиента" dataDxfId="101"/>
    <tableColumn id="11" xr3:uid="{00000000-0010-0000-0400-00000B000000}" name="Отличие от рынка" dataDxfId="100"/>
    <tableColumn id="12" xr3:uid="{00000000-0010-0000-0400-00000C000000}" name="Подтверждающие страницы" dataDxfId="99"/>
    <tableColumn id="13" xr3:uid="{00000000-0010-0000-0400-00000D000000}" name="Вывод о роли товара в бизнес-модели" dataDxfId="9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netizationTable" displayName="MonetizationTable" ref="A3:N10" headerRowDxfId="97" dataDxfId="96" totalsRowDxfId="95">
  <tableColumns count="14">
    <tableColumn id="1" xr3:uid="{00000000-0010-0000-0500-000001000000}" name="ID конкурента" dataDxfId="94"/>
    <tableColumn id="2" xr3:uid="{00000000-0010-0000-0500-000002000000}" name="Название" dataDxfId="93"/>
    <tableColumn id="3" xr3:uid="{00000000-0010-0000-0500-000003000000}" name="Модель монетизации" dataDxfId="92"/>
    <tableColumn id="4" xr3:uid="{00000000-0010-0000-0500-000004000000}" name="Страница с тарифами/ценой" dataDxfId="91"/>
    <tableColumn id="5" xr3:uid="{00000000-0010-0000-0500-000005000000}" name="Наличие бесплатного уровня" dataDxfId="90"/>
    <tableColumn id="6" xr3:uid="{00000000-0010-0000-0500-000006000000}" name="Пробный доступ" dataDxfId="89"/>
    <tableColumn id="7" xr3:uid="{00000000-0010-0000-0500-000007000000}" name="Тарифные уровни" dataDxfId="88"/>
    <tableColumn id="8" xr3:uid="{00000000-0010-0000-0500-000008000000}" name="Единица оплаты" dataDxfId="87"/>
    <tableColumn id="9" xr3:uid="{00000000-0010-0000-0500-000009000000}" name="Ограничения тарифа" dataDxfId="86"/>
    <tableColumn id="10" xr3:uid="{00000000-0010-0000-0500-00000A000000}" name="Платежная периодичность" dataDxfId="85"/>
    <tableColumn id="11" xr3:uid="{00000000-0010-0000-0500-00000B000000}" name="Признаки корпоративных продаж" dataDxfId="84"/>
    <tableColumn id="12" xr3:uid="{00000000-0010-0000-0500-00000C000000}" name="Прозрачность цены 1-5" dataDxfId="83"/>
    <tableColumn id="13" xr3:uid="{00000000-0010-0000-0500-00000D000000}" name="Гибкость модели 1-5" dataDxfId="82"/>
    <tableColumn id="14" xr3:uid="{00000000-0010-0000-0500-00000E000000}" name="Вывод о потоках доходов" dataDxfId="8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hannelsTable" displayName="ChannelsTable" ref="A3:N10" headerRowDxfId="80" dataDxfId="79" totalsRowDxfId="78">
  <tableColumns count="14">
    <tableColumn id="1" xr3:uid="{00000000-0010-0000-0600-000001000000}" name="ID конкурента" dataDxfId="77"/>
    <tableColumn id="2" xr3:uid="{00000000-0010-0000-0600-000002000000}" name="Название" dataDxfId="76"/>
    <tableColumn id="3" xr3:uid="{00000000-0010-0000-0600-000003000000}" name="Главные каналы привлечения" dataDxfId="75"/>
    <tableColumn id="4" xr3:uid="{00000000-0010-0000-0600-000004000000}" name="Контентная стратегия" dataDxfId="74"/>
    <tableColumn id="5" xr3:uid="{00000000-0010-0000-0600-000005000000}" name="Поисковая видимость по сайту" dataDxfId="73"/>
    <tableColumn id="6" xr3:uid="{00000000-0010-0000-0600-000006000000}" name="Призыв к действию" dataDxfId="72"/>
    <tableColumn id="7" xr3:uid="{00000000-0010-0000-0600-000007000000}" name="Первичная конверсия" dataDxfId="71"/>
    <tableColumn id="8" xr3:uid="{00000000-0010-0000-0600-000008000000}" name="Тип воронки" dataDxfId="70"/>
    <tableColumn id="9" xr3:uid="{00000000-0010-0000-0600-000009000000}" name="Регистрация/заявка" dataDxfId="69"/>
    <tableColumn id="10" xr3:uid="{00000000-0010-0000-0600-00000A000000}" name="Демонстрация/пробный доступ" dataDxfId="68"/>
    <tableColumn id="11" xr3:uid="{00000000-0010-0000-0600-00000B000000}" name="Доверительные элементы" dataDxfId="67"/>
    <tableColumn id="12" xr3:uid="{00000000-0010-0000-0600-00000C000000}" name="Сложность пути клиента 1-5" dataDxfId="66"/>
    <tableColumn id="13" xr3:uid="{00000000-0010-0000-0600-00000D000000}" name="Сила воронки 1-5" dataDxfId="65"/>
    <tableColumn id="14" xr3:uid="{00000000-0010-0000-0600-00000E000000}" name="Вывод о рынке и каналах" dataDxfId="6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OpsModelTable" displayName="OpsModelTable" ref="A3:N10" headerRowDxfId="63" dataDxfId="62" totalsRowDxfId="61">
  <tableColumns count="14">
    <tableColumn id="1" xr3:uid="{00000000-0010-0000-0700-000001000000}" name="ID конкурента" dataDxfId="60"/>
    <tableColumn id="2" xr3:uid="{00000000-0010-0000-0700-000002000000}" name="Название" dataDxfId="59"/>
    <tableColumn id="3" xr3:uid="{00000000-0010-0000-0700-000003000000}" name="Ключевые ресурсы" dataDxfId="58"/>
    <tableColumn id="4" xr3:uid="{00000000-0010-0000-0700-000004000000}" name="Ключевые процессы" dataDxfId="57"/>
    <tableColumn id="5" xr3:uid="{00000000-0010-0000-0700-000005000000}" name="Технологические признаки на сайте" dataDxfId="56"/>
    <tableColumn id="6" xr3:uid="{00000000-0010-0000-0700-000006000000}" name="Использование данных" dataDxfId="55"/>
    <tableColumn id="7" xr3:uid="{00000000-0010-0000-0700-000007000000}" name="Интеграции" dataDxfId="54"/>
    <tableColumn id="8" xr3:uid="{00000000-0010-0000-0700-000008000000}" name="Партнеры" dataDxfId="53"/>
    <tableColumn id="9" xr3:uid="{00000000-0010-0000-0700-000009000000}" name="Поддержка и сервис" dataDxfId="52"/>
    <tableColumn id="10" xr3:uid="{00000000-0010-0000-0700-00000A000000}" name="Признаки структуры затрат" dataDxfId="51"/>
    <tableColumn id="11" xr3:uid="{00000000-0010-0000-0700-00000B000000}" name="Масштабируемость 1-5" dataDxfId="50"/>
    <tableColumn id="12" xr3:uid="{00000000-0010-0000-0700-00000C000000}" name="Трудность копирования 1-5" dataDxfId="49"/>
    <tableColumn id="13" xr3:uid="{00000000-0010-0000-0700-00000D000000}" name="Операционный риск" dataDxfId="48"/>
    <tableColumn id="14" xr3:uid="{00000000-0010-0000-0700-00000E000000}" name="Вывод об устойчивости модели" dataDxfId="4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coreMatrixTable" displayName="ScoreMatrixTable" ref="A3:Q10" headerRowDxfId="46" dataDxfId="45" totalsRowDxfId="44">
  <tableColumns count="17">
    <tableColumn id="1" xr3:uid="{00000000-0010-0000-0800-000001000000}" name="ID конкурента" dataDxfId="43"/>
    <tableColumn id="2" xr3:uid="{00000000-0010-0000-0800-000002000000}" name="Название" dataDxfId="42"/>
    <tableColumn id="3" xr3:uid="{00000000-0010-0000-0800-000003000000}" name="Сегменты" dataDxfId="41"/>
    <tableColumn id="4" xr3:uid="{00000000-0010-0000-0800-000004000000}" name="Ценность" dataDxfId="40"/>
    <tableColumn id="5" xr3:uid="{00000000-0010-0000-0800-000005000000}" name="Товар" dataDxfId="39"/>
    <tableColumn id="6" xr3:uid="{00000000-0010-0000-0800-000006000000}" name="Каналы" dataDxfId="38"/>
    <tableColumn id="7" xr3:uid="{00000000-0010-0000-0800-000007000000}" name="Отношения" dataDxfId="37"/>
    <tableColumn id="8" xr3:uid="{00000000-0010-0000-0800-000008000000}" name="Доходы" dataDxfId="36"/>
    <tableColumn id="9" xr3:uid="{00000000-0010-0000-0800-000009000000}" name="Ресурсы" dataDxfId="35"/>
    <tableColumn id="10" xr3:uid="{00000000-0010-0000-0800-00000A000000}" name="Партнеры" dataDxfId="34"/>
    <tableColumn id="11" xr3:uid="{00000000-0010-0000-0800-00000B000000}" name="Данные/сеть" dataDxfId="33"/>
    <tableColumn id="12" xr3:uid="{00000000-0010-0000-0800-00000C000000}" name="Масштаб" dataDxfId="32"/>
    <tableColumn id="13" xr3:uid="{00000000-0010-0000-0800-00000D000000}" name="Защищенность" dataDxfId="31"/>
    <tableColumn id="14" xr3:uid="{00000000-0010-0000-0800-00000E000000}" name="Индекс силы" dataDxfId="30"/>
    <tableColumn id="15" xr3:uid="{00000000-0010-0000-0800-00000F000000}" name="Доказательность" dataDxfId="29"/>
    <tableColumn id="16" xr3:uid="{00000000-0010-0000-0800-000010000000}" name="Полнота" dataDxfId="28"/>
    <tableColumn id="17" xr3:uid="{00000000-0010-0000-0800-000011000000}" name="Итог с учетом надежности" dataDxfId="2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MarketStandardTable" displayName="MarketStandardTable" ref="A3:H15" headerRowDxfId="26" dataDxfId="25" totalsRowDxfId="24">
  <tableColumns count="8">
    <tableColumn id="1" xr3:uid="{00000000-0010-0000-0900-000001000000}" name="Практика/элемент" dataDxfId="23"/>
    <tableColumn id="2" xr3:uid="{00000000-0010-0000-0900-000002000000}" name="Блок бизнес-модели" dataDxfId="22"/>
    <tableColumn id="3" xr3:uid="{00000000-0010-0000-0900-000003000000}" name="Описание признака" dataDxfId="21"/>
    <tableColumn id="4" xr3:uid="{00000000-0010-0000-0900-000004000000}" name="Кол-во конкурентов с признаком" dataDxfId="20"/>
    <tableColumn id="5" xr3:uid="{00000000-0010-0000-0900-000005000000}" name="Доля конкурентов" dataDxfId="19"/>
    <tableColumn id="6" xr3:uid="{00000000-0010-0000-0900-000006000000}" name="Статус" dataDxfId="18"/>
    <tableColumn id="7" xr3:uid="{00000000-0010-0000-0900-000007000000}" name="Управленческий вывод" dataDxfId="17"/>
    <tableColumn id="8" xr3:uid="{00000000-0010-0000-0900-000008000000}" name="Подтверждающие URL/факты" dataDxfId="1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dvantagesTable" displayName="AdvantagesTable" ref="A3:M11" headerRowDxfId="15" dataDxfId="14" totalsRowDxfId="13">
  <tableColumns count="13">
    <tableColumn id="1" xr3:uid="{00000000-0010-0000-0A00-000001000000}" name="ID конкурента" dataDxfId="12"/>
    <tableColumn id="2" xr3:uid="{00000000-0010-0000-0A00-000002000000}" name="Название" dataDxfId="11"/>
    <tableColumn id="3" xr3:uid="{00000000-0010-0000-0A00-000003000000}" name="Гипотеза преимущества" dataDxfId="10"/>
    <tableColumn id="4" xr3:uid="{00000000-0010-0000-0A00-000004000000}" name="Тип преимущества" dataDxfId="9"/>
    <tableColumn id="5" xr3:uid="{00000000-0010-0000-0A00-000005000000}" name="Связанный блок бизнес-модели" dataDxfId="8"/>
    <tableColumn id="6" xr3:uid="{00000000-0010-0000-0A00-000006000000}" name="Подтверждающие страницы" dataDxfId="7"/>
    <tableColumn id="7" xr3:uid="{00000000-0010-0000-0A00-000007000000}" name="Сила 1-5" dataDxfId="6"/>
    <tableColumn id="8" xr3:uid="{00000000-0010-0000-0A00-000008000000}" name="Трудность копирования 1-5" dataDxfId="5"/>
    <tableColumn id="9" xr3:uid="{00000000-0010-0000-0A00-000009000000}" name="Коммерческая значимость 1-5" dataDxfId="4"/>
    <tableColumn id="10" xr3:uid="{00000000-0010-0000-0A00-00000A000000}" name="Доказательность 1-5" dataDxfId="3"/>
    <tableColumn id="11" xr3:uid="{00000000-0010-0000-0A00-00000B000000}" name="Итоговый балл" dataDxfId="2"/>
    <tableColumn id="12" xr3:uid="{00000000-0010-0000-0A00-00000C000000}" name="Интерпретация" dataDxfId="1"/>
    <tableColumn id="13" xr3:uid="{00000000-0010-0000-0A00-00000D000000}" name="Риск для нашей модели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"/>
  <sheetViews>
    <sheetView tabSelected="1" workbookViewId="0">
      <selection sqref="A1:H1"/>
    </sheetView>
  </sheetViews>
  <sheetFormatPr defaultRowHeight="13.5"/>
  <cols>
    <col min="1" max="1" width="26.6875" customWidth="1"/>
    <col min="2" max="2" width="13" customWidth="1"/>
    <col min="3" max="3" width="20.375" customWidth="1"/>
    <col min="4" max="4" width="30.875" customWidth="1"/>
    <col min="5" max="5" width="27.6875" customWidth="1"/>
    <col min="6" max="6" width="29.8125" customWidth="1"/>
    <col min="7" max="7" width="27.6875" customWidth="1"/>
    <col min="8" max="8" width="26.6875" customWidth="1"/>
    <col min="9" max="9" width="20.375" customWidth="1"/>
    <col min="10" max="26" width="10.5625" customWidth="1"/>
  </cols>
  <sheetData>
    <row r="1" spans="1:26" ht="20" customHeight="1">
      <c r="A1" s="28" t="s">
        <v>0</v>
      </c>
      <c r="B1" s="28"/>
      <c r="C1" s="28"/>
      <c r="D1" s="28"/>
      <c r="E1" s="28"/>
      <c r="F1" s="28"/>
      <c r="G1" s="28"/>
      <c r="H1" s="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0" t="s">
        <v>1</v>
      </c>
      <c r="B2" s="30"/>
      <c r="C2" s="30"/>
      <c r="D2" s="30"/>
      <c r="E2" s="30"/>
      <c r="F2" s="30"/>
      <c r="G2" s="30"/>
      <c r="H2" s="3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10" t="s">
        <v>10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4" t="s">
        <v>11</v>
      </c>
      <c r="B4" s="7" t="s">
        <v>12</v>
      </c>
      <c r="C4" s="7" t="s">
        <v>13</v>
      </c>
      <c r="D4" s="7" t="s">
        <v>14</v>
      </c>
      <c r="E4" s="7" t="s">
        <v>15</v>
      </c>
      <c r="F4" s="7" t="s">
        <v>16</v>
      </c>
      <c r="G4" s="7" t="s">
        <v>17</v>
      </c>
      <c r="H4" s="7" t="s">
        <v>18</v>
      </c>
      <c r="I4" s="11" t="s">
        <v>19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20</v>
      </c>
      <c r="B5" s="7" t="s">
        <v>21</v>
      </c>
      <c r="C5" s="7" t="s">
        <v>22</v>
      </c>
      <c r="D5" s="7" t="s">
        <v>23</v>
      </c>
      <c r="E5" s="7" t="s">
        <v>24</v>
      </c>
      <c r="F5" s="7" t="s">
        <v>25</v>
      </c>
      <c r="G5" s="7" t="s">
        <v>26</v>
      </c>
      <c r="H5" s="7" t="s">
        <v>27</v>
      </c>
      <c r="I5" s="11" t="s">
        <v>28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4" t="s">
        <v>29</v>
      </c>
      <c r="B6" s="7" t="s">
        <v>30</v>
      </c>
      <c r="C6" s="7" t="s">
        <v>31</v>
      </c>
      <c r="D6" s="7" t="s">
        <v>32</v>
      </c>
      <c r="E6" s="7" t="s">
        <v>33</v>
      </c>
      <c r="F6" s="7" t="s">
        <v>34</v>
      </c>
      <c r="G6" s="7" t="s">
        <v>35</v>
      </c>
      <c r="H6" s="7" t="s">
        <v>36</v>
      </c>
      <c r="I6" s="11" t="s">
        <v>37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38</v>
      </c>
      <c r="B7" s="12" t="s">
        <v>283</v>
      </c>
      <c r="C7" s="7" t="s">
        <v>39</v>
      </c>
      <c r="D7" s="7" t="s">
        <v>40</v>
      </c>
      <c r="E7" s="7" t="s">
        <v>41</v>
      </c>
      <c r="F7" s="7" t="s">
        <v>42</v>
      </c>
      <c r="G7" s="7" t="s">
        <v>43</v>
      </c>
      <c r="H7" s="7" t="s">
        <v>44</v>
      </c>
      <c r="I7" s="11" t="s">
        <v>45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46</v>
      </c>
      <c r="B8" s="12" t="s">
        <v>283</v>
      </c>
      <c r="C8" s="12" t="s">
        <v>283</v>
      </c>
      <c r="D8" s="7" t="s">
        <v>47</v>
      </c>
      <c r="E8" s="7" t="s">
        <v>48</v>
      </c>
      <c r="F8" s="7" t="s">
        <v>49</v>
      </c>
      <c r="G8" s="7" t="s">
        <v>50</v>
      </c>
      <c r="H8" s="7" t="s">
        <v>51</v>
      </c>
      <c r="I8" s="11" t="s">
        <v>52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12" t="s">
        <v>283</v>
      </c>
      <c r="B9" s="12" t="s">
        <v>283</v>
      </c>
      <c r="C9" s="12" t="s">
        <v>283</v>
      </c>
      <c r="D9" s="7" t="s">
        <v>53</v>
      </c>
      <c r="E9" s="12" t="s">
        <v>283</v>
      </c>
      <c r="F9" s="7" t="s">
        <v>54</v>
      </c>
      <c r="G9" s="7" t="s">
        <v>55</v>
      </c>
      <c r="H9" s="12" t="s">
        <v>283</v>
      </c>
      <c r="I9" s="11" t="s">
        <v>56</v>
      </c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12" t="s">
        <v>283</v>
      </c>
      <c r="B10" s="12" t="s">
        <v>283</v>
      </c>
      <c r="C10" s="12" t="s">
        <v>283</v>
      </c>
      <c r="D10" s="7" t="s">
        <v>57</v>
      </c>
      <c r="E10" s="12" t="s">
        <v>283</v>
      </c>
      <c r="F10" s="7" t="s">
        <v>58</v>
      </c>
      <c r="G10" s="7" t="s">
        <v>59</v>
      </c>
      <c r="H10" s="12" t="s">
        <v>283</v>
      </c>
      <c r="I10" s="11" t="s">
        <v>60</v>
      </c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12" t="s">
        <v>283</v>
      </c>
      <c r="B11" s="12" t="s">
        <v>283</v>
      </c>
      <c r="C11" s="12" t="s">
        <v>283</v>
      </c>
      <c r="D11" s="7" t="s">
        <v>61</v>
      </c>
      <c r="E11" s="12" t="s">
        <v>283</v>
      </c>
      <c r="F11" s="7" t="s">
        <v>62</v>
      </c>
      <c r="G11" s="7" t="s">
        <v>63</v>
      </c>
      <c r="H11" s="12" t="s">
        <v>283</v>
      </c>
      <c r="I11" s="11" t="s">
        <v>64</v>
      </c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12" t="s">
        <v>283</v>
      </c>
      <c r="B12" s="12" t="s">
        <v>283</v>
      </c>
      <c r="C12" s="12" t="s">
        <v>283</v>
      </c>
      <c r="D12" s="7" t="s">
        <v>65</v>
      </c>
      <c r="E12" s="12" t="s">
        <v>283</v>
      </c>
      <c r="F12" s="7" t="s">
        <v>66</v>
      </c>
      <c r="G12" s="12" t="s">
        <v>283</v>
      </c>
      <c r="H12" s="12" t="s">
        <v>283</v>
      </c>
      <c r="I12" s="11" t="s">
        <v>67</v>
      </c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13" t="s">
        <v>283</v>
      </c>
      <c r="B13" s="13" t="s">
        <v>283</v>
      </c>
      <c r="C13" s="13" t="s">
        <v>283</v>
      </c>
      <c r="D13" s="8" t="s">
        <v>68</v>
      </c>
      <c r="E13" s="13" t="s">
        <v>283</v>
      </c>
      <c r="F13" s="8" t="s">
        <v>69</v>
      </c>
      <c r="G13" s="13" t="s">
        <v>283</v>
      </c>
      <c r="H13" s="13" t="s">
        <v>283</v>
      </c>
      <c r="I13" s="14" t="s">
        <v>283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</sheetData>
  <mergeCells count="2">
    <mergeCell ref="A1:H1"/>
    <mergeCell ref="A2:H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4"/>
  <sheetViews>
    <sheetView workbookViewId="0"/>
  </sheetViews>
  <sheetFormatPr defaultRowHeight="13.5"/>
  <cols>
    <col min="1" max="1" width="36.125" customWidth="1"/>
    <col min="2" max="2" width="52.5625" customWidth="1"/>
    <col min="3" max="3" width="21.4375" customWidth="1"/>
    <col min="4" max="4" width="52.5625" customWidth="1"/>
    <col min="5" max="6" width="10.5625" customWidth="1"/>
    <col min="7" max="7" width="52.5625" customWidth="1"/>
    <col min="8" max="26" width="10.5625" customWidth="1"/>
  </cols>
  <sheetData>
    <row r="1" spans="1:26" ht="20" customHeight="1">
      <c r="A1" s="28" t="s">
        <v>70</v>
      </c>
      <c r="B1" s="28"/>
      <c r="C1" s="28"/>
      <c r="D1" s="28"/>
      <c r="E1" s="28"/>
      <c r="F1" s="28"/>
      <c r="G1" s="28"/>
      <c r="H1" s="28"/>
      <c r="I1" s="28"/>
      <c r="J1" s="29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0" t="s">
        <v>729</v>
      </c>
      <c r="B2" s="30"/>
      <c r="C2" s="30"/>
      <c r="D2" s="30"/>
      <c r="E2" s="32"/>
      <c r="F2" s="30"/>
      <c r="G2" s="30"/>
      <c r="H2" s="32"/>
      <c r="I2" s="32"/>
      <c r="J2" s="33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71</v>
      </c>
      <c r="B3" s="3" t="s">
        <v>72</v>
      </c>
      <c r="C3" s="3" t="s">
        <v>730</v>
      </c>
      <c r="D3" s="10" t="s">
        <v>73</v>
      </c>
      <c r="E3" s="2"/>
      <c r="F3" s="3" t="s">
        <v>74</v>
      </c>
      <c r="G3" s="10" t="s">
        <v>75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4" t="s">
        <v>76</v>
      </c>
      <c r="B4" s="4" t="s">
        <v>77</v>
      </c>
      <c r="C4" s="7" t="s">
        <v>78</v>
      </c>
      <c r="D4" s="15" t="s">
        <v>79</v>
      </c>
      <c r="E4" s="2"/>
      <c r="F4" s="4" t="s">
        <v>15</v>
      </c>
      <c r="G4" s="15" t="s">
        <v>731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8.5">
      <c r="A5" s="4" t="s">
        <v>80</v>
      </c>
      <c r="B5" s="4" t="s">
        <v>81</v>
      </c>
      <c r="C5" s="7" t="s">
        <v>82</v>
      </c>
      <c r="D5" s="15" t="s">
        <v>83</v>
      </c>
      <c r="E5" s="2"/>
      <c r="F5" s="4" t="s">
        <v>24</v>
      </c>
      <c r="G5" s="15" t="s">
        <v>732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2.75">
      <c r="A6" s="4" t="s">
        <v>84</v>
      </c>
      <c r="B6" s="4" t="s">
        <v>760</v>
      </c>
      <c r="C6" s="7" t="s">
        <v>85</v>
      </c>
      <c r="D6" s="15" t="s">
        <v>86</v>
      </c>
      <c r="E6" s="2"/>
      <c r="F6" s="4" t="s">
        <v>33</v>
      </c>
      <c r="G6" s="15" t="s">
        <v>733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2.75">
      <c r="A7" s="4" t="s">
        <v>87</v>
      </c>
      <c r="B7" s="4" t="s">
        <v>88</v>
      </c>
      <c r="C7" s="7" t="s">
        <v>89</v>
      </c>
      <c r="D7" s="15" t="s">
        <v>90</v>
      </c>
      <c r="E7" s="2"/>
      <c r="F7" s="4" t="s">
        <v>41</v>
      </c>
      <c r="G7" s="15" t="s">
        <v>734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2.75">
      <c r="A8" s="4" t="s">
        <v>91</v>
      </c>
      <c r="B8" s="4" t="s">
        <v>92</v>
      </c>
      <c r="C8" s="7" t="s">
        <v>93</v>
      </c>
      <c r="D8" s="15" t="s">
        <v>94</v>
      </c>
      <c r="E8" s="2"/>
      <c r="F8" s="5" t="s">
        <v>48</v>
      </c>
      <c r="G8" s="6" t="s">
        <v>735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2.75">
      <c r="A9" s="4" t="s">
        <v>95</v>
      </c>
      <c r="B9" s="4" t="s">
        <v>96</v>
      </c>
      <c r="C9" s="7" t="s">
        <v>97</v>
      </c>
      <c r="D9" s="15" t="s">
        <v>98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2.75">
      <c r="A10" s="4" t="s">
        <v>99</v>
      </c>
      <c r="B10" s="4" t="s">
        <v>100</v>
      </c>
      <c r="C10" s="7" t="s">
        <v>101</v>
      </c>
      <c r="D10" s="15" t="s">
        <v>102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8.5">
      <c r="A11" s="4" t="s">
        <v>103</v>
      </c>
      <c r="B11" s="4" t="s">
        <v>104</v>
      </c>
      <c r="C11" s="7" t="s">
        <v>105</v>
      </c>
      <c r="D11" s="15" t="s">
        <v>106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8.5">
      <c r="A12" s="4" t="s">
        <v>107</v>
      </c>
      <c r="B12" s="4" t="s">
        <v>108</v>
      </c>
      <c r="C12" s="7" t="s">
        <v>109</v>
      </c>
      <c r="D12" s="15" t="s">
        <v>110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8.5">
      <c r="A13" s="4" t="s">
        <v>111</v>
      </c>
      <c r="B13" s="4" t="s">
        <v>112</v>
      </c>
      <c r="C13" s="7" t="s">
        <v>113</v>
      </c>
      <c r="D13" s="15" t="s">
        <v>114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8.5">
      <c r="A14" s="5" t="s">
        <v>115</v>
      </c>
      <c r="B14" s="5" t="s">
        <v>116</v>
      </c>
      <c r="C14" s="8" t="s">
        <v>117</v>
      </c>
      <c r="D14" s="6" t="s">
        <v>118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"/>
  <sheetViews>
    <sheetView workbookViewId="0"/>
  </sheetViews>
  <sheetFormatPr defaultRowHeight="13.5"/>
  <cols>
    <col min="1" max="1" width="10.5625" customWidth="1"/>
    <col min="2" max="2" width="23.5" customWidth="1"/>
    <col min="3" max="3" width="32.9375" customWidth="1"/>
    <col min="4" max="4" width="52.5625" customWidth="1"/>
    <col min="5" max="5" width="18.25" customWidth="1"/>
    <col min="6" max="6" width="32.9375" customWidth="1"/>
    <col min="7" max="7" width="13" customWidth="1"/>
    <col min="8" max="8" width="18.25" customWidth="1"/>
    <col min="9" max="9" width="17.1875" customWidth="1"/>
    <col min="10" max="10" width="18.25" customWidth="1"/>
    <col min="11" max="11" width="14.0625" customWidth="1"/>
    <col min="12" max="26" width="10.5625" customWidth="1"/>
  </cols>
  <sheetData>
    <row r="1" spans="1:26" ht="20" customHeight="1">
      <c r="A1" s="28" t="s">
        <v>119</v>
      </c>
      <c r="B1" s="28"/>
      <c r="C1" s="28"/>
      <c r="D1" s="28"/>
      <c r="E1" s="28"/>
      <c r="F1" s="28"/>
      <c r="G1" s="28"/>
      <c r="H1" s="28"/>
      <c r="I1" s="28"/>
      <c r="J1" s="28"/>
      <c r="K1" s="29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0" t="s">
        <v>758</v>
      </c>
      <c r="B2" s="30"/>
      <c r="C2" s="30"/>
      <c r="D2" s="30"/>
      <c r="E2" s="30"/>
      <c r="F2" s="30"/>
      <c r="G2" s="30"/>
      <c r="H2" s="30"/>
      <c r="I2" s="30"/>
      <c r="J2" s="30"/>
      <c r="K2" s="31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120</v>
      </c>
      <c r="B3" s="3" t="s">
        <v>121</v>
      </c>
      <c r="C3" s="3" t="s">
        <v>122</v>
      </c>
      <c r="D3" s="3" t="s">
        <v>123</v>
      </c>
      <c r="E3" s="3" t="s">
        <v>2</v>
      </c>
      <c r="F3" s="3" t="s">
        <v>124</v>
      </c>
      <c r="G3" s="3" t="s">
        <v>3</v>
      </c>
      <c r="H3" s="3" t="s">
        <v>4</v>
      </c>
      <c r="I3" s="3" t="s">
        <v>125</v>
      </c>
      <c r="J3" s="3" t="s">
        <v>126</v>
      </c>
      <c r="K3" s="10" t="s">
        <v>127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16" t="s">
        <v>277</v>
      </c>
      <c r="B4" s="7" t="s">
        <v>278</v>
      </c>
      <c r="C4" s="7" t="s">
        <v>279</v>
      </c>
      <c r="D4" s="4" t="s">
        <v>280</v>
      </c>
      <c r="E4" s="7" t="s">
        <v>11</v>
      </c>
      <c r="F4" s="7" t="s">
        <v>281</v>
      </c>
      <c r="G4" s="7" t="s">
        <v>12</v>
      </c>
      <c r="H4" s="7" t="s">
        <v>282</v>
      </c>
      <c r="I4" s="18" t="s">
        <v>283</v>
      </c>
      <c r="J4" s="7" t="s">
        <v>284</v>
      </c>
      <c r="K4" s="11" t="s">
        <v>285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16" t="s">
        <v>334</v>
      </c>
      <c r="B5" s="7" t="s">
        <v>335</v>
      </c>
      <c r="C5" s="7" t="s">
        <v>336</v>
      </c>
      <c r="D5" s="4" t="s">
        <v>337</v>
      </c>
      <c r="E5" s="7" t="s">
        <v>11</v>
      </c>
      <c r="F5" s="7" t="s">
        <v>338</v>
      </c>
      <c r="G5" s="7" t="s">
        <v>12</v>
      </c>
      <c r="H5" s="7" t="s">
        <v>282</v>
      </c>
      <c r="I5" s="18" t="s">
        <v>283</v>
      </c>
      <c r="J5" s="7" t="s">
        <v>284</v>
      </c>
      <c r="K5" s="11" t="s">
        <v>285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16" t="s">
        <v>366</v>
      </c>
      <c r="B6" s="7" t="s">
        <v>367</v>
      </c>
      <c r="C6" s="7" t="s">
        <v>368</v>
      </c>
      <c r="D6" s="4" t="s">
        <v>369</v>
      </c>
      <c r="E6" s="7" t="s">
        <v>11</v>
      </c>
      <c r="F6" s="7" t="s">
        <v>370</v>
      </c>
      <c r="G6" s="7" t="s">
        <v>12</v>
      </c>
      <c r="H6" s="7" t="s">
        <v>282</v>
      </c>
      <c r="I6" s="18" t="s">
        <v>283</v>
      </c>
      <c r="J6" s="7" t="s">
        <v>284</v>
      </c>
      <c r="K6" s="11" t="s">
        <v>285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16" t="s">
        <v>409</v>
      </c>
      <c r="B7" s="7" t="s">
        <v>410</v>
      </c>
      <c r="C7" s="7" t="s">
        <v>411</v>
      </c>
      <c r="D7" s="4" t="s">
        <v>412</v>
      </c>
      <c r="E7" s="7" t="s">
        <v>413</v>
      </c>
      <c r="F7" s="7" t="s">
        <v>414</v>
      </c>
      <c r="G7" s="7" t="s">
        <v>12</v>
      </c>
      <c r="H7" s="7" t="s">
        <v>282</v>
      </c>
      <c r="I7" s="18" t="s">
        <v>283</v>
      </c>
      <c r="J7" s="7" t="s">
        <v>284</v>
      </c>
      <c r="K7" s="11" t="s">
        <v>285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16" t="s">
        <v>451</v>
      </c>
      <c r="B8" s="7" t="s">
        <v>452</v>
      </c>
      <c r="C8" s="7" t="s">
        <v>453</v>
      </c>
      <c r="D8" s="4" t="s">
        <v>454</v>
      </c>
      <c r="E8" s="7" t="s">
        <v>29</v>
      </c>
      <c r="F8" s="7" t="s">
        <v>414</v>
      </c>
      <c r="G8" s="7" t="s">
        <v>12</v>
      </c>
      <c r="H8" s="7" t="s">
        <v>282</v>
      </c>
      <c r="I8" s="18" t="s">
        <v>283</v>
      </c>
      <c r="J8" s="7" t="s">
        <v>284</v>
      </c>
      <c r="K8" s="11" t="s">
        <v>285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8.5">
      <c r="A9" s="16" t="s">
        <v>489</v>
      </c>
      <c r="B9" s="7" t="s">
        <v>490</v>
      </c>
      <c r="C9" s="7" t="s">
        <v>491</v>
      </c>
      <c r="D9" s="4" t="s">
        <v>492</v>
      </c>
      <c r="E9" s="7" t="s">
        <v>29</v>
      </c>
      <c r="F9" s="7" t="s">
        <v>493</v>
      </c>
      <c r="G9" s="7" t="s">
        <v>12</v>
      </c>
      <c r="H9" s="7" t="s">
        <v>282</v>
      </c>
      <c r="I9" s="18" t="s">
        <v>283</v>
      </c>
      <c r="J9" s="7" t="s">
        <v>284</v>
      </c>
      <c r="K9" s="11" t="s">
        <v>285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8.5">
      <c r="A10" s="17" t="s">
        <v>529</v>
      </c>
      <c r="B10" s="8" t="s">
        <v>530</v>
      </c>
      <c r="C10" s="8" t="s">
        <v>531</v>
      </c>
      <c r="D10" s="5" t="s">
        <v>532</v>
      </c>
      <c r="E10" s="8" t="s">
        <v>413</v>
      </c>
      <c r="F10" s="8" t="s">
        <v>281</v>
      </c>
      <c r="G10" s="8" t="s">
        <v>12</v>
      </c>
      <c r="H10" s="8" t="s">
        <v>282</v>
      </c>
      <c r="I10" s="19" t="s">
        <v>283</v>
      </c>
      <c r="J10" s="8" t="s">
        <v>284</v>
      </c>
      <c r="K10" s="9" t="s">
        <v>285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</sheetData>
  <mergeCells count="2">
    <mergeCell ref="A1:K1"/>
    <mergeCell ref="A2:K2"/>
  </mergeCells>
  <dataValidations count="3">
    <dataValidation type="list" sqref="E4:E10" xr:uid="{00000000-0002-0000-0200-000000000000}">
      <formula1>"прямой,косвенный,заменитель,эталон лучшей практики,смежная модель"</formula1>
    </dataValidation>
    <dataValidation type="list" sqref="G4:G10" xr:uid="{00000000-0002-0000-0200-000001000000}">
      <formula1>"высокий,средний,низкий"</formula1>
    </dataValidation>
    <dataValidation type="list" sqref="H4:H10" xr:uid="{00000000-0002-0000-0200-000002000000}">
      <formula1>"не начат,в работе,требует проверки,завершен"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5"/>
  <sheetViews>
    <sheetView workbookViewId="0"/>
  </sheetViews>
  <sheetFormatPr defaultRowHeight="13.5"/>
  <cols>
    <col min="1" max="1" width="10.9375" customWidth="1"/>
    <col min="2" max="2" width="17.1875" customWidth="1"/>
    <col min="3" max="3" width="15.125" customWidth="1"/>
    <col min="4" max="4" width="22.4375" customWidth="1"/>
    <col min="5" max="5" width="52.5625" customWidth="1"/>
    <col min="6" max="6" width="22.4375" customWidth="1"/>
    <col min="7" max="7" width="52.5625" customWidth="1"/>
    <col min="8" max="8" width="26.6875" customWidth="1"/>
    <col min="9" max="9" width="23.5" customWidth="1"/>
    <col min="10" max="10" width="17.1875" customWidth="1"/>
    <col min="11" max="11" width="19.3125" customWidth="1"/>
    <col min="12" max="12" width="52.5625" customWidth="1"/>
    <col min="13" max="26" width="10.5625" customWidth="1"/>
  </cols>
  <sheetData>
    <row r="1" spans="1:26" ht="20" customHeight="1">
      <c r="A1" s="28" t="s">
        <v>128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9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0" t="s">
        <v>736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1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5</v>
      </c>
      <c r="I3" s="3" t="s">
        <v>136</v>
      </c>
      <c r="J3" s="3" t="s">
        <v>125</v>
      </c>
      <c r="K3" s="3" t="s">
        <v>137</v>
      </c>
      <c r="L3" s="10" t="s">
        <v>138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4" t="s">
        <v>563</v>
      </c>
      <c r="B4" s="7" t="s">
        <v>277</v>
      </c>
      <c r="C4" s="7" t="str">
        <f>IF($B4="","",IFERROR(VLOOKUP($B4,'02_Конкуренты'!$A$4:$B$10,2,FALSE),"не найдено"))</f>
        <v>PerfectXL</v>
      </c>
      <c r="D4" s="7" t="s">
        <v>564</v>
      </c>
      <c r="E4" s="7" t="s">
        <v>279</v>
      </c>
      <c r="F4" s="7" t="s">
        <v>564</v>
      </c>
      <c r="G4" s="4" t="s">
        <v>565</v>
      </c>
      <c r="H4" s="7" t="s">
        <v>23</v>
      </c>
      <c r="I4" s="7">
        <v>4</v>
      </c>
      <c r="J4" s="18" t="s">
        <v>283</v>
      </c>
      <c r="K4" s="7" t="s">
        <v>566</v>
      </c>
      <c r="L4" s="15" t="s">
        <v>567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8.5">
      <c r="A5" s="4" t="s">
        <v>568</v>
      </c>
      <c r="B5" s="7" t="s">
        <v>277</v>
      </c>
      <c r="C5" s="7" t="str">
        <f>IF($B5="","",IFERROR(VLOOKUP($B5,'02_Конкуренты'!$A$4:$B$10,2,FALSE),"не найдено"))</f>
        <v>PerfectXL</v>
      </c>
      <c r="D5" s="7" t="s">
        <v>569</v>
      </c>
      <c r="E5" s="4" t="s">
        <v>570</v>
      </c>
      <c r="F5" s="7" t="s">
        <v>569</v>
      </c>
      <c r="G5" s="4" t="s">
        <v>737</v>
      </c>
      <c r="H5" s="7" t="s">
        <v>53</v>
      </c>
      <c r="I5" s="7">
        <v>5</v>
      </c>
      <c r="J5" s="18" t="s">
        <v>283</v>
      </c>
      <c r="K5" s="7" t="s">
        <v>566</v>
      </c>
      <c r="L5" s="11" t="s">
        <v>571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8.5">
      <c r="A6" s="4" t="s">
        <v>572</v>
      </c>
      <c r="B6" s="7" t="s">
        <v>334</v>
      </c>
      <c r="C6" s="7" t="str">
        <f>IF($B6="","",IFERROR(VLOOKUP($B6,'02_Конкуренты'!$A$4:$B$10,2,FALSE),"не найдено"))</f>
        <v>Arixcel</v>
      </c>
      <c r="D6" s="7" t="s">
        <v>564</v>
      </c>
      <c r="E6" s="7" t="s">
        <v>336</v>
      </c>
      <c r="F6" s="7" t="s">
        <v>564</v>
      </c>
      <c r="G6" s="4" t="s">
        <v>738</v>
      </c>
      <c r="H6" s="7" t="s">
        <v>23</v>
      </c>
      <c r="I6" s="7">
        <v>4</v>
      </c>
      <c r="J6" s="18" t="s">
        <v>283</v>
      </c>
      <c r="K6" s="7" t="s">
        <v>566</v>
      </c>
      <c r="L6" s="15" t="s">
        <v>573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8.5">
      <c r="A7" s="4" t="s">
        <v>574</v>
      </c>
      <c r="B7" s="7" t="s">
        <v>366</v>
      </c>
      <c r="C7" s="7" t="str">
        <f>IF($B7="","",IFERROR(VLOOKUP($B7,'02_Конкуренты'!$A$4:$B$10,2,FALSE),"не найдено"))</f>
        <v>Operis</v>
      </c>
      <c r="D7" s="7" t="s">
        <v>564</v>
      </c>
      <c r="E7" s="7" t="s">
        <v>368</v>
      </c>
      <c r="F7" s="7" t="s">
        <v>564</v>
      </c>
      <c r="G7" s="4" t="s">
        <v>575</v>
      </c>
      <c r="H7" s="7" t="s">
        <v>23</v>
      </c>
      <c r="I7" s="7">
        <v>4</v>
      </c>
      <c r="J7" s="18" t="s">
        <v>283</v>
      </c>
      <c r="K7" s="7" t="s">
        <v>566</v>
      </c>
      <c r="L7" s="15" t="s">
        <v>576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577</v>
      </c>
      <c r="B8" s="7" t="s">
        <v>409</v>
      </c>
      <c r="C8" s="7" t="str">
        <f>IF($B8="","",IFERROR(VLOOKUP($B8,'02_Конкуренты'!$A$4:$B$10,2,FALSE),"не найдено"))</f>
        <v>Shortcut</v>
      </c>
      <c r="D8" s="7" t="s">
        <v>564</v>
      </c>
      <c r="E8" s="7" t="s">
        <v>411</v>
      </c>
      <c r="F8" s="7" t="s">
        <v>564</v>
      </c>
      <c r="G8" s="4" t="s">
        <v>578</v>
      </c>
      <c r="H8" s="7" t="s">
        <v>23</v>
      </c>
      <c r="I8" s="7">
        <v>5</v>
      </c>
      <c r="J8" s="18" t="s">
        <v>283</v>
      </c>
      <c r="K8" s="7" t="s">
        <v>566</v>
      </c>
      <c r="L8" s="15" t="s">
        <v>579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4" t="s">
        <v>580</v>
      </c>
      <c r="B9" s="7" t="s">
        <v>409</v>
      </c>
      <c r="C9" s="7" t="str">
        <f>IF($B9="","",IFERROR(VLOOKUP($B9,'02_Конкуренты'!$A$4:$B$10,2,FALSE),"не найдено"))</f>
        <v>Shortcut</v>
      </c>
      <c r="D9" s="7" t="s">
        <v>569</v>
      </c>
      <c r="E9" s="4" t="s">
        <v>581</v>
      </c>
      <c r="F9" s="7" t="s">
        <v>569</v>
      </c>
      <c r="G9" s="4" t="s">
        <v>739</v>
      </c>
      <c r="H9" s="7" t="s">
        <v>53</v>
      </c>
      <c r="I9" s="7">
        <v>5</v>
      </c>
      <c r="J9" s="18" t="s">
        <v>283</v>
      </c>
      <c r="K9" s="7" t="s">
        <v>566</v>
      </c>
      <c r="L9" s="11" t="s">
        <v>582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4" t="s">
        <v>583</v>
      </c>
      <c r="B10" s="7" t="s">
        <v>451</v>
      </c>
      <c r="C10" s="7" t="str">
        <f>IF($B10="","",IFERROR(VLOOKUP($B10,'02_Конкуренты'!$A$4:$B$10,2,FALSE),"не найдено"))</f>
        <v>Numerous.ai</v>
      </c>
      <c r="D10" s="7" t="s">
        <v>564</v>
      </c>
      <c r="E10" s="7" t="s">
        <v>453</v>
      </c>
      <c r="F10" s="7" t="s">
        <v>564</v>
      </c>
      <c r="G10" s="4" t="s">
        <v>584</v>
      </c>
      <c r="H10" s="7" t="s">
        <v>23</v>
      </c>
      <c r="I10" s="7">
        <v>4</v>
      </c>
      <c r="J10" s="18" t="s">
        <v>283</v>
      </c>
      <c r="K10" s="7" t="s">
        <v>566</v>
      </c>
      <c r="L10" s="15" t="s">
        <v>585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4" t="s">
        <v>586</v>
      </c>
      <c r="B11" s="7" t="s">
        <v>451</v>
      </c>
      <c r="C11" s="7" t="str">
        <f>IF($B11="","",IFERROR(VLOOKUP($B11,'02_Конкуренты'!$A$4:$B$10,2,FALSE),"не найдено"))</f>
        <v>Numerous.ai</v>
      </c>
      <c r="D11" s="7" t="s">
        <v>569</v>
      </c>
      <c r="E11" s="4" t="s">
        <v>587</v>
      </c>
      <c r="F11" s="7" t="s">
        <v>569</v>
      </c>
      <c r="G11" s="4" t="s">
        <v>740</v>
      </c>
      <c r="H11" s="7" t="s">
        <v>53</v>
      </c>
      <c r="I11" s="7">
        <v>5</v>
      </c>
      <c r="J11" s="18" t="s">
        <v>283</v>
      </c>
      <c r="K11" s="7" t="s">
        <v>566</v>
      </c>
      <c r="L11" s="11" t="s">
        <v>588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4" t="s">
        <v>589</v>
      </c>
      <c r="B12" s="7" t="s">
        <v>489</v>
      </c>
      <c r="C12" s="7" t="str">
        <f>IF($B12="","",IFERROR(VLOOKUP($B12,'02_Конкуренты'!$A$4:$B$10,2,FALSE),"не найдено"))</f>
        <v>Datarails</v>
      </c>
      <c r="D12" s="7" t="s">
        <v>564</v>
      </c>
      <c r="E12" s="7" t="s">
        <v>491</v>
      </c>
      <c r="F12" s="7" t="s">
        <v>564</v>
      </c>
      <c r="G12" s="4" t="s">
        <v>590</v>
      </c>
      <c r="H12" s="7" t="s">
        <v>23</v>
      </c>
      <c r="I12" s="7">
        <v>4</v>
      </c>
      <c r="J12" s="18" t="s">
        <v>283</v>
      </c>
      <c r="K12" s="7" t="s">
        <v>566</v>
      </c>
      <c r="L12" s="15" t="s">
        <v>591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8.5">
      <c r="A13" s="4" t="s">
        <v>592</v>
      </c>
      <c r="B13" s="7" t="s">
        <v>529</v>
      </c>
      <c r="C13" s="7" t="str">
        <f>IF($B13="","",IFERROR(VLOOKUP($B13,'02_Конкуренты'!$A$4:$B$10,2,FALSE),"не найдено"))</f>
        <v>DataSnipper</v>
      </c>
      <c r="D13" s="7" t="s">
        <v>564</v>
      </c>
      <c r="E13" s="7" t="s">
        <v>531</v>
      </c>
      <c r="F13" s="7" t="s">
        <v>564</v>
      </c>
      <c r="G13" s="4" t="s">
        <v>593</v>
      </c>
      <c r="H13" s="7" t="s">
        <v>23</v>
      </c>
      <c r="I13" s="7">
        <v>5</v>
      </c>
      <c r="J13" s="18" t="s">
        <v>283</v>
      </c>
      <c r="K13" s="7" t="s">
        <v>566</v>
      </c>
      <c r="L13" s="11" t="s">
        <v>594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4" t="s">
        <v>595</v>
      </c>
      <c r="B14" s="7" t="s">
        <v>409</v>
      </c>
      <c r="C14" s="7" t="str">
        <f>IF($B14="","",IFERROR(VLOOKUP($B14,'02_Конкуренты'!$A$4:$B$10,2,FALSE),"не найдено"))</f>
        <v>Shortcut</v>
      </c>
      <c r="D14" s="7" t="s">
        <v>596</v>
      </c>
      <c r="E14" s="4" t="s">
        <v>597</v>
      </c>
      <c r="F14" s="7" t="s">
        <v>596</v>
      </c>
      <c r="G14" s="7" t="s">
        <v>598</v>
      </c>
      <c r="H14" s="7" t="s">
        <v>47</v>
      </c>
      <c r="I14" s="7">
        <v>3</v>
      </c>
      <c r="J14" s="18" t="s">
        <v>283</v>
      </c>
      <c r="K14" s="7" t="s">
        <v>566</v>
      </c>
      <c r="L14" s="11" t="s">
        <v>599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>
      <c r="A15" s="4" t="s">
        <v>600</v>
      </c>
      <c r="B15" s="7" t="s">
        <v>489</v>
      </c>
      <c r="C15" s="7" t="str">
        <f>IF($B15="","",IFERROR(VLOOKUP($B15,'02_Конкуренты'!$A$4:$B$10,2,FALSE),"не найдено"))</f>
        <v>Datarails</v>
      </c>
      <c r="D15" s="7" t="s">
        <v>596</v>
      </c>
      <c r="E15" s="4" t="s">
        <v>601</v>
      </c>
      <c r="F15" s="7" t="s">
        <v>596</v>
      </c>
      <c r="G15" s="7" t="s">
        <v>602</v>
      </c>
      <c r="H15" s="7" t="s">
        <v>47</v>
      </c>
      <c r="I15" s="7">
        <v>5</v>
      </c>
      <c r="J15" s="18" t="s">
        <v>283</v>
      </c>
      <c r="K15" s="7" t="s">
        <v>566</v>
      </c>
      <c r="L15" s="15" t="s">
        <v>603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>
      <c r="A16" s="4" t="s">
        <v>604</v>
      </c>
      <c r="B16" s="7" t="s">
        <v>277</v>
      </c>
      <c r="C16" s="7" t="str">
        <f>IF($B16="","",IFERROR(VLOOKUP($B16,'02_Конкуренты'!$A$4:$B$10,2,FALSE),"не найдено"))</f>
        <v>PerfectXL</v>
      </c>
      <c r="D16" s="7" t="s">
        <v>596</v>
      </c>
      <c r="E16" s="4" t="s">
        <v>605</v>
      </c>
      <c r="F16" s="7" t="s">
        <v>596</v>
      </c>
      <c r="G16" s="7" t="s">
        <v>606</v>
      </c>
      <c r="H16" s="7" t="s">
        <v>47</v>
      </c>
      <c r="I16" s="7">
        <v>3</v>
      </c>
      <c r="J16" s="18" t="s">
        <v>283</v>
      </c>
      <c r="K16" s="7" t="s">
        <v>566</v>
      </c>
      <c r="L16" s="11" t="s">
        <v>599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>
      <c r="A17" s="4" t="s">
        <v>607</v>
      </c>
      <c r="B17" s="7" t="s">
        <v>334</v>
      </c>
      <c r="C17" s="7" t="str">
        <f>IF($B17="","",IFERROR(VLOOKUP($B17,'02_Конкуренты'!$A$4:$B$10,2,FALSE),"не найдено"))</f>
        <v>Arixcel</v>
      </c>
      <c r="D17" s="7" t="s">
        <v>596</v>
      </c>
      <c r="E17" s="4" t="s">
        <v>608</v>
      </c>
      <c r="F17" s="7" t="s">
        <v>596</v>
      </c>
      <c r="G17" s="4" t="s">
        <v>609</v>
      </c>
      <c r="H17" s="7" t="s">
        <v>47</v>
      </c>
      <c r="I17" s="7">
        <v>3</v>
      </c>
      <c r="J17" s="18" t="s">
        <v>283</v>
      </c>
      <c r="K17" s="7" t="s">
        <v>566</v>
      </c>
      <c r="L17" s="11" t="s">
        <v>610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8.5">
      <c r="A18" s="4" t="s">
        <v>611</v>
      </c>
      <c r="B18" s="7" t="s">
        <v>366</v>
      </c>
      <c r="C18" s="7" t="str">
        <f>IF($B18="","",IFERROR(VLOOKUP($B18,'02_Конкуренты'!$A$4:$B$10,2,FALSE),"не найдено"))</f>
        <v>Operis</v>
      </c>
      <c r="D18" s="7" t="s">
        <v>612</v>
      </c>
      <c r="E18" s="4" t="s">
        <v>613</v>
      </c>
      <c r="F18" s="7" t="s">
        <v>612</v>
      </c>
      <c r="G18" s="4" t="s">
        <v>614</v>
      </c>
      <c r="H18" s="7" t="s">
        <v>40</v>
      </c>
      <c r="I18" s="7">
        <v>3</v>
      </c>
      <c r="J18" s="18" t="s">
        <v>283</v>
      </c>
      <c r="K18" s="7" t="s">
        <v>566</v>
      </c>
      <c r="L18" s="11" t="s">
        <v>615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>
      <c r="A19" s="4" t="s">
        <v>616</v>
      </c>
      <c r="B19" s="7" t="s">
        <v>529</v>
      </c>
      <c r="C19" s="7" t="str">
        <f>IF($B19="","",IFERROR(VLOOKUP($B19,'02_Конкуренты'!$A$4:$B$10,2,FALSE),"не найдено"))</f>
        <v>DataSnipper</v>
      </c>
      <c r="D19" s="7" t="s">
        <v>612</v>
      </c>
      <c r="E19" s="4" t="s">
        <v>613</v>
      </c>
      <c r="F19" s="7" t="s">
        <v>612</v>
      </c>
      <c r="G19" s="4" t="s">
        <v>617</v>
      </c>
      <c r="H19" s="7" t="s">
        <v>40</v>
      </c>
      <c r="I19" s="7">
        <v>4</v>
      </c>
      <c r="J19" s="18" t="s">
        <v>283</v>
      </c>
      <c r="K19" s="7" t="s">
        <v>566</v>
      </c>
      <c r="L19" s="15" t="s">
        <v>618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8.5">
      <c r="A20" s="4" t="s">
        <v>619</v>
      </c>
      <c r="B20" s="7" t="s">
        <v>529</v>
      </c>
      <c r="C20" s="7" t="str">
        <f>IF($B20="","",IFERROR(VLOOKUP($B20,'02_Конкуренты'!$A$4:$B$10,2,FALSE),"не найдено"))</f>
        <v>DataSnipper</v>
      </c>
      <c r="D20" s="7" t="s">
        <v>620</v>
      </c>
      <c r="E20" s="4" t="s">
        <v>621</v>
      </c>
      <c r="F20" s="7" t="s">
        <v>620</v>
      </c>
      <c r="G20" s="4" t="s">
        <v>622</v>
      </c>
      <c r="H20" s="7" t="s">
        <v>32</v>
      </c>
      <c r="I20" s="7">
        <v>5</v>
      </c>
      <c r="J20" s="18" t="s">
        <v>283</v>
      </c>
      <c r="K20" s="7" t="s">
        <v>566</v>
      </c>
      <c r="L20" s="15" t="s">
        <v>623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>
      <c r="A21" s="4" t="s">
        <v>624</v>
      </c>
      <c r="B21" s="7" t="s">
        <v>529</v>
      </c>
      <c r="C21" s="7" t="str">
        <f>IF($B21="","",IFERROR(VLOOKUP($B21,'02_Конкуренты'!$A$4:$B$10,2,FALSE),"не найдено"))</f>
        <v>DataSnipper</v>
      </c>
      <c r="D21" s="7" t="s">
        <v>569</v>
      </c>
      <c r="E21" s="4" t="s">
        <v>625</v>
      </c>
      <c r="F21" s="7" t="s">
        <v>569</v>
      </c>
      <c r="G21" s="4" t="s">
        <v>626</v>
      </c>
      <c r="H21" s="7" t="s">
        <v>53</v>
      </c>
      <c r="I21" s="7">
        <v>4</v>
      </c>
      <c r="J21" s="18" t="s">
        <v>283</v>
      </c>
      <c r="K21" s="7" t="s">
        <v>566</v>
      </c>
      <c r="L21" s="15" t="s">
        <v>627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8.5">
      <c r="A22" s="4" t="s">
        <v>628</v>
      </c>
      <c r="B22" s="7" t="s">
        <v>529</v>
      </c>
      <c r="C22" s="7" t="str">
        <f>IF($B22="","",IFERROR(VLOOKUP($B22,'02_Конкуренты'!$A$4:$B$10,2,FALSE),"не найдено"))</f>
        <v>DataSnipper</v>
      </c>
      <c r="D22" s="7" t="s">
        <v>198</v>
      </c>
      <c r="E22" s="4" t="s">
        <v>629</v>
      </c>
      <c r="F22" s="7" t="s">
        <v>198</v>
      </c>
      <c r="G22" s="4" t="s">
        <v>630</v>
      </c>
      <c r="H22" s="7" t="s">
        <v>32</v>
      </c>
      <c r="I22" s="7">
        <v>4</v>
      </c>
      <c r="J22" s="18" t="s">
        <v>283</v>
      </c>
      <c r="K22" s="7" t="s">
        <v>566</v>
      </c>
      <c r="L22" s="15" t="s">
        <v>631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>
      <c r="A23" s="4" t="s">
        <v>632</v>
      </c>
      <c r="B23" s="7" t="s">
        <v>529</v>
      </c>
      <c r="C23" s="7" t="str">
        <f>IF($B23="","",IFERROR(VLOOKUP($B23,'02_Конкуренты'!$A$4:$B$10,2,FALSE),"не найдено"))</f>
        <v>DataSnipper</v>
      </c>
      <c r="D23" s="7" t="s">
        <v>633</v>
      </c>
      <c r="E23" s="4" t="s">
        <v>634</v>
      </c>
      <c r="F23" s="7" t="s">
        <v>633</v>
      </c>
      <c r="G23" s="4" t="s">
        <v>635</v>
      </c>
      <c r="H23" s="7" t="s">
        <v>47</v>
      </c>
      <c r="I23" s="7">
        <v>3</v>
      </c>
      <c r="J23" s="18" t="s">
        <v>283</v>
      </c>
      <c r="K23" s="7" t="s">
        <v>566</v>
      </c>
      <c r="L23" s="15" t="s">
        <v>636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8.5">
      <c r="A24" s="4" t="s">
        <v>637</v>
      </c>
      <c r="B24" s="7" t="s">
        <v>489</v>
      </c>
      <c r="C24" s="7" t="str">
        <f>IF($B24="","",IFERROR(VLOOKUP($B24,'02_Конкуренты'!$A$4:$B$10,2,FALSE),"не найдено"))</f>
        <v>Datarails</v>
      </c>
      <c r="D24" s="7" t="s">
        <v>569</v>
      </c>
      <c r="E24" s="4" t="s">
        <v>638</v>
      </c>
      <c r="F24" s="7" t="s">
        <v>569</v>
      </c>
      <c r="G24" s="4" t="s">
        <v>639</v>
      </c>
      <c r="H24" s="7" t="s">
        <v>53</v>
      </c>
      <c r="I24" s="7">
        <v>4</v>
      </c>
      <c r="J24" s="18" t="s">
        <v>283</v>
      </c>
      <c r="K24" s="7" t="s">
        <v>566</v>
      </c>
      <c r="L24" s="15" t="s">
        <v>511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8.5">
      <c r="A25" s="4" t="s">
        <v>640</v>
      </c>
      <c r="B25" s="7" t="s">
        <v>489</v>
      </c>
      <c r="C25" s="7" t="str">
        <f>IF($B25="","",IFERROR(VLOOKUP($B25,'02_Конкуренты'!$A$4:$B$10,2,FALSE),"не найдено"))</f>
        <v>Datarails</v>
      </c>
      <c r="D25" s="7" t="s">
        <v>641</v>
      </c>
      <c r="E25" s="4" t="s">
        <v>642</v>
      </c>
      <c r="F25" s="7" t="s">
        <v>641</v>
      </c>
      <c r="G25" s="4" t="s">
        <v>643</v>
      </c>
      <c r="H25" s="7" t="s">
        <v>32</v>
      </c>
      <c r="I25" s="7">
        <v>5</v>
      </c>
      <c r="J25" s="18" t="s">
        <v>283</v>
      </c>
      <c r="K25" s="7" t="s">
        <v>566</v>
      </c>
      <c r="L25" s="11" t="s">
        <v>644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8.5">
      <c r="A26" s="4" t="s">
        <v>645</v>
      </c>
      <c r="B26" s="7" t="s">
        <v>489</v>
      </c>
      <c r="C26" s="7" t="str">
        <f>IF($B26="","",IFERROR(VLOOKUP($B26,'02_Конкуренты'!$A$4:$B$10,2,FALSE),"не найдено"))</f>
        <v>Datarails</v>
      </c>
      <c r="D26" s="7" t="s">
        <v>198</v>
      </c>
      <c r="E26" s="4" t="s">
        <v>646</v>
      </c>
      <c r="F26" s="7" t="s">
        <v>198</v>
      </c>
      <c r="G26" s="4" t="s">
        <v>647</v>
      </c>
      <c r="H26" s="7" t="s">
        <v>32</v>
      </c>
      <c r="I26" s="7">
        <v>4</v>
      </c>
      <c r="J26" s="18" t="s">
        <v>283</v>
      </c>
      <c r="K26" s="7" t="s">
        <v>566</v>
      </c>
      <c r="L26" s="15" t="s">
        <v>648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>
      <c r="A27" s="4" t="s">
        <v>649</v>
      </c>
      <c r="B27" s="7" t="s">
        <v>489</v>
      </c>
      <c r="C27" s="7" t="str">
        <f>IF($B27="","",IFERROR(VLOOKUP($B27,'02_Конкуренты'!$A$4:$B$10,2,FALSE),"не найдено"))</f>
        <v>Datarails</v>
      </c>
      <c r="D27" s="7" t="s">
        <v>633</v>
      </c>
      <c r="E27" s="4" t="s">
        <v>650</v>
      </c>
      <c r="F27" s="7" t="s">
        <v>633</v>
      </c>
      <c r="G27" s="7" t="s">
        <v>651</v>
      </c>
      <c r="H27" s="7" t="s">
        <v>47</v>
      </c>
      <c r="I27" s="7">
        <v>5</v>
      </c>
      <c r="J27" s="18" t="s">
        <v>283</v>
      </c>
      <c r="K27" s="7" t="s">
        <v>566</v>
      </c>
      <c r="L27" s="15" t="s">
        <v>636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8.5">
      <c r="A28" s="4" t="s">
        <v>652</v>
      </c>
      <c r="B28" s="7" t="s">
        <v>334</v>
      </c>
      <c r="C28" s="7" t="str">
        <f>IF($B28="","",IFERROR(VLOOKUP($B28,'02_Конкуренты'!$A$4:$B$10,2,FALSE),"не найдено"))</f>
        <v>Arixcel</v>
      </c>
      <c r="D28" s="7" t="s">
        <v>653</v>
      </c>
      <c r="E28" s="4" t="s">
        <v>654</v>
      </c>
      <c r="F28" s="7" t="s">
        <v>653</v>
      </c>
      <c r="G28" s="4" t="s">
        <v>741</v>
      </c>
      <c r="H28" s="7" t="s">
        <v>32</v>
      </c>
      <c r="I28" s="7">
        <v>5</v>
      </c>
      <c r="J28" s="18" t="s">
        <v>283</v>
      </c>
      <c r="K28" s="7" t="s">
        <v>566</v>
      </c>
      <c r="L28" s="15" t="s">
        <v>655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8.5">
      <c r="A29" s="4" t="s">
        <v>656</v>
      </c>
      <c r="B29" s="7" t="s">
        <v>366</v>
      </c>
      <c r="C29" s="7" t="str">
        <f>IF($B29="","",IFERROR(VLOOKUP($B29,'02_Конкуренты'!$A$4:$B$10,2,FALSE),"не найдено"))</f>
        <v>Operis</v>
      </c>
      <c r="D29" s="7" t="s">
        <v>657</v>
      </c>
      <c r="E29" s="4" t="s">
        <v>658</v>
      </c>
      <c r="F29" s="7" t="s">
        <v>657</v>
      </c>
      <c r="G29" s="4" t="s">
        <v>742</v>
      </c>
      <c r="H29" s="7" t="s">
        <v>53</v>
      </c>
      <c r="I29" s="7">
        <v>5</v>
      </c>
      <c r="J29" s="18" t="s">
        <v>283</v>
      </c>
      <c r="K29" s="7" t="s">
        <v>566</v>
      </c>
      <c r="L29" s="15" t="s">
        <v>659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8.5">
      <c r="A30" s="4" t="s">
        <v>660</v>
      </c>
      <c r="B30" s="7" t="s">
        <v>409</v>
      </c>
      <c r="C30" s="7" t="str">
        <f>IF($B30="","",IFERROR(VLOOKUP($B30,'02_Конкуренты'!$A$4:$B$10,2,FALSE),"не найдено"))</f>
        <v>Shortcut</v>
      </c>
      <c r="D30" s="7" t="s">
        <v>620</v>
      </c>
      <c r="E30" s="7" t="s">
        <v>661</v>
      </c>
      <c r="F30" s="7" t="s">
        <v>620</v>
      </c>
      <c r="G30" s="4" t="s">
        <v>662</v>
      </c>
      <c r="H30" s="7" t="s">
        <v>32</v>
      </c>
      <c r="I30" s="7">
        <v>5</v>
      </c>
      <c r="J30" s="18" t="s">
        <v>283</v>
      </c>
      <c r="K30" s="7" t="s">
        <v>566</v>
      </c>
      <c r="L30" s="15" t="s">
        <v>663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8.5">
      <c r="A31" s="4" t="s">
        <v>664</v>
      </c>
      <c r="B31" s="7" t="s">
        <v>451</v>
      </c>
      <c r="C31" s="7" t="str">
        <f>IF($B31="","",IFERROR(VLOOKUP($B31,'02_Конкуренты'!$A$4:$B$10,2,FALSE),"не найдено"))</f>
        <v>Numerous.ai</v>
      </c>
      <c r="D31" s="7" t="s">
        <v>665</v>
      </c>
      <c r="E31" s="7" t="s">
        <v>666</v>
      </c>
      <c r="F31" s="7" t="s">
        <v>665</v>
      </c>
      <c r="G31" s="4" t="s">
        <v>743</v>
      </c>
      <c r="H31" s="7" t="s">
        <v>53</v>
      </c>
      <c r="I31" s="7">
        <v>5</v>
      </c>
      <c r="J31" s="18" t="s">
        <v>283</v>
      </c>
      <c r="K31" s="7" t="s">
        <v>566</v>
      </c>
      <c r="L31" s="15" t="s">
        <v>667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8.5">
      <c r="A32" s="4" t="s">
        <v>668</v>
      </c>
      <c r="B32" s="7" t="s">
        <v>451</v>
      </c>
      <c r="C32" s="7" t="str">
        <f>IF($B32="","",IFERROR(VLOOKUP($B32,'02_Конкуренты'!$A$4:$B$10,2,FALSE),"не найдено"))</f>
        <v>Numerous.ai</v>
      </c>
      <c r="D32" s="7" t="s">
        <v>669</v>
      </c>
      <c r="E32" s="7" t="s">
        <v>666</v>
      </c>
      <c r="F32" s="7" t="s">
        <v>669</v>
      </c>
      <c r="G32" s="4" t="s">
        <v>670</v>
      </c>
      <c r="H32" s="7" t="s">
        <v>32</v>
      </c>
      <c r="I32" s="7">
        <v>4</v>
      </c>
      <c r="J32" s="18" t="s">
        <v>283</v>
      </c>
      <c r="K32" s="7" t="s">
        <v>566</v>
      </c>
      <c r="L32" s="11" t="s">
        <v>671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8.5">
      <c r="A33" s="4" t="s">
        <v>672</v>
      </c>
      <c r="B33" s="7" t="s">
        <v>451</v>
      </c>
      <c r="C33" s="7" t="str">
        <f>IF($B33="","",IFERROR(VLOOKUP($B33,'02_Конкуренты'!$A$4:$B$10,2,FALSE),"не найдено"))</f>
        <v>Numerous.ai</v>
      </c>
      <c r="D33" s="7" t="s">
        <v>673</v>
      </c>
      <c r="E33" s="4" t="s">
        <v>674</v>
      </c>
      <c r="F33" s="7" t="s">
        <v>673</v>
      </c>
      <c r="G33" s="4" t="s">
        <v>675</v>
      </c>
      <c r="H33" s="7" t="s">
        <v>47</v>
      </c>
      <c r="I33" s="7">
        <v>3</v>
      </c>
      <c r="J33" s="18" t="s">
        <v>283</v>
      </c>
      <c r="K33" s="7" t="s">
        <v>566</v>
      </c>
      <c r="L33" s="15" t="s">
        <v>676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8.5">
      <c r="A34" s="4" t="s">
        <v>677</v>
      </c>
      <c r="B34" s="7" t="s">
        <v>277</v>
      </c>
      <c r="C34" s="7" t="str">
        <f>IF($B34="","",IFERROR(VLOOKUP($B34,'02_Конкуренты'!$A$4:$B$10,2,FALSE),"не найдено"))</f>
        <v>PerfectXL</v>
      </c>
      <c r="D34" s="7" t="s">
        <v>678</v>
      </c>
      <c r="E34" s="4" t="s">
        <v>679</v>
      </c>
      <c r="F34" s="7" t="s">
        <v>678</v>
      </c>
      <c r="G34" s="4" t="s">
        <v>680</v>
      </c>
      <c r="H34" s="7" t="s">
        <v>32</v>
      </c>
      <c r="I34" s="7">
        <v>5</v>
      </c>
      <c r="J34" s="18" t="s">
        <v>283</v>
      </c>
      <c r="K34" s="7" t="s">
        <v>566</v>
      </c>
      <c r="L34" s="11" t="s">
        <v>681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8.5">
      <c r="A35" s="5" t="s">
        <v>682</v>
      </c>
      <c r="B35" s="8" t="s">
        <v>277</v>
      </c>
      <c r="C35" s="8" t="str">
        <f>IF($B35="","",IFERROR(VLOOKUP($B35,'02_Конкуренты'!$A$4:$B$10,2,FALSE),"не найдено"))</f>
        <v>PerfectXL</v>
      </c>
      <c r="D35" s="8" t="s">
        <v>683</v>
      </c>
      <c r="E35" s="5" t="s">
        <v>684</v>
      </c>
      <c r="F35" s="8" t="s">
        <v>683</v>
      </c>
      <c r="G35" s="5" t="s">
        <v>685</v>
      </c>
      <c r="H35" s="8" t="s">
        <v>32</v>
      </c>
      <c r="I35" s="8">
        <v>4</v>
      </c>
      <c r="J35" s="19" t="s">
        <v>283</v>
      </c>
      <c r="K35" s="8" t="s">
        <v>566</v>
      </c>
      <c r="L35" s="9" t="s">
        <v>671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</sheetData>
  <mergeCells count="2">
    <mergeCell ref="A1:L1"/>
    <mergeCell ref="A2:L2"/>
  </mergeCells>
  <dataValidations count="2">
    <dataValidation type="list" sqref="H4:H35" xr:uid="{00000000-0002-0000-0300-000000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  <dataValidation type="list" sqref="I4:I35" xr:uid="{00000000-0002-0000-03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1"/>
  <sheetViews>
    <sheetView workbookViewId="0"/>
  </sheetViews>
  <sheetFormatPr defaultRowHeight="13.5"/>
  <cols>
    <col min="1" max="1" width="17.1875" customWidth="1"/>
    <col min="2" max="2" width="15.125" customWidth="1"/>
    <col min="3" max="14" width="52.5625" customWidth="1"/>
    <col min="15" max="15" width="19.3125" customWidth="1"/>
    <col min="16" max="16" width="27.6875" customWidth="1"/>
    <col min="17" max="17" width="22.4375" customWidth="1"/>
    <col min="18" max="26" width="10.5625" customWidth="1"/>
  </cols>
  <sheetData>
    <row r="1" spans="1:26" ht="20" customHeight="1">
      <c r="A1" s="28" t="s">
        <v>139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9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0" t="s">
        <v>759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1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130</v>
      </c>
      <c r="B3" s="3" t="s">
        <v>131</v>
      </c>
      <c r="C3" s="3" t="s">
        <v>140</v>
      </c>
      <c r="D3" s="3" t="s">
        <v>141</v>
      </c>
      <c r="E3" s="3" t="s">
        <v>142</v>
      </c>
      <c r="F3" s="3" t="s">
        <v>143</v>
      </c>
      <c r="G3" s="3" t="s">
        <v>144</v>
      </c>
      <c r="H3" s="3" t="s">
        <v>145</v>
      </c>
      <c r="I3" s="3" t="s">
        <v>146</v>
      </c>
      <c r="J3" s="3" t="s">
        <v>147</v>
      </c>
      <c r="K3" s="3" t="s">
        <v>148</v>
      </c>
      <c r="L3" s="3" t="s">
        <v>149</v>
      </c>
      <c r="M3" s="3" t="s">
        <v>150</v>
      </c>
      <c r="N3" s="3" t="s">
        <v>151</v>
      </c>
      <c r="O3" s="3" t="s">
        <v>152</v>
      </c>
      <c r="P3" s="3" t="s">
        <v>153</v>
      </c>
      <c r="Q3" s="10" t="s">
        <v>154</v>
      </c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4" t="s">
        <v>277</v>
      </c>
      <c r="B4" s="7" t="str">
        <f>IF($A4="","",IFERROR(VLOOKUP($A4,'02_Конкуренты'!$A$4:$B$10,2,FALSE),"не найдено"))</f>
        <v>PerfectXL</v>
      </c>
      <c r="C4" s="4" t="s">
        <v>286</v>
      </c>
      <c r="D4" s="4" t="s">
        <v>287</v>
      </c>
      <c r="E4" s="4" t="s">
        <v>288</v>
      </c>
      <c r="F4" s="4" t="s">
        <v>289</v>
      </c>
      <c r="G4" s="4" t="s">
        <v>290</v>
      </c>
      <c r="H4" s="4" t="s">
        <v>744</v>
      </c>
      <c r="I4" s="4" t="s">
        <v>291</v>
      </c>
      <c r="J4" s="4" t="s">
        <v>292</v>
      </c>
      <c r="K4" s="4" t="s">
        <v>293</v>
      </c>
      <c r="L4" s="4" t="s">
        <v>294</v>
      </c>
      <c r="M4" s="4" t="s">
        <v>295</v>
      </c>
      <c r="N4" s="4" t="s">
        <v>296</v>
      </c>
      <c r="O4" s="20">
        <f t="shared" ref="O4:O10" si="0">IF($A4="","",(COUNTA($C4:$N4)-COUNTIF($C4:$N4,"-"))/12)</f>
        <v>1</v>
      </c>
      <c r="P4" s="22">
        <f>IF($A4="","",IFERROR(AVERAGEIF('03_Факты_сайта'!$B$4:$B$35,$A4,'03_Факты_сайта'!$I$4:$I$35),0))</f>
        <v>4.2</v>
      </c>
      <c r="Q4" s="11" t="str">
        <f t="shared" ref="Q4:Q10" si="1">IF($A4="","",IF($O4&lt;0.5,"недостаточно данных",IF($P4&lt;3,"низкая доказательность",IF($O4&gt;=0.85,"готов к сравнению","заполнено частично"))))</f>
        <v>готов к сравнению</v>
      </c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334</v>
      </c>
      <c r="B5" s="7" t="str">
        <f>IF($A5="","",IFERROR(VLOOKUP($A5,'02_Конкуренты'!$A$4:$B$10,2,FALSE),"не найдено"))</f>
        <v>Arixcel</v>
      </c>
      <c r="C5" s="4" t="s">
        <v>339</v>
      </c>
      <c r="D5" s="4" t="s">
        <v>340</v>
      </c>
      <c r="E5" s="4" t="s">
        <v>341</v>
      </c>
      <c r="F5" s="4" t="s">
        <v>342</v>
      </c>
      <c r="G5" s="4" t="s">
        <v>343</v>
      </c>
      <c r="H5" s="4" t="s">
        <v>745</v>
      </c>
      <c r="I5" s="7" t="s">
        <v>344</v>
      </c>
      <c r="J5" s="7" t="s">
        <v>345</v>
      </c>
      <c r="K5" s="7" t="s">
        <v>283</v>
      </c>
      <c r="L5" s="7" t="s">
        <v>346</v>
      </c>
      <c r="M5" s="7" t="s">
        <v>283</v>
      </c>
      <c r="N5" s="4" t="s">
        <v>347</v>
      </c>
      <c r="O5" s="20">
        <f t="shared" si="0"/>
        <v>0.83333333333333337</v>
      </c>
      <c r="P5" s="22">
        <f>IF($A5="","",IFERROR(AVERAGEIF('03_Факты_сайта'!$B$4:$B$35,$A5,'03_Факты_сайта'!$I$4:$I$35),0))</f>
        <v>4</v>
      </c>
      <c r="Q5" s="11" t="str">
        <f t="shared" si="1"/>
        <v>заполнено частично</v>
      </c>
      <c r="R5" s="2"/>
      <c r="S5" s="2"/>
      <c r="T5" s="2"/>
      <c r="U5" s="2"/>
      <c r="V5" s="2"/>
      <c r="W5" s="2"/>
      <c r="X5" s="2"/>
      <c r="Y5" s="2"/>
      <c r="Z5" s="2"/>
    </row>
    <row r="6" spans="1:26" ht="28.5">
      <c r="A6" s="4" t="s">
        <v>366</v>
      </c>
      <c r="B6" s="7" t="str">
        <f>IF($A6="","",IFERROR(VLOOKUP($A6,'02_Конкуренты'!$A$4:$B$10,2,FALSE),"не найдено"))</f>
        <v>Operis</v>
      </c>
      <c r="C6" s="4" t="s">
        <v>371</v>
      </c>
      <c r="D6" s="4" t="s">
        <v>372</v>
      </c>
      <c r="E6" s="4" t="s">
        <v>373</v>
      </c>
      <c r="F6" s="4" t="s">
        <v>374</v>
      </c>
      <c r="G6" s="4" t="s">
        <v>375</v>
      </c>
      <c r="H6" s="4" t="s">
        <v>376</v>
      </c>
      <c r="I6" s="4" t="s">
        <v>377</v>
      </c>
      <c r="J6" s="4" t="s">
        <v>378</v>
      </c>
      <c r="K6" s="4" t="s">
        <v>379</v>
      </c>
      <c r="L6" s="7" t="s">
        <v>380</v>
      </c>
      <c r="M6" s="4" t="s">
        <v>381</v>
      </c>
      <c r="N6" s="4" t="s">
        <v>382</v>
      </c>
      <c r="O6" s="20">
        <f t="shared" si="0"/>
        <v>1</v>
      </c>
      <c r="P6" s="22">
        <f>IF($A6="","",IFERROR(AVERAGEIF('03_Факты_сайта'!$B$4:$B$35,$A6,'03_Факты_сайта'!$I$4:$I$35),0))</f>
        <v>4</v>
      </c>
      <c r="Q6" s="11" t="str">
        <f t="shared" si="1"/>
        <v>готов к сравнению</v>
      </c>
      <c r="R6" s="2"/>
      <c r="S6" s="2"/>
      <c r="T6" s="2"/>
      <c r="U6" s="2"/>
      <c r="V6" s="2"/>
      <c r="W6" s="2"/>
      <c r="X6" s="2"/>
      <c r="Y6" s="2"/>
      <c r="Z6" s="2"/>
    </row>
    <row r="7" spans="1:26" ht="28.5">
      <c r="A7" s="4" t="s">
        <v>409</v>
      </c>
      <c r="B7" s="7" t="str">
        <f>IF($A7="","",IFERROR(VLOOKUP($A7,'02_Конкуренты'!$A$4:$B$10,2,FALSE),"не найдено"))</f>
        <v>Shortcut</v>
      </c>
      <c r="C7" s="4" t="s">
        <v>412</v>
      </c>
      <c r="D7" s="4" t="s">
        <v>415</v>
      </c>
      <c r="E7" s="4" t="s">
        <v>416</v>
      </c>
      <c r="F7" s="4" t="s">
        <v>417</v>
      </c>
      <c r="G7" s="4" t="s">
        <v>418</v>
      </c>
      <c r="H7" s="4" t="s">
        <v>746</v>
      </c>
      <c r="I7" s="4" t="s">
        <v>419</v>
      </c>
      <c r="J7" s="4" t="s">
        <v>420</v>
      </c>
      <c r="K7" s="4" t="s">
        <v>421</v>
      </c>
      <c r="L7" s="4" t="s">
        <v>422</v>
      </c>
      <c r="M7" s="4" t="s">
        <v>423</v>
      </c>
      <c r="N7" s="4" t="s">
        <v>424</v>
      </c>
      <c r="O7" s="20">
        <f t="shared" si="0"/>
        <v>1</v>
      </c>
      <c r="P7" s="22">
        <f>IF($A7="","",IFERROR(AVERAGEIF('03_Факты_сайта'!$B$4:$B$35,$A7,'03_Факты_сайта'!$I$4:$I$35),0))</f>
        <v>4.5</v>
      </c>
      <c r="Q7" s="11" t="str">
        <f t="shared" si="1"/>
        <v>готов к сравнению</v>
      </c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451</v>
      </c>
      <c r="B8" s="7" t="str">
        <f>IF($A8="","",IFERROR(VLOOKUP($A8,'02_Конкуренты'!$A$4:$B$10,2,FALSE),"не найдено"))</f>
        <v>Numerous.ai</v>
      </c>
      <c r="C8" s="4" t="s">
        <v>454</v>
      </c>
      <c r="D8" s="4" t="s">
        <v>455</v>
      </c>
      <c r="E8" s="4" t="s">
        <v>456</v>
      </c>
      <c r="F8" s="4" t="s">
        <v>457</v>
      </c>
      <c r="G8" s="4" t="s">
        <v>458</v>
      </c>
      <c r="H8" s="4" t="s">
        <v>747</v>
      </c>
      <c r="I8" s="4" t="s">
        <v>459</v>
      </c>
      <c r="J8" s="4" t="s">
        <v>460</v>
      </c>
      <c r="K8" s="7" t="s">
        <v>461</v>
      </c>
      <c r="L8" s="7" t="s">
        <v>462</v>
      </c>
      <c r="M8" s="4" t="s">
        <v>463</v>
      </c>
      <c r="N8" s="4" t="s">
        <v>464</v>
      </c>
      <c r="O8" s="20">
        <f t="shared" si="0"/>
        <v>1</v>
      </c>
      <c r="P8" s="22">
        <f>IF($A8="","",IFERROR(AVERAGEIF('03_Факты_сайта'!$B$4:$B$35,$A8,'03_Факты_сайта'!$I$4:$I$35),0))</f>
        <v>4.2</v>
      </c>
      <c r="Q8" s="11" t="str">
        <f t="shared" si="1"/>
        <v>готов к сравнению</v>
      </c>
      <c r="R8" s="2"/>
      <c r="S8" s="2"/>
      <c r="T8" s="2"/>
      <c r="U8" s="2"/>
      <c r="V8" s="2"/>
      <c r="W8" s="2"/>
      <c r="X8" s="2"/>
      <c r="Y8" s="2"/>
      <c r="Z8" s="2"/>
    </row>
    <row r="9" spans="1:26" ht="28.5">
      <c r="A9" s="4" t="s">
        <v>489</v>
      </c>
      <c r="B9" s="7" t="str">
        <f>IF($A9="","",IFERROR(VLOOKUP($A9,'02_Конкуренты'!$A$4:$B$10,2,FALSE),"не найдено"))</f>
        <v>Datarails</v>
      </c>
      <c r="C9" s="4" t="s">
        <v>494</v>
      </c>
      <c r="D9" s="4" t="s">
        <v>495</v>
      </c>
      <c r="E9" s="4" t="s">
        <v>748</v>
      </c>
      <c r="F9" s="4" t="s">
        <v>496</v>
      </c>
      <c r="G9" s="4" t="s">
        <v>497</v>
      </c>
      <c r="H9" s="4" t="s">
        <v>498</v>
      </c>
      <c r="I9" s="4" t="s">
        <v>499</v>
      </c>
      <c r="J9" s="4" t="s">
        <v>500</v>
      </c>
      <c r="K9" s="4" t="s">
        <v>501</v>
      </c>
      <c r="L9" s="4" t="s">
        <v>502</v>
      </c>
      <c r="M9" s="4" t="s">
        <v>503</v>
      </c>
      <c r="N9" s="4" t="s">
        <v>504</v>
      </c>
      <c r="O9" s="20">
        <f t="shared" si="0"/>
        <v>1</v>
      </c>
      <c r="P9" s="22">
        <f>IF($A9="","",IFERROR(AVERAGEIF('03_Факты_сайта'!$B$4:$B$35,$A9,'03_Факты_сайта'!$I$4:$I$35),0))</f>
        <v>4.5</v>
      </c>
      <c r="Q9" s="11" t="str">
        <f t="shared" si="1"/>
        <v>готов к сравнению</v>
      </c>
      <c r="R9" s="2"/>
      <c r="S9" s="2"/>
      <c r="T9" s="2"/>
      <c r="U9" s="2"/>
      <c r="V9" s="2"/>
      <c r="W9" s="2"/>
      <c r="X9" s="2"/>
      <c r="Y9" s="2"/>
      <c r="Z9" s="2"/>
    </row>
    <row r="10" spans="1:26" ht="28.5">
      <c r="A10" s="4" t="s">
        <v>529</v>
      </c>
      <c r="B10" s="7" t="str">
        <f>IF($A10="","",IFERROR(VLOOKUP($A10,'02_Конкуренты'!$A$4:$B$10,2,FALSE),"не найдено"))</f>
        <v>DataSnipper</v>
      </c>
      <c r="C10" s="4" t="s">
        <v>533</v>
      </c>
      <c r="D10" s="4" t="s">
        <v>534</v>
      </c>
      <c r="E10" s="4" t="s">
        <v>535</v>
      </c>
      <c r="F10" s="4" t="s">
        <v>536</v>
      </c>
      <c r="G10" s="4" t="s">
        <v>537</v>
      </c>
      <c r="H10" s="4" t="s">
        <v>538</v>
      </c>
      <c r="I10" s="4" t="s">
        <v>539</v>
      </c>
      <c r="J10" s="4" t="s">
        <v>540</v>
      </c>
      <c r="K10" s="4" t="s">
        <v>541</v>
      </c>
      <c r="L10" s="4" t="s">
        <v>542</v>
      </c>
      <c r="M10" s="4" t="s">
        <v>543</v>
      </c>
      <c r="N10" s="4" t="s">
        <v>544</v>
      </c>
      <c r="O10" s="20">
        <f t="shared" si="0"/>
        <v>1</v>
      </c>
      <c r="P10" s="22">
        <f>IF($A10="","",IFERROR(AVERAGEIF('03_Факты_сайта'!$B$4:$B$35,$A10,'03_Факты_сайта'!$I$4:$I$35),0))</f>
        <v>4.166666666666667</v>
      </c>
      <c r="Q10" s="11" t="str">
        <f t="shared" si="1"/>
        <v>готов к сравнению</v>
      </c>
      <c r="R10" s="2"/>
      <c r="S10" s="2"/>
      <c r="T10" s="2"/>
      <c r="U10" s="2"/>
      <c r="V10" s="2"/>
      <c r="W10" s="2"/>
      <c r="X10" s="2"/>
      <c r="Y10" s="2"/>
      <c r="Z10" s="2"/>
    </row>
    <row r="11" spans="1:26" ht="20" customHeight="1">
      <c r="A11" s="32" t="s">
        <v>761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3"/>
      <c r="R11" s="2"/>
      <c r="S11" s="2"/>
      <c r="T11" s="2"/>
      <c r="U11" s="2"/>
      <c r="V11" s="2"/>
      <c r="W11" s="2"/>
      <c r="X11" s="2"/>
      <c r="Y11" s="2"/>
      <c r="Z11" s="2"/>
    </row>
  </sheetData>
  <mergeCells count="3">
    <mergeCell ref="A1:Q1"/>
    <mergeCell ref="A2:Q2"/>
    <mergeCell ref="A11:Q1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"/>
  <sheetViews>
    <sheetView workbookViewId="0"/>
  </sheetViews>
  <sheetFormatPr defaultRowHeight="13.5"/>
  <cols>
    <col min="1" max="1" width="17.1875" customWidth="1"/>
    <col min="2" max="2" width="15.125" customWidth="1"/>
    <col min="3" max="3" width="52.5625" customWidth="1"/>
    <col min="4" max="4" width="35.0625" customWidth="1"/>
    <col min="5" max="5" width="21.4375" customWidth="1"/>
    <col min="6" max="6" width="38.1875" customWidth="1"/>
    <col min="7" max="7" width="43.4375" customWidth="1"/>
    <col min="8" max="8" width="25.625" customWidth="1"/>
    <col min="9" max="9" width="28.75" customWidth="1"/>
    <col min="10" max="10" width="35.0625" customWidth="1"/>
    <col min="11" max="11" width="52.5625" customWidth="1"/>
    <col min="12" max="12" width="32.9375" customWidth="1"/>
    <col min="13" max="13" width="41.375" customWidth="1"/>
    <col min="14" max="26" width="10.5625" customWidth="1"/>
  </cols>
  <sheetData>
    <row r="1" spans="1:26" ht="20" customHeight="1">
      <c r="A1" s="28" t="s">
        <v>155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9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0" t="s">
        <v>156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1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130</v>
      </c>
      <c r="B3" s="3" t="s">
        <v>131</v>
      </c>
      <c r="C3" s="3" t="s">
        <v>157</v>
      </c>
      <c r="D3" s="3" t="s">
        <v>158</v>
      </c>
      <c r="E3" s="3" t="s">
        <v>159</v>
      </c>
      <c r="F3" s="3" t="s">
        <v>160</v>
      </c>
      <c r="G3" s="3" t="s">
        <v>161</v>
      </c>
      <c r="H3" s="3" t="s">
        <v>162</v>
      </c>
      <c r="I3" s="3" t="s">
        <v>163</v>
      </c>
      <c r="J3" s="3" t="s">
        <v>164</v>
      </c>
      <c r="K3" s="3" t="s">
        <v>165</v>
      </c>
      <c r="L3" s="3" t="s">
        <v>166</v>
      </c>
      <c r="M3" s="10" t="s">
        <v>167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4" t="s">
        <v>277</v>
      </c>
      <c r="B4" s="7" t="str">
        <f>IF($A4="","",IFERROR(VLOOKUP($A4,'02_Конкуренты'!$A$4:$B$10,2,FALSE),"не найдено"))</f>
        <v>PerfectXL</v>
      </c>
      <c r="C4" s="4" t="s">
        <v>749</v>
      </c>
      <c r="D4" s="4" t="s">
        <v>297</v>
      </c>
      <c r="E4" s="7" t="s">
        <v>298</v>
      </c>
      <c r="F4" s="4" t="s">
        <v>299</v>
      </c>
      <c r="G4" s="4" t="s">
        <v>300</v>
      </c>
      <c r="H4" s="7" t="s">
        <v>301</v>
      </c>
      <c r="I4" s="7" t="s">
        <v>302</v>
      </c>
      <c r="J4" s="4" t="s">
        <v>303</v>
      </c>
      <c r="K4" s="4" t="s">
        <v>287</v>
      </c>
      <c r="L4" s="7" t="s">
        <v>279</v>
      </c>
      <c r="M4" s="11" t="s">
        <v>304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8.5">
      <c r="A5" s="4" t="s">
        <v>334</v>
      </c>
      <c r="B5" s="7" t="str">
        <f>IF($A5="","",IFERROR(VLOOKUP($A5,'02_Конкуренты'!$A$4:$B$10,2,FALSE),"не найдено"))</f>
        <v>Arixcel</v>
      </c>
      <c r="C5" s="4" t="s">
        <v>750</v>
      </c>
      <c r="D5" s="4" t="s">
        <v>297</v>
      </c>
      <c r="E5" s="7" t="s">
        <v>298</v>
      </c>
      <c r="F5" s="4" t="s">
        <v>299</v>
      </c>
      <c r="G5" s="4" t="s">
        <v>300</v>
      </c>
      <c r="H5" s="7" t="s">
        <v>301</v>
      </c>
      <c r="I5" s="7" t="s">
        <v>302</v>
      </c>
      <c r="J5" s="4" t="s">
        <v>303</v>
      </c>
      <c r="K5" s="4" t="s">
        <v>340</v>
      </c>
      <c r="L5" s="7" t="s">
        <v>336</v>
      </c>
      <c r="M5" s="11" t="s">
        <v>304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8.5">
      <c r="A6" s="4" t="s">
        <v>366</v>
      </c>
      <c r="B6" s="7" t="str">
        <f>IF($A6="","",IFERROR(VLOOKUP($A6,'02_Конкуренты'!$A$4:$B$10,2,FALSE),"не найдено"))</f>
        <v>Operis</v>
      </c>
      <c r="C6" s="4" t="s">
        <v>383</v>
      </c>
      <c r="D6" s="4" t="s">
        <v>297</v>
      </c>
      <c r="E6" s="7" t="s">
        <v>298</v>
      </c>
      <c r="F6" s="4" t="s">
        <v>299</v>
      </c>
      <c r="G6" s="4" t="s">
        <v>300</v>
      </c>
      <c r="H6" s="7" t="s">
        <v>301</v>
      </c>
      <c r="I6" s="7" t="s">
        <v>302</v>
      </c>
      <c r="J6" s="4" t="s">
        <v>303</v>
      </c>
      <c r="K6" s="4" t="s">
        <v>372</v>
      </c>
      <c r="L6" s="7" t="s">
        <v>368</v>
      </c>
      <c r="M6" s="15" t="s">
        <v>384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409</v>
      </c>
      <c r="B7" s="7" t="str">
        <f>IF($A7="","",IFERROR(VLOOKUP($A7,'02_Конкуренты'!$A$4:$B$10,2,FALSE),"не найдено"))</f>
        <v>Shortcut</v>
      </c>
      <c r="C7" s="4" t="s">
        <v>425</v>
      </c>
      <c r="D7" s="4" t="s">
        <v>297</v>
      </c>
      <c r="E7" s="7" t="s">
        <v>298</v>
      </c>
      <c r="F7" s="4" t="s">
        <v>299</v>
      </c>
      <c r="G7" s="4" t="s">
        <v>300</v>
      </c>
      <c r="H7" s="7" t="s">
        <v>301</v>
      </c>
      <c r="I7" s="7" t="s">
        <v>302</v>
      </c>
      <c r="J7" s="4" t="s">
        <v>303</v>
      </c>
      <c r="K7" s="4" t="s">
        <v>415</v>
      </c>
      <c r="L7" s="7" t="s">
        <v>411</v>
      </c>
      <c r="M7" s="15" t="s">
        <v>384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451</v>
      </c>
      <c r="B8" s="7" t="str">
        <f>IF($A8="","",IFERROR(VLOOKUP($A8,'02_Конкуренты'!$A$4:$B$10,2,FALSE),"не найдено"))</f>
        <v>Numerous.ai</v>
      </c>
      <c r="C8" s="4" t="s">
        <v>465</v>
      </c>
      <c r="D8" s="4" t="s">
        <v>297</v>
      </c>
      <c r="E8" s="7" t="s">
        <v>298</v>
      </c>
      <c r="F8" s="4" t="s">
        <v>299</v>
      </c>
      <c r="G8" s="4" t="s">
        <v>300</v>
      </c>
      <c r="H8" s="7" t="s">
        <v>301</v>
      </c>
      <c r="I8" s="7" t="s">
        <v>302</v>
      </c>
      <c r="J8" s="4" t="s">
        <v>303</v>
      </c>
      <c r="K8" s="4" t="s">
        <v>455</v>
      </c>
      <c r="L8" s="7" t="s">
        <v>453</v>
      </c>
      <c r="M8" s="11" t="s">
        <v>304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8.5">
      <c r="A9" s="4" t="s">
        <v>489</v>
      </c>
      <c r="B9" s="7" t="str">
        <f>IF($A9="","",IFERROR(VLOOKUP($A9,'02_Конкуренты'!$A$4:$B$10,2,FALSE),"не найдено"))</f>
        <v>Datarails</v>
      </c>
      <c r="C9" s="4" t="s">
        <v>751</v>
      </c>
      <c r="D9" s="4" t="s">
        <v>297</v>
      </c>
      <c r="E9" s="7" t="s">
        <v>298</v>
      </c>
      <c r="F9" s="4" t="s">
        <v>299</v>
      </c>
      <c r="G9" s="4" t="s">
        <v>300</v>
      </c>
      <c r="H9" s="7" t="s">
        <v>301</v>
      </c>
      <c r="I9" s="7" t="s">
        <v>302</v>
      </c>
      <c r="J9" s="4" t="s">
        <v>303</v>
      </c>
      <c r="K9" s="4" t="s">
        <v>495</v>
      </c>
      <c r="L9" s="7" t="s">
        <v>491</v>
      </c>
      <c r="M9" s="15" t="s">
        <v>384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8.5">
      <c r="A10" s="5" t="s">
        <v>529</v>
      </c>
      <c r="B10" s="8" t="str">
        <f>IF($A10="","",IFERROR(VLOOKUP($A10,'02_Конкуренты'!$A$4:$B$10,2,FALSE),"не найдено"))</f>
        <v>DataSnipper</v>
      </c>
      <c r="C10" s="5" t="s">
        <v>545</v>
      </c>
      <c r="D10" s="5" t="s">
        <v>297</v>
      </c>
      <c r="E10" s="8" t="s">
        <v>298</v>
      </c>
      <c r="F10" s="5" t="s">
        <v>299</v>
      </c>
      <c r="G10" s="5" t="s">
        <v>300</v>
      </c>
      <c r="H10" s="8" t="s">
        <v>301</v>
      </c>
      <c r="I10" s="8" t="s">
        <v>302</v>
      </c>
      <c r="J10" s="5" t="s">
        <v>303</v>
      </c>
      <c r="K10" s="5" t="s">
        <v>534</v>
      </c>
      <c r="L10" s="8" t="s">
        <v>531</v>
      </c>
      <c r="M10" s="6" t="s">
        <v>384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</sheetData>
  <mergeCells count="2">
    <mergeCell ref="A1:M1"/>
    <mergeCell ref="A2:M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"/>
  <sheetViews>
    <sheetView workbookViewId="0"/>
  </sheetViews>
  <sheetFormatPr defaultRowHeight="13.5"/>
  <cols>
    <col min="1" max="1" width="17.1875" customWidth="1"/>
    <col min="2" max="2" width="15.125" customWidth="1"/>
    <col min="3" max="3" width="26.6875" customWidth="1"/>
    <col min="4" max="4" width="36.125" customWidth="1"/>
    <col min="5" max="5" width="30.875" customWidth="1"/>
    <col min="6" max="6" width="36.125" customWidth="1"/>
    <col min="7" max="7" width="52.5625" customWidth="1"/>
    <col min="8" max="8" width="31.9375" customWidth="1"/>
    <col min="9" max="9" width="38.1875" customWidth="1"/>
    <col min="10" max="10" width="29.8125" customWidth="1"/>
    <col min="11" max="11" width="34" customWidth="1"/>
    <col min="12" max="12" width="25.625" customWidth="1"/>
    <col min="13" max="13" width="23.5" customWidth="1"/>
    <col min="14" max="14" width="52.5625" customWidth="1"/>
    <col min="15" max="26" width="10.5625" customWidth="1"/>
  </cols>
  <sheetData>
    <row r="1" spans="1:26" ht="20" customHeight="1">
      <c r="A1" s="28" t="s">
        <v>168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9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0" t="s">
        <v>752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1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130</v>
      </c>
      <c r="B3" s="3" t="s">
        <v>131</v>
      </c>
      <c r="C3" s="3" t="s">
        <v>7</v>
      </c>
      <c r="D3" s="3" t="s">
        <v>169</v>
      </c>
      <c r="E3" s="3" t="s">
        <v>170</v>
      </c>
      <c r="F3" s="3" t="s">
        <v>171</v>
      </c>
      <c r="G3" s="3" t="s">
        <v>172</v>
      </c>
      <c r="H3" s="3" t="s">
        <v>173</v>
      </c>
      <c r="I3" s="3" t="s">
        <v>174</v>
      </c>
      <c r="J3" s="3" t="s">
        <v>175</v>
      </c>
      <c r="K3" s="3" t="s">
        <v>176</v>
      </c>
      <c r="L3" s="3" t="s">
        <v>177</v>
      </c>
      <c r="M3" s="3" t="s">
        <v>178</v>
      </c>
      <c r="N3" s="10" t="s">
        <v>179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4" t="s">
        <v>277</v>
      </c>
      <c r="B4" s="7" t="str">
        <f>IF($A4="","",IFERROR(VLOOKUP($A4,'02_Конкуренты'!$A$4:$B$10,2,FALSE),"не найдено"))</f>
        <v>PerfectXL</v>
      </c>
      <c r="C4" s="7" t="s">
        <v>305</v>
      </c>
      <c r="D4" s="7" t="s">
        <v>306</v>
      </c>
      <c r="E4" s="7" t="s">
        <v>307</v>
      </c>
      <c r="F4" s="4" t="s">
        <v>308</v>
      </c>
      <c r="G4" s="4" t="s">
        <v>309</v>
      </c>
      <c r="H4" s="7" t="s">
        <v>310</v>
      </c>
      <c r="I4" s="7" t="s">
        <v>311</v>
      </c>
      <c r="J4" s="7" t="s">
        <v>312</v>
      </c>
      <c r="K4" s="7" t="s">
        <v>313</v>
      </c>
      <c r="L4" s="7">
        <v>3</v>
      </c>
      <c r="M4" s="7">
        <v>3</v>
      </c>
      <c r="N4" s="15" t="s">
        <v>314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8.5">
      <c r="A5" s="4" t="s">
        <v>334</v>
      </c>
      <c r="B5" s="7" t="str">
        <f>IF($A5="","",IFERROR(VLOOKUP($A5,'02_Конкуренты'!$A$4:$B$10,2,FALSE),"не найдено"))</f>
        <v>Arixcel</v>
      </c>
      <c r="C5" s="7" t="s">
        <v>54</v>
      </c>
      <c r="D5" s="4" t="s">
        <v>348</v>
      </c>
      <c r="E5" s="7" t="s">
        <v>307</v>
      </c>
      <c r="F5" s="7" t="s">
        <v>349</v>
      </c>
      <c r="G5" s="7" t="s">
        <v>350</v>
      </c>
      <c r="H5" s="7" t="s">
        <v>351</v>
      </c>
      <c r="I5" s="7" t="s">
        <v>352</v>
      </c>
      <c r="J5" s="7" t="s">
        <v>353</v>
      </c>
      <c r="K5" s="7" t="s">
        <v>354</v>
      </c>
      <c r="L5" s="7">
        <v>3</v>
      </c>
      <c r="M5" s="7">
        <v>2</v>
      </c>
      <c r="N5" s="15" t="s">
        <v>753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8.5">
      <c r="A6" s="4" t="s">
        <v>366</v>
      </c>
      <c r="B6" s="7" t="str">
        <f>IF($A6="","",IFERROR(VLOOKUP($A6,'02_Конкуренты'!$A$4:$B$10,2,FALSE),"не найдено"))</f>
        <v>Operis</v>
      </c>
      <c r="C6" s="7" t="s">
        <v>385</v>
      </c>
      <c r="D6" s="4" t="s">
        <v>386</v>
      </c>
      <c r="E6" s="7" t="s">
        <v>307</v>
      </c>
      <c r="F6" s="7" t="s">
        <v>387</v>
      </c>
      <c r="G6" s="7" t="s">
        <v>388</v>
      </c>
      <c r="H6" s="7" t="s">
        <v>389</v>
      </c>
      <c r="I6" s="7" t="s">
        <v>390</v>
      </c>
      <c r="J6" s="7" t="s">
        <v>391</v>
      </c>
      <c r="K6" s="7" t="s">
        <v>313</v>
      </c>
      <c r="L6" s="7">
        <v>3</v>
      </c>
      <c r="M6" s="7">
        <v>2</v>
      </c>
      <c r="N6" s="15" t="s">
        <v>754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409</v>
      </c>
      <c r="B7" s="7" t="str">
        <f>IF($A7="","",IFERROR(VLOOKUP($A7,'02_Конкуренты'!$A$4:$B$10,2,FALSE),"не найдено"))</f>
        <v>Shortcut</v>
      </c>
      <c r="C7" s="7" t="s">
        <v>426</v>
      </c>
      <c r="D7" s="7" t="s">
        <v>427</v>
      </c>
      <c r="E7" s="7" t="s">
        <v>428</v>
      </c>
      <c r="F7" s="7" t="s">
        <v>429</v>
      </c>
      <c r="G7" s="7" t="s">
        <v>430</v>
      </c>
      <c r="H7" s="7" t="s">
        <v>431</v>
      </c>
      <c r="I7" s="7" t="s">
        <v>432</v>
      </c>
      <c r="J7" s="7" t="s">
        <v>433</v>
      </c>
      <c r="K7" s="7" t="s">
        <v>313</v>
      </c>
      <c r="L7" s="7">
        <v>5</v>
      </c>
      <c r="M7" s="7">
        <v>4</v>
      </c>
      <c r="N7" s="15" t="s">
        <v>434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451</v>
      </c>
      <c r="B8" s="7" t="str">
        <f>IF($A8="","",IFERROR(VLOOKUP($A8,'02_Конкуренты'!$A$4:$B$10,2,FALSE),"не найдено"))</f>
        <v>Numerous.ai</v>
      </c>
      <c r="C8" s="7" t="s">
        <v>16</v>
      </c>
      <c r="D8" s="7" t="s">
        <v>466</v>
      </c>
      <c r="E8" s="7" t="s">
        <v>307</v>
      </c>
      <c r="F8" s="7" t="s">
        <v>755</v>
      </c>
      <c r="G8" s="7" t="s">
        <v>467</v>
      </c>
      <c r="H8" s="7" t="s">
        <v>468</v>
      </c>
      <c r="I8" s="4" t="s">
        <v>469</v>
      </c>
      <c r="J8" s="7" t="s">
        <v>391</v>
      </c>
      <c r="K8" s="7" t="s">
        <v>470</v>
      </c>
      <c r="L8" s="7">
        <v>5</v>
      </c>
      <c r="M8" s="7">
        <v>2</v>
      </c>
      <c r="N8" s="15" t="s">
        <v>471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4" t="s">
        <v>489</v>
      </c>
      <c r="B9" s="7" t="str">
        <f>IF($A9="","",IFERROR(VLOOKUP($A9,'02_Конкуренты'!$A$4:$B$10,2,FALSE),"не найдено"))</f>
        <v>Datarails</v>
      </c>
      <c r="C9" s="7" t="s">
        <v>505</v>
      </c>
      <c r="D9" s="7" t="s">
        <v>506</v>
      </c>
      <c r="E9" s="7" t="s">
        <v>307</v>
      </c>
      <c r="F9" s="7" t="s">
        <v>507</v>
      </c>
      <c r="G9" s="7" t="s">
        <v>508</v>
      </c>
      <c r="H9" s="7" t="s">
        <v>509</v>
      </c>
      <c r="I9" s="7" t="s">
        <v>510</v>
      </c>
      <c r="J9" s="7" t="s">
        <v>391</v>
      </c>
      <c r="K9" s="7" t="s">
        <v>313</v>
      </c>
      <c r="L9" s="7">
        <v>1</v>
      </c>
      <c r="M9" s="7">
        <v>3</v>
      </c>
      <c r="N9" s="15" t="s">
        <v>511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5" t="s">
        <v>529</v>
      </c>
      <c r="B10" s="8" t="str">
        <f>IF($A10="","",IFERROR(VLOOKUP($A10,'02_Конкуренты'!$A$4:$B$10,2,FALSE),"не найдено"))</f>
        <v>DataSnipper</v>
      </c>
      <c r="C10" s="8" t="s">
        <v>546</v>
      </c>
      <c r="D10" s="8" t="s">
        <v>283</v>
      </c>
      <c r="E10" s="8" t="s">
        <v>307</v>
      </c>
      <c r="F10" s="8" t="s">
        <v>507</v>
      </c>
      <c r="G10" s="8" t="s">
        <v>510</v>
      </c>
      <c r="H10" s="8" t="s">
        <v>54</v>
      </c>
      <c r="I10" s="8" t="s">
        <v>283</v>
      </c>
      <c r="J10" s="8" t="s">
        <v>391</v>
      </c>
      <c r="K10" s="8" t="s">
        <v>313</v>
      </c>
      <c r="L10" s="8">
        <v>1</v>
      </c>
      <c r="M10" s="8">
        <v>2</v>
      </c>
      <c r="N10" s="6" t="s">
        <v>547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</sheetData>
  <mergeCells count="2">
    <mergeCell ref="A1:N1"/>
    <mergeCell ref="A2:N2"/>
  </mergeCells>
  <dataValidations count="2">
    <dataValidation type="list" sqref="C4:C10" xr:uid="{00000000-0002-0000-0600-000000000000}">
      <formula1>"подписка,разовая покупка,комиссия,транзакционная оплата,условно-бесплатная модель,лицензия,реклама,оплата за использование,пакетная продажа,смешанная"</formula1>
    </dataValidation>
    <dataValidation type="list" sqref="L4:M10" xr:uid="{00000000-0002-0000-06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"/>
  <sheetViews>
    <sheetView workbookViewId="0"/>
  </sheetViews>
  <sheetFormatPr defaultRowHeight="13.5"/>
  <cols>
    <col min="1" max="1" width="17.1875" customWidth="1"/>
    <col min="2" max="2" width="15.125" customWidth="1"/>
    <col min="3" max="3" width="45.5625" customWidth="1"/>
    <col min="4" max="4" width="29.8125" customWidth="1"/>
    <col min="5" max="5" width="42.4375" customWidth="1"/>
    <col min="6" max="6" width="40.3125" customWidth="1"/>
    <col min="7" max="7" width="29.8125" customWidth="1"/>
    <col min="8" max="8" width="27.6875" customWidth="1"/>
    <col min="9" max="9" width="22.4375" customWidth="1"/>
    <col min="10" max="10" width="31.9375" customWidth="1"/>
    <col min="11" max="11" width="52.5625" customWidth="1"/>
    <col min="12" max="12" width="30.875" customWidth="1"/>
    <col min="13" max="13" width="20.375" customWidth="1"/>
    <col min="14" max="14" width="52.5625" customWidth="1"/>
    <col min="15" max="26" width="10.5625" customWidth="1"/>
  </cols>
  <sheetData>
    <row r="1" spans="1:26" ht="20" customHeight="1">
      <c r="A1" s="28" t="s">
        <v>180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9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0" t="s">
        <v>181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1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130</v>
      </c>
      <c r="B3" s="3" t="s">
        <v>131</v>
      </c>
      <c r="C3" s="3" t="s">
        <v>182</v>
      </c>
      <c r="D3" s="3" t="s">
        <v>183</v>
      </c>
      <c r="E3" s="3" t="s">
        <v>184</v>
      </c>
      <c r="F3" s="3" t="s">
        <v>185</v>
      </c>
      <c r="G3" s="3" t="s">
        <v>186</v>
      </c>
      <c r="H3" s="3" t="s">
        <v>8</v>
      </c>
      <c r="I3" s="3" t="s">
        <v>187</v>
      </c>
      <c r="J3" s="3" t="s">
        <v>188</v>
      </c>
      <c r="K3" s="3" t="s">
        <v>189</v>
      </c>
      <c r="L3" s="3" t="s">
        <v>190</v>
      </c>
      <c r="M3" s="3" t="s">
        <v>191</v>
      </c>
      <c r="N3" s="10" t="s">
        <v>192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4" t="s">
        <v>277</v>
      </c>
      <c r="B4" s="7" t="str">
        <f>IF($A4="","",IFERROR(VLOOKUP($A4,'02_Конкуренты'!$A$4:$B$10,2,FALSE),"не найдено"))</f>
        <v>PerfectXL</v>
      </c>
      <c r="C4" s="7" t="s">
        <v>315</v>
      </c>
      <c r="D4" s="7" t="s">
        <v>316</v>
      </c>
      <c r="E4" s="7" t="s">
        <v>317</v>
      </c>
      <c r="F4" s="4" t="s">
        <v>318</v>
      </c>
      <c r="G4" s="7" t="s">
        <v>319</v>
      </c>
      <c r="H4" s="7" t="s">
        <v>69</v>
      </c>
      <c r="I4" s="7" t="s">
        <v>320</v>
      </c>
      <c r="J4" s="7" t="s">
        <v>321</v>
      </c>
      <c r="K4" s="4" t="s">
        <v>322</v>
      </c>
      <c r="L4" s="7">
        <v>3</v>
      </c>
      <c r="M4" s="7">
        <v>3</v>
      </c>
      <c r="N4" s="15" t="s">
        <v>323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334</v>
      </c>
      <c r="B5" s="7" t="str">
        <f>IF($A5="","",IFERROR(VLOOKUP($A5,'02_Конкуренты'!$A$4:$B$10,2,FALSE),"не найдено"))</f>
        <v>Arixcel</v>
      </c>
      <c r="C5" s="7" t="s">
        <v>355</v>
      </c>
      <c r="D5" s="7" t="s">
        <v>356</v>
      </c>
      <c r="E5" s="7" t="s">
        <v>357</v>
      </c>
      <c r="F5" s="7" t="s">
        <v>358</v>
      </c>
      <c r="G5" s="7" t="s">
        <v>359</v>
      </c>
      <c r="H5" s="7" t="s">
        <v>17</v>
      </c>
      <c r="I5" s="7" t="s">
        <v>283</v>
      </c>
      <c r="J5" s="7" t="s">
        <v>283</v>
      </c>
      <c r="K5" s="7" t="s">
        <v>307</v>
      </c>
      <c r="L5" s="7">
        <v>3</v>
      </c>
      <c r="M5" s="7">
        <v>2</v>
      </c>
      <c r="N5" s="15" t="s">
        <v>360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4" t="s">
        <v>366</v>
      </c>
      <c r="B6" s="7" t="str">
        <f>IF($A6="","",IFERROR(VLOOKUP($A6,'02_Конкуренты'!$A$4:$B$10,2,FALSE),"не найдено"))</f>
        <v>Operis</v>
      </c>
      <c r="C6" s="7" t="s">
        <v>392</v>
      </c>
      <c r="D6" s="7" t="s">
        <v>393</v>
      </c>
      <c r="E6" s="7" t="s">
        <v>394</v>
      </c>
      <c r="F6" s="7" t="s">
        <v>395</v>
      </c>
      <c r="G6" s="7" t="s">
        <v>396</v>
      </c>
      <c r="H6" s="7" t="s">
        <v>397</v>
      </c>
      <c r="I6" s="7" t="s">
        <v>398</v>
      </c>
      <c r="J6" s="7" t="s">
        <v>307</v>
      </c>
      <c r="K6" s="7" t="s">
        <v>399</v>
      </c>
      <c r="L6" s="7">
        <v>4</v>
      </c>
      <c r="M6" s="7">
        <v>2</v>
      </c>
      <c r="N6" s="15" t="s">
        <v>400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409</v>
      </c>
      <c r="B7" s="7" t="str">
        <f>IF($A7="","",IFERROR(VLOOKUP($A7,'02_Конкуренты'!$A$4:$B$10,2,FALSE),"не найдено"))</f>
        <v>Shortcut</v>
      </c>
      <c r="C7" s="7" t="s">
        <v>355</v>
      </c>
      <c r="D7" s="7" t="s">
        <v>435</v>
      </c>
      <c r="E7" s="7" t="s">
        <v>394</v>
      </c>
      <c r="F7" s="7" t="s">
        <v>436</v>
      </c>
      <c r="G7" s="7" t="s">
        <v>437</v>
      </c>
      <c r="H7" s="7" t="s">
        <v>17</v>
      </c>
      <c r="I7" s="7" t="s">
        <v>43</v>
      </c>
      <c r="J7" s="7" t="s">
        <v>438</v>
      </c>
      <c r="K7" s="4" t="s">
        <v>439</v>
      </c>
      <c r="L7" s="7">
        <v>2</v>
      </c>
      <c r="M7" s="7">
        <v>5</v>
      </c>
      <c r="N7" s="15" t="s">
        <v>440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451</v>
      </c>
      <c r="B8" s="7" t="str">
        <f>IF($A8="","",IFERROR(VLOOKUP($A8,'02_Конкуренты'!$A$4:$B$10,2,FALSE),"не найдено"))</f>
        <v>Numerous.ai</v>
      </c>
      <c r="C8" s="7" t="s">
        <v>472</v>
      </c>
      <c r="D8" s="7" t="s">
        <v>473</v>
      </c>
      <c r="E8" s="4" t="s">
        <v>474</v>
      </c>
      <c r="F8" s="7" t="s">
        <v>475</v>
      </c>
      <c r="G8" s="7" t="s">
        <v>476</v>
      </c>
      <c r="H8" s="7" t="s">
        <v>17</v>
      </c>
      <c r="I8" s="7" t="s">
        <v>477</v>
      </c>
      <c r="J8" s="7" t="s">
        <v>478</v>
      </c>
      <c r="K8" s="7" t="s">
        <v>479</v>
      </c>
      <c r="L8" s="7">
        <v>2</v>
      </c>
      <c r="M8" s="7">
        <v>4</v>
      </c>
      <c r="N8" s="11" t="s">
        <v>480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4" t="s">
        <v>489</v>
      </c>
      <c r="B9" s="7" t="str">
        <f>IF($A9="","",IFERROR(VLOOKUP($A9,'02_Конкуренты'!$A$4:$B$10,2,FALSE),"не найдено"))</f>
        <v>Datarails</v>
      </c>
      <c r="C9" s="4" t="s">
        <v>512</v>
      </c>
      <c r="D9" s="7" t="s">
        <v>513</v>
      </c>
      <c r="E9" s="7" t="s">
        <v>394</v>
      </c>
      <c r="F9" s="7" t="s">
        <v>514</v>
      </c>
      <c r="G9" s="7" t="s">
        <v>515</v>
      </c>
      <c r="H9" s="7" t="s">
        <v>516</v>
      </c>
      <c r="I9" s="7" t="s">
        <v>517</v>
      </c>
      <c r="J9" s="7" t="s">
        <v>507</v>
      </c>
      <c r="K9" s="4" t="s">
        <v>518</v>
      </c>
      <c r="L9" s="7">
        <v>4</v>
      </c>
      <c r="M9" s="7">
        <v>4</v>
      </c>
      <c r="N9" s="15" t="s">
        <v>519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5" t="s">
        <v>529</v>
      </c>
      <c r="B10" s="8" t="str">
        <f>IF($A10="","",IFERROR(VLOOKUP($A10,'02_Конкуренты'!$A$4:$B$10,2,FALSE),"не найдено"))</f>
        <v>DataSnipper</v>
      </c>
      <c r="C10" s="5" t="s">
        <v>548</v>
      </c>
      <c r="D10" s="8" t="s">
        <v>549</v>
      </c>
      <c r="E10" s="8" t="s">
        <v>394</v>
      </c>
      <c r="F10" s="8" t="s">
        <v>550</v>
      </c>
      <c r="G10" s="8" t="s">
        <v>515</v>
      </c>
      <c r="H10" s="8" t="s">
        <v>516</v>
      </c>
      <c r="I10" s="8" t="s">
        <v>517</v>
      </c>
      <c r="J10" s="8" t="s">
        <v>507</v>
      </c>
      <c r="K10" s="8" t="s">
        <v>551</v>
      </c>
      <c r="L10" s="8">
        <v>4</v>
      </c>
      <c r="M10" s="8">
        <v>4</v>
      </c>
      <c r="N10" s="6" t="s">
        <v>552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</sheetData>
  <mergeCells count="2">
    <mergeCell ref="A1:N1"/>
    <mergeCell ref="A2:N2"/>
  </mergeCells>
  <dataValidations count="2">
    <dataValidation type="list" sqref="H4:H10" xr:uid="{00000000-0002-0000-0700-000000000000}">
      <formula1>"самостоятельная покупка,заявка на консультацию,демонстрация продукта,регистрация,пробный доступ,контентная воронка,корпоративные продажи,маркетплейс"</formula1>
    </dataValidation>
    <dataValidation type="list" sqref="L4:M10" xr:uid="{00000000-0002-0000-07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"/>
  <sheetViews>
    <sheetView workbookViewId="0"/>
  </sheetViews>
  <sheetFormatPr defaultRowHeight="13.5"/>
  <cols>
    <col min="1" max="1" width="17.1875" customWidth="1"/>
    <col min="2" max="2" width="15.125" customWidth="1"/>
    <col min="3" max="3" width="50.8125" customWidth="1"/>
    <col min="4" max="4" width="31.9375" customWidth="1"/>
    <col min="5" max="5" width="38.1875" customWidth="1"/>
    <col min="6" max="6" width="28.75" customWidth="1"/>
    <col min="7" max="7" width="25.625" customWidth="1"/>
    <col min="8" max="8" width="24.5625" customWidth="1"/>
    <col min="9" max="9" width="31.9375" customWidth="1"/>
    <col min="10" max="10" width="29.8125" customWidth="1"/>
    <col min="11" max="11" width="24.5625" customWidth="1"/>
    <col min="12" max="12" width="29.8125" customWidth="1"/>
    <col min="13" max="13" width="36.125" customWidth="1"/>
    <col min="14" max="14" width="52.5625" customWidth="1"/>
    <col min="15" max="26" width="10.5625" customWidth="1"/>
  </cols>
  <sheetData>
    <row r="1" spans="1:26" ht="20" customHeight="1">
      <c r="A1" s="28" t="s">
        <v>193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9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0" t="s">
        <v>194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1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130</v>
      </c>
      <c r="B3" s="3" t="s">
        <v>131</v>
      </c>
      <c r="C3" s="3" t="s">
        <v>146</v>
      </c>
      <c r="D3" s="3" t="s">
        <v>195</v>
      </c>
      <c r="E3" s="3" t="s">
        <v>196</v>
      </c>
      <c r="F3" s="3" t="s">
        <v>197</v>
      </c>
      <c r="G3" s="3" t="s">
        <v>198</v>
      </c>
      <c r="H3" s="3" t="s">
        <v>199</v>
      </c>
      <c r="I3" s="3" t="s">
        <v>200</v>
      </c>
      <c r="J3" s="3" t="s">
        <v>201</v>
      </c>
      <c r="K3" s="3" t="s">
        <v>202</v>
      </c>
      <c r="L3" s="3" t="s">
        <v>203</v>
      </c>
      <c r="M3" s="3" t="s">
        <v>204</v>
      </c>
      <c r="N3" s="10" t="s">
        <v>205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4" t="s">
        <v>277</v>
      </c>
      <c r="B4" s="7" t="str">
        <f>IF($A4="","",IFERROR(VLOOKUP($A4,'02_Конкуренты'!$A$4:$B$10,2,FALSE),"не найдено"))</f>
        <v>PerfectXL</v>
      </c>
      <c r="C4" s="4" t="s">
        <v>324</v>
      </c>
      <c r="D4" s="7" t="s">
        <v>325</v>
      </c>
      <c r="E4" s="7" t="s">
        <v>326</v>
      </c>
      <c r="F4" s="7" t="s">
        <v>327</v>
      </c>
      <c r="G4" s="7" t="s">
        <v>328</v>
      </c>
      <c r="H4" s="7" t="s">
        <v>329</v>
      </c>
      <c r="I4" s="7" t="s">
        <v>330</v>
      </c>
      <c r="J4" s="7" t="s">
        <v>331</v>
      </c>
      <c r="K4" s="7">
        <v>3</v>
      </c>
      <c r="L4" s="7">
        <v>3</v>
      </c>
      <c r="M4" s="4" t="s">
        <v>332</v>
      </c>
      <c r="N4" s="15" t="s">
        <v>333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334</v>
      </c>
      <c r="B5" s="7" t="str">
        <f>IF($A5="","",IFERROR(VLOOKUP($A5,'02_Конкуренты'!$A$4:$B$10,2,FALSE),"не найдено"))</f>
        <v>Arixcel</v>
      </c>
      <c r="C5" s="7" t="s">
        <v>361</v>
      </c>
      <c r="D5" s="7" t="s">
        <v>345</v>
      </c>
      <c r="E5" s="7" t="s">
        <v>362</v>
      </c>
      <c r="F5" s="7" t="s">
        <v>283</v>
      </c>
      <c r="G5" s="7" t="s">
        <v>328</v>
      </c>
      <c r="H5" s="7" t="s">
        <v>283</v>
      </c>
      <c r="I5" s="7" t="s">
        <v>356</v>
      </c>
      <c r="J5" s="7" t="s">
        <v>363</v>
      </c>
      <c r="K5" s="7">
        <v>2</v>
      </c>
      <c r="L5" s="7">
        <v>2</v>
      </c>
      <c r="M5" s="7" t="s">
        <v>364</v>
      </c>
      <c r="N5" s="11" t="s">
        <v>365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4" t="s">
        <v>366</v>
      </c>
      <c r="B6" s="7" t="str">
        <f>IF($A6="","",IFERROR(VLOOKUP($A6,'02_Конкуренты'!$A$4:$B$10,2,FALSE),"не найдено"))</f>
        <v>Operis</v>
      </c>
      <c r="C6" s="7" t="s">
        <v>401</v>
      </c>
      <c r="D6" s="7" t="s">
        <v>402</v>
      </c>
      <c r="E6" s="7" t="s">
        <v>403</v>
      </c>
      <c r="F6" s="7" t="s">
        <v>404</v>
      </c>
      <c r="G6" s="7" t="s">
        <v>328</v>
      </c>
      <c r="H6" s="7" t="s">
        <v>405</v>
      </c>
      <c r="I6" s="7" t="s">
        <v>406</v>
      </c>
      <c r="J6" s="7" t="s">
        <v>380</v>
      </c>
      <c r="K6" s="7">
        <v>2</v>
      </c>
      <c r="L6" s="7">
        <v>4</v>
      </c>
      <c r="M6" s="7" t="s">
        <v>407</v>
      </c>
      <c r="N6" s="15" t="s">
        <v>408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409</v>
      </c>
      <c r="B7" s="7" t="str">
        <f>IF($A7="","",IFERROR(VLOOKUP($A7,'02_Конкуренты'!$A$4:$B$10,2,FALSE),"не найдено"))</f>
        <v>Shortcut</v>
      </c>
      <c r="C7" s="4" t="s">
        <v>441</v>
      </c>
      <c r="D7" s="7" t="s">
        <v>442</v>
      </c>
      <c r="E7" s="7" t="s">
        <v>443</v>
      </c>
      <c r="F7" s="7" t="s">
        <v>444</v>
      </c>
      <c r="G7" s="7" t="s">
        <v>445</v>
      </c>
      <c r="H7" s="7" t="s">
        <v>446</v>
      </c>
      <c r="I7" s="7" t="s">
        <v>447</v>
      </c>
      <c r="J7" s="7" t="s">
        <v>448</v>
      </c>
      <c r="K7" s="7">
        <v>4</v>
      </c>
      <c r="L7" s="7">
        <v>3</v>
      </c>
      <c r="M7" s="4" t="s">
        <v>449</v>
      </c>
      <c r="N7" s="15" t="s">
        <v>450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451</v>
      </c>
      <c r="B8" s="7" t="str">
        <f>IF($A8="","",IFERROR(VLOOKUP($A8,'02_Конкуренты'!$A$4:$B$10,2,FALSE),"не найдено"))</f>
        <v>Numerous.ai</v>
      </c>
      <c r="C8" s="7" t="s">
        <v>481</v>
      </c>
      <c r="D8" s="7" t="s">
        <v>363</v>
      </c>
      <c r="E8" s="7" t="s">
        <v>482</v>
      </c>
      <c r="F8" s="7" t="s">
        <v>483</v>
      </c>
      <c r="G8" s="7" t="s">
        <v>484</v>
      </c>
      <c r="H8" s="7" t="s">
        <v>461</v>
      </c>
      <c r="I8" s="7" t="s">
        <v>485</v>
      </c>
      <c r="J8" s="7" t="s">
        <v>486</v>
      </c>
      <c r="K8" s="7">
        <v>4</v>
      </c>
      <c r="L8" s="7">
        <v>1</v>
      </c>
      <c r="M8" s="7" t="s">
        <v>487</v>
      </c>
      <c r="N8" s="11" t="s">
        <v>488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4" t="s">
        <v>489</v>
      </c>
      <c r="B9" s="7" t="str">
        <f>IF($A9="","",IFERROR(VLOOKUP($A9,'02_Конкуренты'!$A$4:$B$10,2,FALSE),"не найдено"))</f>
        <v>Datarails</v>
      </c>
      <c r="C9" s="7" t="s">
        <v>520</v>
      </c>
      <c r="D9" s="7" t="s">
        <v>521</v>
      </c>
      <c r="E9" s="7" t="s">
        <v>522</v>
      </c>
      <c r="F9" s="7" t="s">
        <v>523</v>
      </c>
      <c r="G9" s="7" t="s">
        <v>524</v>
      </c>
      <c r="H9" s="7" t="s">
        <v>525</v>
      </c>
      <c r="I9" s="7" t="s">
        <v>526</v>
      </c>
      <c r="J9" s="7" t="s">
        <v>331</v>
      </c>
      <c r="K9" s="7">
        <v>3</v>
      </c>
      <c r="L9" s="7">
        <v>4</v>
      </c>
      <c r="M9" s="7" t="s">
        <v>527</v>
      </c>
      <c r="N9" s="15" t="s">
        <v>528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5" t="s">
        <v>529</v>
      </c>
      <c r="B10" s="8" t="str">
        <f>IF($A10="","",IFERROR(VLOOKUP($A10,'02_Конкуренты'!$A$4:$B$10,2,FALSE),"не найдено"))</f>
        <v>DataSnipper</v>
      </c>
      <c r="C10" s="5" t="s">
        <v>553</v>
      </c>
      <c r="D10" s="8" t="s">
        <v>554</v>
      </c>
      <c r="E10" s="8" t="s">
        <v>555</v>
      </c>
      <c r="F10" s="8" t="s">
        <v>556</v>
      </c>
      <c r="G10" s="8" t="s">
        <v>557</v>
      </c>
      <c r="H10" s="8" t="s">
        <v>558</v>
      </c>
      <c r="I10" s="8" t="s">
        <v>559</v>
      </c>
      <c r="J10" s="8" t="s">
        <v>560</v>
      </c>
      <c r="K10" s="8">
        <v>3</v>
      </c>
      <c r="L10" s="8">
        <v>4</v>
      </c>
      <c r="M10" s="5" t="s">
        <v>561</v>
      </c>
      <c r="N10" s="6" t="s">
        <v>562</v>
      </c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</sheetData>
  <mergeCells count="2">
    <mergeCell ref="A1:N1"/>
    <mergeCell ref="A2:N2"/>
  </mergeCells>
  <dataValidations count="1">
    <dataValidation type="list" sqref="K4:L10" xr:uid="{00000000-0002-0000-08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"/>
  <sheetViews>
    <sheetView workbookViewId="0"/>
  </sheetViews>
  <sheetFormatPr defaultRowHeight="13.5"/>
  <cols>
    <col min="1" max="1" width="17.1875" customWidth="1"/>
    <col min="2" max="2" width="15.125" customWidth="1"/>
    <col min="3" max="4" width="11.9375" customWidth="1"/>
    <col min="5" max="6" width="10.5625" customWidth="1"/>
    <col min="7" max="7" width="13" customWidth="1"/>
    <col min="8" max="8" width="10.5625" customWidth="1"/>
    <col min="9" max="9" width="10.9375" customWidth="1"/>
    <col min="10" max="10" width="11.9375" customWidth="1"/>
    <col min="11" max="11" width="15.125" customWidth="1"/>
    <col min="12" max="12" width="10.9375" customWidth="1"/>
    <col min="13" max="13" width="16.1875" customWidth="1"/>
    <col min="14" max="14" width="15.125" customWidth="1"/>
    <col min="15" max="15" width="19.3125" customWidth="1"/>
    <col min="16" max="16" width="10.9375" customWidth="1"/>
    <col min="17" max="17" width="28.75" customWidth="1"/>
    <col min="18" max="26" width="10.5625" customWidth="1"/>
  </cols>
  <sheetData>
    <row r="1" spans="1:26" ht="20" customHeight="1">
      <c r="A1" s="28" t="s">
        <v>206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9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7" t="s">
        <v>207</v>
      </c>
      <c r="B2" s="25"/>
      <c r="C2" s="20">
        <v>1</v>
      </c>
      <c r="D2" s="20">
        <v>1</v>
      </c>
      <c r="E2" s="20">
        <v>1</v>
      </c>
      <c r="F2" s="20">
        <v>1</v>
      </c>
      <c r="G2" s="20">
        <v>1</v>
      </c>
      <c r="H2" s="20">
        <v>1</v>
      </c>
      <c r="I2" s="20">
        <v>1</v>
      </c>
      <c r="J2" s="20">
        <v>1</v>
      </c>
      <c r="K2" s="20">
        <v>1</v>
      </c>
      <c r="L2" s="20">
        <v>1</v>
      </c>
      <c r="M2" s="20">
        <v>1</v>
      </c>
      <c r="N2" s="25"/>
      <c r="O2" s="25"/>
      <c r="P2" s="25"/>
      <c r="Q2" s="26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130</v>
      </c>
      <c r="B3" s="3" t="s">
        <v>131</v>
      </c>
      <c r="C3" s="3" t="s">
        <v>208</v>
      </c>
      <c r="D3" s="3" t="s">
        <v>209</v>
      </c>
      <c r="E3" s="3" t="s">
        <v>210</v>
      </c>
      <c r="F3" s="3" t="s">
        <v>143</v>
      </c>
      <c r="G3" s="3" t="s">
        <v>211</v>
      </c>
      <c r="H3" s="3" t="s">
        <v>212</v>
      </c>
      <c r="I3" s="3" t="s">
        <v>213</v>
      </c>
      <c r="J3" s="3" t="s">
        <v>199</v>
      </c>
      <c r="K3" s="3" t="s">
        <v>214</v>
      </c>
      <c r="L3" s="3" t="s">
        <v>215</v>
      </c>
      <c r="M3" s="3" t="s">
        <v>216</v>
      </c>
      <c r="N3" s="3" t="s">
        <v>217</v>
      </c>
      <c r="O3" s="3" t="s">
        <v>218</v>
      </c>
      <c r="P3" s="3" t="s">
        <v>219</v>
      </c>
      <c r="Q3" s="10" t="s">
        <v>220</v>
      </c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4" t="s">
        <v>277</v>
      </c>
      <c r="B4" s="7" t="str">
        <f>IF($A4="","",IFERROR(VLOOKUP($A4,'02_Конкуренты'!$A$4:$B$10,2,FALSE),"не найдено"))</f>
        <v>PerfectXL</v>
      </c>
      <c r="C4" s="7">
        <v>4</v>
      </c>
      <c r="D4" s="7">
        <v>4</v>
      </c>
      <c r="E4" s="7">
        <v>4</v>
      </c>
      <c r="F4" s="7">
        <v>3</v>
      </c>
      <c r="G4" s="7">
        <v>3</v>
      </c>
      <c r="H4" s="7">
        <v>3</v>
      </c>
      <c r="I4" s="7">
        <v>3</v>
      </c>
      <c r="J4" s="7">
        <v>3</v>
      </c>
      <c r="K4" s="7">
        <v>2</v>
      </c>
      <c r="L4" s="7">
        <v>3</v>
      </c>
      <c r="M4" s="7">
        <v>3</v>
      </c>
      <c r="N4" s="22">
        <f t="shared" ref="N4:N10" si="0">IF($A4="","",SUMPRODUCT($C4:$M4,$C$2:$M$2)/SUM($C$2:$M$2))</f>
        <v>3.1818181818181817</v>
      </c>
      <c r="O4" s="22">
        <f>IF($A4="","",IFERROR(VLOOKUP($A4,'04_Бизнес_модель'!$A$4:$P$10,16,FALSE),0))</f>
        <v>4.2</v>
      </c>
      <c r="P4" s="20">
        <f>IF($A4="","",IFERROR(VLOOKUP($A4,'04_Бизнес_модель'!$A$4:$O$10,15,FALSE),0))</f>
        <v>1</v>
      </c>
      <c r="Q4" s="27">
        <f t="shared" ref="Q4:Q10" si="1">IF($A4="","",$N4*0.6+$O4*0.25+$P4*5*0.15)</f>
        <v>3.709090909090909</v>
      </c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334</v>
      </c>
      <c r="B5" s="7" t="str">
        <f>IF($A5="","",IFERROR(VLOOKUP($A5,'02_Конкуренты'!$A$4:$B$10,2,FALSE),"не найдено"))</f>
        <v>Arixcel</v>
      </c>
      <c r="C5" s="7">
        <v>3</v>
      </c>
      <c r="D5" s="7">
        <v>3</v>
      </c>
      <c r="E5" s="7">
        <v>3</v>
      </c>
      <c r="F5" s="7">
        <v>2</v>
      </c>
      <c r="G5" s="7">
        <v>2</v>
      </c>
      <c r="H5" s="7">
        <v>2</v>
      </c>
      <c r="I5" s="7">
        <v>2</v>
      </c>
      <c r="J5" s="7">
        <v>1</v>
      </c>
      <c r="K5" s="7">
        <v>1</v>
      </c>
      <c r="L5" s="7">
        <v>2</v>
      </c>
      <c r="M5" s="7">
        <v>2</v>
      </c>
      <c r="N5" s="22">
        <f t="shared" si="0"/>
        <v>2.0909090909090908</v>
      </c>
      <c r="O5" s="22">
        <f>IF($A5="","",IFERROR(VLOOKUP($A5,'04_Бизнес_модель'!$A$4:$P$10,16,FALSE),0))</f>
        <v>4</v>
      </c>
      <c r="P5" s="20">
        <f>IF($A5="","",IFERROR(VLOOKUP($A5,'04_Бизнес_модель'!$A$4:$O$10,15,FALSE),0))</f>
        <v>0.83333333333333337</v>
      </c>
      <c r="Q5" s="27">
        <f t="shared" si="1"/>
        <v>2.8795454545454544</v>
      </c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4" t="s">
        <v>366</v>
      </c>
      <c r="B6" s="7" t="str">
        <f>IF($A6="","",IFERROR(VLOOKUP($A6,'02_Конкуренты'!$A$4:$B$10,2,FALSE),"не найдено"))</f>
        <v>Operis</v>
      </c>
      <c r="C6" s="7">
        <v>3</v>
      </c>
      <c r="D6" s="7">
        <v>3</v>
      </c>
      <c r="E6" s="7">
        <v>3</v>
      </c>
      <c r="F6" s="7">
        <v>2</v>
      </c>
      <c r="G6" s="7">
        <v>3</v>
      </c>
      <c r="H6" s="7">
        <v>3</v>
      </c>
      <c r="I6" s="7">
        <v>4</v>
      </c>
      <c r="J6" s="7">
        <v>3</v>
      </c>
      <c r="K6" s="7">
        <v>2</v>
      </c>
      <c r="L6" s="7">
        <v>2</v>
      </c>
      <c r="M6" s="7">
        <v>4</v>
      </c>
      <c r="N6" s="22">
        <f t="shared" si="0"/>
        <v>2.9090909090909092</v>
      </c>
      <c r="O6" s="22">
        <f>IF($A6="","",IFERROR(VLOOKUP($A6,'04_Бизнес_модель'!$A$4:$P$10,16,FALSE),0))</f>
        <v>4</v>
      </c>
      <c r="P6" s="20">
        <f>IF($A6="","",IFERROR(VLOOKUP($A6,'04_Бизнес_модель'!$A$4:$O$10,15,FALSE),0))</f>
        <v>1</v>
      </c>
      <c r="Q6" s="27">
        <f t="shared" si="1"/>
        <v>3.4954545454545451</v>
      </c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409</v>
      </c>
      <c r="B7" s="7" t="str">
        <f>IF($A7="","",IFERROR(VLOOKUP($A7,'02_Конкуренты'!$A$4:$B$10,2,FALSE),"не найдено"))</f>
        <v>Shortcut</v>
      </c>
      <c r="C7" s="7">
        <v>4</v>
      </c>
      <c r="D7" s="7">
        <v>5</v>
      </c>
      <c r="E7" s="7">
        <v>5</v>
      </c>
      <c r="F7" s="7">
        <v>4</v>
      </c>
      <c r="G7" s="7">
        <v>3</v>
      </c>
      <c r="H7" s="7">
        <v>5</v>
      </c>
      <c r="I7" s="7">
        <v>4</v>
      </c>
      <c r="J7" s="7">
        <v>3</v>
      </c>
      <c r="K7" s="7">
        <v>3</v>
      </c>
      <c r="L7" s="7">
        <v>4</v>
      </c>
      <c r="M7" s="7">
        <v>3</v>
      </c>
      <c r="N7" s="22">
        <f t="shared" si="0"/>
        <v>3.9090909090909092</v>
      </c>
      <c r="O7" s="22">
        <f>IF($A7="","",IFERROR(VLOOKUP($A7,'04_Бизнес_модель'!$A$4:$P$10,16,FALSE),0))</f>
        <v>4.5</v>
      </c>
      <c r="P7" s="20">
        <f>IF($A7="","",IFERROR(VLOOKUP($A7,'04_Бизнес_модель'!$A$4:$O$10,15,FALSE),0))</f>
        <v>1</v>
      </c>
      <c r="Q7" s="27">
        <f t="shared" si="1"/>
        <v>4.2204545454545457</v>
      </c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451</v>
      </c>
      <c r="B8" s="7" t="str">
        <f>IF($A8="","",IFERROR(VLOOKUP($A8,'02_Конкуренты'!$A$4:$B$10,2,FALSE),"не найдено"))</f>
        <v>Numerous.ai</v>
      </c>
      <c r="C8" s="7">
        <v>3</v>
      </c>
      <c r="D8" s="7">
        <v>3</v>
      </c>
      <c r="E8" s="7">
        <v>3</v>
      </c>
      <c r="F8" s="7">
        <v>4</v>
      </c>
      <c r="G8" s="7">
        <v>2</v>
      </c>
      <c r="H8" s="7">
        <v>3</v>
      </c>
      <c r="I8" s="7">
        <v>2</v>
      </c>
      <c r="J8" s="7">
        <v>2</v>
      </c>
      <c r="K8" s="7">
        <v>2</v>
      </c>
      <c r="L8" s="7">
        <v>4</v>
      </c>
      <c r="M8" s="7">
        <v>1</v>
      </c>
      <c r="N8" s="22">
        <f t="shared" si="0"/>
        <v>2.6363636363636362</v>
      </c>
      <c r="O8" s="22">
        <f>IF($A8="","",IFERROR(VLOOKUP($A8,'04_Бизнес_модель'!$A$4:$P$10,16,FALSE),0))</f>
        <v>4.2</v>
      </c>
      <c r="P8" s="20">
        <f>IF($A8="","",IFERROR(VLOOKUP($A8,'04_Бизнес_модель'!$A$4:$O$10,15,FALSE),0))</f>
        <v>1</v>
      </c>
      <c r="Q8" s="27">
        <f t="shared" si="1"/>
        <v>3.3818181818181818</v>
      </c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4" t="s">
        <v>489</v>
      </c>
      <c r="B9" s="7" t="str">
        <f>IF($A9="","",IFERROR(VLOOKUP($A9,'02_Конкуренты'!$A$4:$B$10,2,FALSE),"не найдено"))</f>
        <v>Datarails</v>
      </c>
      <c r="C9" s="7">
        <v>4</v>
      </c>
      <c r="D9" s="7">
        <v>4</v>
      </c>
      <c r="E9" s="7">
        <v>4</v>
      </c>
      <c r="F9" s="7">
        <v>4</v>
      </c>
      <c r="G9" s="7">
        <v>4</v>
      </c>
      <c r="H9" s="7">
        <v>3</v>
      </c>
      <c r="I9" s="7">
        <v>4</v>
      </c>
      <c r="J9" s="7">
        <v>4</v>
      </c>
      <c r="K9" s="7">
        <v>3</v>
      </c>
      <c r="L9" s="7">
        <v>3</v>
      </c>
      <c r="M9" s="7">
        <v>4</v>
      </c>
      <c r="N9" s="22">
        <f t="shared" si="0"/>
        <v>3.7272727272727271</v>
      </c>
      <c r="O9" s="22">
        <f>IF($A9="","",IFERROR(VLOOKUP($A9,'04_Бизнес_модель'!$A$4:$P$10,16,FALSE),0))</f>
        <v>4.5</v>
      </c>
      <c r="P9" s="20">
        <f>IF($A9="","",IFERROR(VLOOKUP($A9,'04_Бизнес_модель'!$A$4:$O$10,15,FALSE),0))</f>
        <v>1</v>
      </c>
      <c r="Q9" s="27">
        <f t="shared" si="1"/>
        <v>4.1113636363636363</v>
      </c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5" t="s">
        <v>529</v>
      </c>
      <c r="B10" s="8" t="str">
        <f>IF($A10="","",IFERROR(VLOOKUP($A10,'02_Конкуренты'!$A$4:$B$10,2,FALSE),"не найдено"))</f>
        <v>DataSnipper</v>
      </c>
      <c r="C10" s="8">
        <v>4</v>
      </c>
      <c r="D10" s="8">
        <v>5</v>
      </c>
      <c r="E10" s="8">
        <v>4</v>
      </c>
      <c r="F10" s="8">
        <v>3</v>
      </c>
      <c r="G10" s="8">
        <v>4</v>
      </c>
      <c r="H10" s="8">
        <v>3</v>
      </c>
      <c r="I10" s="8">
        <v>4</v>
      </c>
      <c r="J10" s="8">
        <v>4</v>
      </c>
      <c r="K10" s="8">
        <v>4</v>
      </c>
      <c r="L10" s="8">
        <v>3</v>
      </c>
      <c r="M10" s="8">
        <v>4</v>
      </c>
      <c r="N10" s="23">
        <f t="shared" si="0"/>
        <v>3.8181818181818183</v>
      </c>
      <c r="O10" s="23">
        <f>IF($A10="","",IFERROR(VLOOKUP($A10,'04_Бизнес_модель'!$A$4:$P$10,16,FALSE),0))</f>
        <v>4.166666666666667</v>
      </c>
      <c r="P10" s="21">
        <f>IF($A10="","",IFERROR(VLOOKUP($A10,'04_Бизнес_модель'!$A$4:$O$10,15,FALSE),0))</f>
        <v>1</v>
      </c>
      <c r="Q10" s="24">
        <f t="shared" si="1"/>
        <v>4.082575757575758</v>
      </c>
      <c r="R10" s="2"/>
      <c r="S10" s="2"/>
      <c r="T10" s="2"/>
      <c r="U10" s="2"/>
      <c r="V10" s="2"/>
      <c r="W10" s="2"/>
      <c r="X10" s="2"/>
      <c r="Y10" s="2"/>
      <c r="Z10" s="2"/>
    </row>
  </sheetData>
  <mergeCells count="1">
    <mergeCell ref="A1:Q1"/>
  </mergeCells>
  <dataValidations count="1">
    <dataValidation type="list" sqref="C4:M10" xr:uid="{00000000-0002-0000-09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5"/>
  <sheetViews>
    <sheetView workbookViewId="0"/>
  </sheetViews>
  <sheetFormatPr defaultRowHeight="13.5"/>
  <cols>
    <col min="1" max="1" width="49.75" customWidth="1"/>
    <col min="2" max="2" width="26.6875" customWidth="1"/>
    <col min="3" max="3" width="52.5625" customWidth="1"/>
    <col min="4" max="4" width="35.0625" customWidth="1"/>
    <col min="5" max="5" width="20.375" customWidth="1"/>
    <col min="6" max="6" width="26.6875" customWidth="1"/>
    <col min="7" max="7" width="52.5625" customWidth="1"/>
    <col min="8" max="8" width="47.6875" customWidth="1"/>
    <col min="9" max="26" width="10.5625" customWidth="1"/>
  </cols>
  <sheetData>
    <row r="1" spans="1:26" ht="20" customHeight="1">
      <c r="A1" s="28" t="s">
        <v>221</v>
      </c>
      <c r="B1" s="28"/>
      <c r="C1" s="28"/>
      <c r="D1" s="28"/>
      <c r="E1" s="28"/>
      <c r="F1" s="28"/>
      <c r="G1" s="28"/>
      <c r="H1" s="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0" t="s">
        <v>222</v>
      </c>
      <c r="B2" s="30"/>
      <c r="C2" s="30"/>
      <c r="D2" s="30"/>
      <c r="E2" s="30"/>
      <c r="F2" s="30"/>
      <c r="G2" s="30"/>
      <c r="H2" s="3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223</v>
      </c>
      <c r="B3" s="3" t="s">
        <v>224</v>
      </c>
      <c r="C3" s="3" t="s">
        <v>225</v>
      </c>
      <c r="D3" s="3" t="s">
        <v>226</v>
      </c>
      <c r="E3" s="3" t="s">
        <v>227</v>
      </c>
      <c r="F3" s="3" t="s">
        <v>228</v>
      </c>
      <c r="G3" s="3" t="s">
        <v>229</v>
      </c>
      <c r="H3" s="10" t="s">
        <v>230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4" t="s">
        <v>686</v>
      </c>
      <c r="B4" s="7" t="s">
        <v>142</v>
      </c>
      <c r="C4" s="4" t="s">
        <v>687</v>
      </c>
      <c r="D4" s="7">
        <v>7</v>
      </c>
      <c r="E4" s="20">
        <f>IF($D4="","",IFERROR($D4/'12_Сводка'!$B$4,0))</f>
        <v>1</v>
      </c>
      <c r="F4" s="7" t="str">
        <f t="shared" ref="F4:F15" si="0">IF($A4="","",IF($E4&gt;=0.7,"рыночный стандарт",IF($E4&gt;=0.4,"формирующийся стандарт",IF($E4&gt;=0.2,"зона дифференциации","слабый сигнал"))))</f>
        <v>рыночный стандарт</v>
      </c>
      <c r="G4" s="4" t="str">
        <f t="shared" ref="G4:G15" si="1">IF($A4="","",IF($F4="рыночный стандарт","необходимо включить в минимально приемлемое предложение",IF($F4="формирующийся стандарт","значимость для клиента и вероятность закрепления оценены",IF($F4="зона дифференциации","может использоваться как поле позиционирования","использовать с ограничением"))))</f>
        <v>необходимо включить в минимально приемлемое предложение</v>
      </c>
      <c r="H4" s="15" t="s">
        <v>688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689</v>
      </c>
      <c r="B5" s="7" t="s">
        <v>145</v>
      </c>
      <c r="C5" s="4" t="s">
        <v>690</v>
      </c>
      <c r="D5" s="7">
        <v>2</v>
      </c>
      <c r="E5" s="20">
        <f>IF($D5="","",IFERROR($D5/'12_Сводка'!$B$4,0))</f>
        <v>0.2857142857142857</v>
      </c>
      <c r="F5" s="7" t="str">
        <f t="shared" si="0"/>
        <v>зона дифференциации</v>
      </c>
      <c r="G5" s="4" t="str">
        <f t="shared" si="1"/>
        <v>может использоваться как поле позиционирования</v>
      </c>
      <c r="H5" s="15" t="s">
        <v>688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4" t="s">
        <v>691</v>
      </c>
      <c r="B6" s="7" t="s">
        <v>144</v>
      </c>
      <c r="C6" s="7" t="s">
        <v>692</v>
      </c>
      <c r="D6" s="7">
        <v>3</v>
      </c>
      <c r="E6" s="20">
        <f>IF($D6="","",IFERROR($D6/'12_Сводка'!$B$4,0))</f>
        <v>0.42857142857142855</v>
      </c>
      <c r="F6" s="7" t="str">
        <f t="shared" si="0"/>
        <v>формирующийся стандарт</v>
      </c>
      <c r="G6" s="4" t="str">
        <f t="shared" si="1"/>
        <v>значимость для клиента и вероятность закрепления оценены</v>
      </c>
      <c r="H6" s="15" t="s">
        <v>688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693</v>
      </c>
      <c r="B7" s="7" t="s">
        <v>143</v>
      </c>
      <c r="C7" s="4" t="s">
        <v>694</v>
      </c>
      <c r="D7" s="7">
        <v>4</v>
      </c>
      <c r="E7" s="20">
        <f>IF($D7="","",IFERROR($D7/'12_Сводка'!$B$4,0))</f>
        <v>0.5714285714285714</v>
      </c>
      <c r="F7" s="7" t="str">
        <f t="shared" si="0"/>
        <v>формирующийся стандарт</v>
      </c>
      <c r="G7" s="4" t="str">
        <f t="shared" si="1"/>
        <v>значимость для клиента и вероятность закрепления оценены</v>
      </c>
      <c r="H7" s="15" t="s">
        <v>688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695</v>
      </c>
      <c r="B8" s="7" t="s">
        <v>146</v>
      </c>
      <c r="C8" s="7" t="s">
        <v>696</v>
      </c>
      <c r="D8" s="7">
        <v>3</v>
      </c>
      <c r="E8" s="20">
        <f>IF($D8="","",IFERROR($D8/'12_Сводка'!$B$4,0))</f>
        <v>0.42857142857142855</v>
      </c>
      <c r="F8" s="7" t="str">
        <f t="shared" si="0"/>
        <v>формирующийся стандарт</v>
      </c>
      <c r="G8" s="4" t="str">
        <f t="shared" si="1"/>
        <v>значимость для клиента и вероятность закрепления оценены</v>
      </c>
      <c r="H8" s="15" t="s">
        <v>688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4" t="s">
        <v>697</v>
      </c>
      <c r="B9" s="7" t="s">
        <v>141</v>
      </c>
      <c r="C9" s="7" t="s">
        <v>698</v>
      </c>
      <c r="D9" s="7">
        <v>5</v>
      </c>
      <c r="E9" s="20">
        <f>IF($D9="","",IFERROR($D9/'12_Сводка'!$B$4,0))</f>
        <v>0.7142857142857143</v>
      </c>
      <c r="F9" s="7" t="str">
        <f t="shared" si="0"/>
        <v>рыночный стандарт</v>
      </c>
      <c r="G9" s="4" t="str">
        <f t="shared" si="1"/>
        <v>необходимо включить в минимально приемлемое предложение</v>
      </c>
      <c r="H9" s="15" t="s">
        <v>688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4" t="s">
        <v>699</v>
      </c>
      <c r="B10" s="7" t="s">
        <v>145</v>
      </c>
      <c r="C10" s="7" t="s">
        <v>700</v>
      </c>
      <c r="D10" s="7">
        <v>5</v>
      </c>
      <c r="E10" s="20">
        <f>IF($D10="","",IFERROR($D10/'12_Сводка'!$B$4,0))</f>
        <v>0.7142857142857143</v>
      </c>
      <c r="F10" s="7" t="str">
        <f t="shared" si="0"/>
        <v>рыночный стандарт</v>
      </c>
      <c r="G10" s="4" t="str">
        <f t="shared" si="1"/>
        <v>необходимо включить в минимально приемлемое предложение</v>
      </c>
      <c r="H10" s="15" t="s">
        <v>688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4" t="s">
        <v>701</v>
      </c>
      <c r="B11" s="7" t="s">
        <v>144</v>
      </c>
      <c r="C11" s="7" t="s">
        <v>702</v>
      </c>
      <c r="D11" s="7">
        <v>6</v>
      </c>
      <c r="E11" s="20">
        <f>IF($D11="","",IFERROR($D11/'12_Сводка'!$B$4,0))</f>
        <v>0.8571428571428571</v>
      </c>
      <c r="F11" s="7" t="str">
        <f t="shared" si="0"/>
        <v>рыночный стандарт</v>
      </c>
      <c r="G11" s="4" t="str">
        <f t="shared" si="1"/>
        <v>необходимо включить в минимально приемлемое предложение</v>
      </c>
      <c r="H11" s="15" t="s">
        <v>688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4" t="s">
        <v>703</v>
      </c>
      <c r="B12" s="7" t="s">
        <v>142</v>
      </c>
      <c r="C12" s="7" t="s">
        <v>704</v>
      </c>
      <c r="D12" s="7">
        <v>4</v>
      </c>
      <c r="E12" s="20">
        <f>IF($D12="","",IFERROR($D12/'12_Сводка'!$B$4,0))</f>
        <v>0.5714285714285714</v>
      </c>
      <c r="F12" s="7" t="str">
        <f t="shared" si="0"/>
        <v>формирующийся стандарт</v>
      </c>
      <c r="G12" s="4" t="str">
        <f t="shared" si="1"/>
        <v>значимость для клиента и вероятность закрепления оценены</v>
      </c>
      <c r="H12" s="15" t="s">
        <v>688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4" t="s">
        <v>705</v>
      </c>
      <c r="B13" s="7" t="s">
        <v>142</v>
      </c>
      <c r="C13" s="4" t="s">
        <v>706</v>
      </c>
      <c r="D13" s="7">
        <v>2</v>
      </c>
      <c r="E13" s="20">
        <f>IF($D13="","",IFERROR($D13/'12_Сводка'!$B$4,0))</f>
        <v>0.2857142857142857</v>
      </c>
      <c r="F13" s="7" t="str">
        <f t="shared" si="0"/>
        <v>зона дифференциации</v>
      </c>
      <c r="G13" s="4" t="str">
        <f t="shared" si="1"/>
        <v>может использоваться как поле позиционирования</v>
      </c>
      <c r="H13" s="15" t="s">
        <v>688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4" t="s">
        <v>707</v>
      </c>
      <c r="B14" s="7" t="s">
        <v>145</v>
      </c>
      <c r="C14" s="4" t="s">
        <v>708</v>
      </c>
      <c r="D14" s="7">
        <v>4</v>
      </c>
      <c r="E14" s="20">
        <f>IF($D14="","",IFERROR($D14/'12_Сводка'!$B$4,0))</f>
        <v>0.5714285714285714</v>
      </c>
      <c r="F14" s="7" t="str">
        <f t="shared" si="0"/>
        <v>формирующийся стандарт</v>
      </c>
      <c r="G14" s="4" t="str">
        <f t="shared" si="1"/>
        <v>значимость для клиента и вероятность закрепления оценены</v>
      </c>
      <c r="H14" s="15" t="s">
        <v>688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>
      <c r="A15" s="5" t="s">
        <v>709</v>
      </c>
      <c r="B15" s="8" t="s">
        <v>148</v>
      </c>
      <c r="C15" s="8" t="s">
        <v>710</v>
      </c>
      <c r="D15" s="8">
        <v>4</v>
      </c>
      <c r="E15" s="21">
        <f>IF($D15="","",IFERROR($D15/'12_Сводка'!$B$4,0))</f>
        <v>0.5714285714285714</v>
      </c>
      <c r="F15" s="8" t="str">
        <f t="shared" si="0"/>
        <v>формирующийся стандарт</v>
      </c>
      <c r="G15" s="5" t="str">
        <f t="shared" si="1"/>
        <v>значимость для клиента и вероятность закрепления оценены</v>
      </c>
      <c r="H15" s="6" t="s">
        <v>688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</sheetData>
  <mergeCells count="2">
    <mergeCell ref="A1:H1"/>
    <mergeCell ref="A2:H2"/>
  </mergeCells>
  <dataValidations count="1">
    <dataValidation type="list" sqref="B4:B15" xr:uid="{00000000-0002-0000-0A00-000000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1"/>
  <sheetViews>
    <sheetView workbookViewId="0"/>
  </sheetViews>
  <sheetFormatPr defaultRowHeight="13.5"/>
  <cols>
    <col min="1" max="1" width="17.1875" customWidth="1"/>
    <col min="2" max="2" width="15.125" customWidth="1"/>
    <col min="3" max="3" width="52.5625" customWidth="1"/>
    <col min="4" max="4" width="20.375" customWidth="1"/>
    <col min="5" max="5" width="32.9375" customWidth="1"/>
    <col min="6" max="6" width="27.6875" customWidth="1"/>
    <col min="7" max="7" width="11.9375" customWidth="1"/>
    <col min="8" max="8" width="29.8125" customWidth="1"/>
    <col min="9" max="9" width="31.9375" customWidth="1"/>
    <col min="10" max="10" width="23.5" customWidth="1"/>
    <col min="11" max="11" width="17.1875" customWidth="1"/>
    <col min="12" max="12" width="26.6875" customWidth="1"/>
    <col min="13" max="13" width="52.5625" customWidth="1"/>
    <col min="14" max="26" width="10.5625" customWidth="1"/>
  </cols>
  <sheetData>
    <row r="1" spans="1:26" ht="20" customHeight="1">
      <c r="A1" s="28" t="s">
        <v>231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9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0" t="s">
        <v>232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1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130</v>
      </c>
      <c r="B3" s="3" t="s">
        <v>131</v>
      </c>
      <c r="C3" s="3" t="s">
        <v>233</v>
      </c>
      <c r="D3" s="3" t="s">
        <v>10</v>
      </c>
      <c r="E3" s="3" t="s">
        <v>234</v>
      </c>
      <c r="F3" s="3" t="s">
        <v>166</v>
      </c>
      <c r="G3" s="3" t="s">
        <v>235</v>
      </c>
      <c r="H3" s="3" t="s">
        <v>203</v>
      </c>
      <c r="I3" s="3" t="s">
        <v>236</v>
      </c>
      <c r="J3" s="3" t="s">
        <v>136</v>
      </c>
      <c r="K3" s="3" t="s">
        <v>237</v>
      </c>
      <c r="L3" s="3" t="s">
        <v>75</v>
      </c>
      <c r="M3" s="10" t="s">
        <v>238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4" t="s">
        <v>277</v>
      </c>
      <c r="B4" s="7" t="str">
        <f>IF($A4="","",IFERROR(VLOOKUP($A4,'02_Конкуренты'!$A$4:$B$10,2,FALSE),"не найдено"))</f>
        <v>PerfectXL</v>
      </c>
      <c r="C4" s="4" t="s">
        <v>711</v>
      </c>
      <c r="D4" s="7" t="s">
        <v>712</v>
      </c>
      <c r="E4" s="7" t="s">
        <v>141</v>
      </c>
      <c r="F4" s="7" t="s">
        <v>713</v>
      </c>
      <c r="G4" s="7">
        <v>4</v>
      </c>
      <c r="H4" s="7">
        <v>3</v>
      </c>
      <c r="I4" s="7">
        <v>4</v>
      </c>
      <c r="J4" s="7">
        <v>5</v>
      </c>
      <c r="K4" s="22">
        <f t="shared" ref="K4:K11" si="0">IF($A4="","",$G4*0.3+$H4*0.25+$I4*0.25+$J4*0.2)</f>
        <v>3.95</v>
      </c>
      <c r="L4" s="7" t="str">
        <f t="shared" ref="L4:L11" si="1">IF($A4="","",IF($K4&gt;=4,"сильное преимущество",IF($K4&gt;=3,"умеренное преимущество",IF($K4&gt;=2,"слабое преимущество","недостаточно подтверждений"))))</f>
        <v>умеренное преимущество</v>
      </c>
      <c r="M4" s="15" t="s">
        <v>756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8.5">
      <c r="A5" s="4" t="s">
        <v>277</v>
      </c>
      <c r="B5" s="7" t="str">
        <f>IF($A5="","",IFERROR(VLOOKUP($A5,'02_Конкуренты'!$A$4:$B$10,2,FALSE),"не найдено"))</f>
        <v>PerfectXL</v>
      </c>
      <c r="C5" s="4" t="s">
        <v>714</v>
      </c>
      <c r="D5" s="7" t="s">
        <v>19</v>
      </c>
      <c r="E5" s="7" t="s">
        <v>142</v>
      </c>
      <c r="F5" s="7" t="s">
        <v>715</v>
      </c>
      <c r="G5" s="7">
        <v>4</v>
      </c>
      <c r="H5" s="7">
        <v>3</v>
      </c>
      <c r="I5" s="7">
        <v>4</v>
      </c>
      <c r="J5" s="7">
        <v>4</v>
      </c>
      <c r="K5" s="22">
        <f t="shared" si="0"/>
        <v>3.75</v>
      </c>
      <c r="L5" s="7" t="str">
        <f t="shared" si="1"/>
        <v>умеренное преимущество</v>
      </c>
      <c r="M5" s="15" t="s">
        <v>756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8.5">
      <c r="A6" s="4" t="s">
        <v>409</v>
      </c>
      <c r="B6" s="7" t="str">
        <f>IF($A6="","",IFERROR(VLOOKUP($A6,'02_Конкуренты'!$A$4:$B$10,2,FALSE),"не найдено"))</f>
        <v>Shortcut</v>
      </c>
      <c r="C6" s="4" t="s">
        <v>716</v>
      </c>
      <c r="D6" s="7" t="s">
        <v>717</v>
      </c>
      <c r="E6" s="7" t="s">
        <v>145</v>
      </c>
      <c r="F6" s="7" t="s">
        <v>427</v>
      </c>
      <c r="G6" s="7">
        <v>4</v>
      </c>
      <c r="H6" s="7">
        <v>2</v>
      </c>
      <c r="I6" s="7">
        <v>4</v>
      </c>
      <c r="J6" s="7">
        <v>5</v>
      </c>
      <c r="K6" s="22">
        <f t="shared" si="0"/>
        <v>3.7</v>
      </c>
      <c r="L6" s="7" t="str">
        <f t="shared" si="1"/>
        <v>умеренное преимущество</v>
      </c>
      <c r="M6" s="15" t="s">
        <v>756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8.5">
      <c r="A7" s="4" t="s">
        <v>409</v>
      </c>
      <c r="B7" s="7" t="str">
        <f>IF($A7="","",IFERROR(VLOOKUP($A7,'02_Конкуренты'!$A$4:$B$10,2,FALSE),"не найдено"))</f>
        <v>Shortcut</v>
      </c>
      <c r="C7" s="4" t="s">
        <v>718</v>
      </c>
      <c r="D7" s="7" t="s">
        <v>712</v>
      </c>
      <c r="E7" s="7" t="s">
        <v>146</v>
      </c>
      <c r="F7" s="7" t="s">
        <v>719</v>
      </c>
      <c r="G7" s="7">
        <v>5</v>
      </c>
      <c r="H7" s="7">
        <v>3</v>
      </c>
      <c r="I7" s="7">
        <v>5</v>
      </c>
      <c r="J7" s="7">
        <v>5</v>
      </c>
      <c r="K7" s="22">
        <f t="shared" si="0"/>
        <v>4.5</v>
      </c>
      <c r="L7" s="7" t="str">
        <f t="shared" si="1"/>
        <v>сильное преимущество</v>
      </c>
      <c r="M7" s="15" t="s">
        <v>756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8.5">
      <c r="A8" s="4" t="s">
        <v>451</v>
      </c>
      <c r="B8" s="7" t="str">
        <f>IF($A8="","",IFERROR(VLOOKUP($A8,'02_Конкуренты'!$A$4:$B$10,2,FALSE),"не найдено"))</f>
        <v>Numerous.ai</v>
      </c>
      <c r="C8" s="4" t="s">
        <v>720</v>
      </c>
      <c r="D8" s="7" t="s">
        <v>28</v>
      </c>
      <c r="E8" s="7" t="s">
        <v>145</v>
      </c>
      <c r="F8" s="7" t="s">
        <v>466</v>
      </c>
      <c r="G8" s="7">
        <v>3</v>
      </c>
      <c r="H8" s="7">
        <v>1</v>
      </c>
      <c r="I8" s="7">
        <v>3</v>
      </c>
      <c r="J8" s="7">
        <v>5</v>
      </c>
      <c r="K8" s="22">
        <f t="shared" si="0"/>
        <v>2.9</v>
      </c>
      <c r="L8" s="7" t="str">
        <f t="shared" si="1"/>
        <v>слабое преимущество</v>
      </c>
      <c r="M8" s="15" t="s">
        <v>756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8.5">
      <c r="A9" s="4" t="s">
        <v>489</v>
      </c>
      <c r="B9" s="7" t="str">
        <f>IF($A9="","",IFERROR(VLOOKUP($A9,'02_Конкуренты'!$A$4:$B$10,2,FALSE),"не найдено"))</f>
        <v>Datarails</v>
      </c>
      <c r="C9" s="4" t="s">
        <v>721</v>
      </c>
      <c r="D9" s="7" t="s">
        <v>722</v>
      </c>
      <c r="E9" s="7" t="s">
        <v>148</v>
      </c>
      <c r="F9" s="7" t="s">
        <v>723</v>
      </c>
      <c r="G9" s="7">
        <v>5</v>
      </c>
      <c r="H9" s="7">
        <v>4</v>
      </c>
      <c r="I9" s="7">
        <v>4</v>
      </c>
      <c r="J9" s="7">
        <v>4</v>
      </c>
      <c r="K9" s="22">
        <f t="shared" si="0"/>
        <v>4.3</v>
      </c>
      <c r="L9" s="7" t="str">
        <f t="shared" si="1"/>
        <v>сильное преимущество</v>
      </c>
      <c r="M9" s="15" t="s">
        <v>756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8.5">
      <c r="A10" s="4" t="s">
        <v>529</v>
      </c>
      <c r="B10" s="7" t="str">
        <f>IF($A10="","",IFERROR(VLOOKUP($A10,'02_Конкуренты'!$A$4:$B$10,2,FALSE),"не найдено"))</f>
        <v>DataSnipper</v>
      </c>
      <c r="C10" s="4" t="s">
        <v>724</v>
      </c>
      <c r="D10" s="7" t="s">
        <v>712</v>
      </c>
      <c r="E10" s="7" t="s">
        <v>141</v>
      </c>
      <c r="F10" s="7" t="s">
        <v>725</v>
      </c>
      <c r="G10" s="7">
        <v>5</v>
      </c>
      <c r="H10" s="7">
        <v>4</v>
      </c>
      <c r="I10" s="7">
        <v>5</v>
      </c>
      <c r="J10" s="7">
        <v>5</v>
      </c>
      <c r="K10" s="22">
        <f t="shared" si="0"/>
        <v>4.75</v>
      </c>
      <c r="L10" s="7" t="str">
        <f t="shared" si="1"/>
        <v>сильное преимущество</v>
      </c>
      <c r="M10" s="15" t="s">
        <v>756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8.5">
      <c r="A11" s="5" t="s">
        <v>366</v>
      </c>
      <c r="B11" s="8" t="str">
        <f>IF($A11="","",IFERROR(VLOOKUP($A11,'02_Конкуренты'!$A$4:$B$10,2,FALSE),"не найдено"))</f>
        <v>Operis</v>
      </c>
      <c r="C11" s="5" t="s">
        <v>726</v>
      </c>
      <c r="D11" s="8" t="s">
        <v>727</v>
      </c>
      <c r="E11" s="8" t="s">
        <v>141</v>
      </c>
      <c r="F11" s="8" t="s">
        <v>728</v>
      </c>
      <c r="G11" s="8">
        <v>4</v>
      </c>
      <c r="H11" s="8">
        <v>5</v>
      </c>
      <c r="I11" s="8">
        <v>3</v>
      </c>
      <c r="J11" s="8">
        <v>4</v>
      </c>
      <c r="K11" s="23">
        <f t="shared" si="0"/>
        <v>4</v>
      </c>
      <c r="L11" s="8" t="str">
        <f t="shared" si="1"/>
        <v>сильное преимущество</v>
      </c>
      <c r="M11" s="6" t="s">
        <v>756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</sheetData>
  <mergeCells count="2">
    <mergeCell ref="A1:M1"/>
    <mergeCell ref="A2:M2"/>
  </mergeCells>
  <dataValidations count="3">
    <dataValidation type="list" sqref="D4:D11" xr:uid="{00000000-0002-0000-0B00-000000000000}">
      <formula1>"товарное,ценовое,канальное,технологическое,данные,партнерское,брендовое,сервисное,операционное"</formula1>
    </dataValidation>
    <dataValidation type="list" sqref="E4:E11" xr:uid="{00000000-0002-0000-0B00-000001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  <dataValidation type="list" sqref="G4:J11" xr:uid="{00000000-0002-0000-0B00-000002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26"/>
  <sheetViews>
    <sheetView workbookViewId="0"/>
  </sheetViews>
  <sheetFormatPr defaultRowHeight="13.5"/>
  <cols>
    <col min="1" max="1" width="45.5625" customWidth="1"/>
    <col min="2" max="3" width="52.5625" customWidth="1"/>
    <col min="4" max="4" width="10.5625" customWidth="1"/>
    <col min="5" max="5" width="23.5" customWidth="1"/>
    <col min="6" max="6" width="15.125" customWidth="1"/>
    <col min="7" max="7" width="17.1875" customWidth="1"/>
    <col min="8" max="26" width="10.5625" customWidth="1"/>
  </cols>
  <sheetData>
    <row r="1" spans="1:26" ht="20" customHeight="1">
      <c r="A1" s="28" t="s">
        <v>239</v>
      </c>
      <c r="B1" s="28"/>
      <c r="C1" s="28"/>
      <c r="D1" s="28"/>
      <c r="E1" s="28"/>
      <c r="F1" s="28"/>
      <c r="G1" s="28"/>
      <c r="H1" s="28"/>
      <c r="I1" s="28"/>
      <c r="J1" s="29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30" t="s">
        <v>240</v>
      </c>
      <c r="B2" s="30"/>
      <c r="C2" s="30"/>
      <c r="D2" s="32"/>
      <c r="E2" s="30"/>
      <c r="F2" s="30"/>
      <c r="G2" s="30"/>
      <c r="H2" s="32"/>
      <c r="I2" s="32"/>
      <c r="J2" s="33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241</v>
      </c>
      <c r="B3" s="3" t="s">
        <v>242</v>
      </c>
      <c r="C3" s="10" t="s">
        <v>75</v>
      </c>
      <c r="D3" s="2"/>
      <c r="E3" s="3" t="s">
        <v>243</v>
      </c>
      <c r="F3" s="3"/>
      <c r="G3" s="10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4" t="s">
        <v>244</v>
      </c>
      <c r="B4" s="7">
        <f>COUNTA('02_Конкуренты'!$A$4:$A$10)</f>
        <v>7</v>
      </c>
      <c r="C4" s="15" t="s">
        <v>245</v>
      </c>
      <c r="D4" s="2"/>
      <c r="E4" s="4" t="s">
        <v>246</v>
      </c>
      <c r="F4" s="7" t="s">
        <v>247</v>
      </c>
      <c r="G4" s="11" t="s">
        <v>237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248</v>
      </c>
      <c r="B5" s="7">
        <f>COUNTIF('02_Конкуренты'!$H$4:$H$10,"завершен")</f>
        <v>0</v>
      </c>
      <c r="C5" s="15" t="s">
        <v>249</v>
      </c>
      <c r="D5" s="2"/>
      <c r="E5" s="7">
        <f>1</f>
        <v>1</v>
      </c>
      <c r="F5" s="7" t="str">
        <f>IFERROR(INDEX('09_Матрица'!$B$4:$B$10,MATCH(LARGE('09_Матрица'!$Q$4:$Q$10,ROW(A1)),'09_Матрица'!$Q$4:$Q$10,0)),"")</f>
        <v>Shortcut</v>
      </c>
      <c r="G5" s="27">
        <f>IFERROR(LARGE('09_Матрица'!$Q$4:$Q$10,ROW(A1)),"")</f>
        <v>4.2204545454545457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4" t="s">
        <v>250</v>
      </c>
      <c r="B6" s="20">
        <f>IFERROR($B$5/$B$4,0)</f>
        <v>0</v>
      </c>
      <c r="C6" s="15" t="s">
        <v>251</v>
      </c>
      <c r="D6" s="2"/>
      <c r="E6" s="7">
        <f>2</f>
        <v>2</v>
      </c>
      <c r="F6" s="7" t="str">
        <f>IFERROR(INDEX('09_Матрица'!$B$4:$B$10,MATCH(LARGE('09_Матрица'!$Q$4:$Q$10,ROW(A2)),'09_Матрица'!$Q$4:$Q$10,0)),"")</f>
        <v>Datarails</v>
      </c>
      <c r="G6" s="27">
        <f>IFERROR(LARGE('09_Матрица'!$Q$4:$Q$10,ROW(A2)),"")</f>
        <v>4.1113636363636363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252</v>
      </c>
      <c r="B7" s="20">
        <f>IFERROR(AVERAGE('04_Бизнес_модель'!$O$4:$O$10),0)</f>
        <v>0.97619047619047628</v>
      </c>
      <c r="C7" s="15" t="s">
        <v>253</v>
      </c>
      <c r="D7" s="2"/>
      <c r="E7" s="7">
        <f>3</f>
        <v>3</v>
      </c>
      <c r="F7" s="7" t="str">
        <f>IFERROR(INDEX('09_Матрица'!$B$4:$B$10,MATCH(LARGE('09_Матрица'!$Q$4:$Q$10,ROW(#REF!)),'09_Матрица'!$Q$4:$Q$10,0)),"")</f>
        <v/>
      </c>
      <c r="G7" s="27" t="str">
        <f>IFERROR(LARGE('09_Матрица'!$Q$4:$Q$10,ROW(#REF!)),"")</f>
        <v/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254</v>
      </c>
      <c r="B8" s="22">
        <f>IFERROR(AVERAGE('04_Бизнес_модель'!$P$4:$P$10),0)</f>
        <v>4.2238095238095239</v>
      </c>
      <c r="C8" s="15" t="s">
        <v>255</v>
      </c>
      <c r="D8" s="2"/>
      <c r="E8" s="7">
        <f>4</f>
        <v>4</v>
      </c>
      <c r="F8" s="7" t="str">
        <f>IFERROR(INDEX('09_Матрица'!$B$4:$B$10,MATCH(LARGE('09_Матрица'!$Q$4:$Q$10,ROW(A3)),'09_Матрица'!$Q$4:$Q$10,0)),"")</f>
        <v>DataSnipper</v>
      </c>
      <c r="G8" s="27">
        <f>IFERROR(LARGE('09_Матрица'!$Q$4:$Q$10,ROW(A3)),"")</f>
        <v>4.082575757575758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4" t="s">
        <v>256</v>
      </c>
      <c r="B9" s="22">
        <f>IFERROR(AVERAGE('09_Матрица'!$Q$4:$Q$10),0)</f>
        <v>3.6971861471861471</v>
      </c>
      <c r="C9" s="15" t="s">
        <v>257</v>
      </c>
      <c r="D9" s="2"/>
      <c r="E9" s="7">
        <f>5</f>
        <v>5</v>
      </c>
      <c r="F9" s="7" t="str">
        <f>IFERROR(INDEX('09_Матрица'!$B$4:$B$10,MATCH(LARGE('09_Матрица'!$Q$4:$Q$10,ROW(A4)),'09_Матрица'!$Q$4:$Q$10,0)),"")</f>
        <v>PerfectXL</v>
      </c>
      <c r="G9" s="27">
        <f>IFERROR(LARGE('09_Матрица'!$Q$4:$Q$10,ROW(A4)),"")</f>
        <v>3.709090909090909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5" t="s">
        <v>258</v>
      </c>
      <c r="B10" s="8">
        <f>COUNTIF('11_Преимущества'!$A$4:$A$11,"&lt;&gt;")</f>
        <v>8</v>
      </c>
      <c r="C10" s="6" t="s">
        <v>259</v>
      </c>
      <c r="D10" s="2"/>
      <c r="E10" s="7">
        <f>6</f>
        <v>6</v>
      </c>
      <c r="F10" s="7" t="str">
        <f>IFERROR(INDEX('09_Матрица'!$B$4:$B$10,MATCH(LARGE('09_Матрица'!$Q$4:$Q$10,ROW(A5)),'09_Матрица'!$Q$4:$Q$10,0)),"")</f>
        <v>Operis</v>
      </c>
      <c r="G10" s="27">
        <f>IFERROR(LARGE('09_Матрица'!$Q$4:$Q$10,ROW(A5)),"")</f>
        <v>3.4954545454545451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2"/>
      <c r="B11" s="2"/>
      <c r="C11" s="2"/>
      <c r="D11" s="2"/>
      <c r="E11" s="7">
        <f>7</f>
        <v>7</v>
      </c>
      <c r="F11" s="7" t="str">
        <f>IFERROR(INDEX('09_Матрица'!$B$4:$B$10,MATCH(LARGE('09_Матрица'!$Q$4:$Q$10,ROW(A6)),'09_Матрица'!$Q$4:$Q$10,0)),"")</f>
        <v>Numerous.ai</v>
      </c>
      <c r="G11" s="27">
        <f>IFERROR(LARGE('09_Матрица'!$Q$4:$Q$10,ROW(A6)),"")</f>
        <v>3.3818181818181818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2"/>
      <c r="B12" s="2"/>
      <c r="C12" s="2"/>
      <c r="D12" s="2"/>
      <c r="E12" s="7">
        <f>8</f>
        <v>8</v>
      </c>
      <c r="F12" s="7" t="str">
        <f>IF(LEN(IFERROR(INDEX('09_Матрица'!$B$4:$B$10,MATCH(LARGE('09_Матрица'!$Q$4:$Q$10,ROW(A7)),'09_Матрица'!$Q$4:$Q$10,0)),""))=0,"-",IFERROR(INDEX('09_Матрица'!$B$4:$B$10,MATCH(LARGE('09_Матрица'!$Q$4:$Q$10,ROW(A7)),'09_Матрица'!$Q$4:$Q$10,0)),""))</f>
        <v>Arixcel</v>
      </c>
      <c r="G12" s="27">
        <f>IF(LEN(IFERROR(LARGE('09_Матрица'!$Q$4:$Q$10,ROW(A7)),""))=0,"-",IFERROR(LARGE('09_Матрица'!$Q$4:$Q$10,ROW(A7)),""))</f>
        <v>2.8795454545454544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3" t="s">
        <v>260</v>
      </c>
      <c r="B13" s="3"/>
      <c r="C13" s="10"/>
      <c r="D13" s="2"/>
      <c r="E13" s="7">
        <f>9</f>
        <v>9</v>
      </c>
      <c r="F13" s="7" t="str">
        <f>IFERROR(INDEX('09_Матрица'!$B$4:$B$10,MATCH(LARGE('09_Матрица'!$Q$4:$Q$10,ROW(A8)),'09_Матрица'!$Q$4:$Q$10,0)),"")</f>
        <v/>
      </c>
      <c r="G13" s="27" t="str">
        <f>IFERROR(LARGE('09_Матрица'!$Q$4:$Q$10,ROW(A8)),"")</f>
        <v/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4" t="s">
        <v>228</v>
      </c>
      <c r="B14" s="7" t="s">
        <v>261</v>
      </c>
      <c r="C14" s="11" t="s">
        <v>262</v>
      </c>
      <c r="D14" s="2"/>
      <c r="E14" s="8">
        <f>10</f>
        <v>10</v>
      </c>
      <c r="F14" s="8" t="str">
        <f>IFERROR(INDEX('09_Матрица'!$B$4:$B$10,MATCH(LARGE('09_Матрица'!$Q$4:$Q$10,ROW(A9)),'09_Матрица'!$Q$4:$Q$10,0)),"")</f>
        <v/>
      </c>
      <c r="G14" s="24" t="str">
        <f>IFERROR(LARGE('09_Матрица'!$Q$4:$Q$10,ROW(A9)),"")</f>
        <v/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8.5">
      <c r="A15" s="4" t="s">
        <v>18</v>
      </c>
      <c r="B15" s="7">
        <f>COUNTIF('10_Стандарт'!$F$4:$F$15,"рыночный стандарт")</f>
        <v>4</v>
      </c>
      <c r="C15" s="15" t="s">
        <v>263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>
      <c r="A16" s="4" t="s">
        <v>27</v>
      </c>
      <c r="B16" s="7">
        <f>COUNTIF('10_Стандарт'!$F$4:$F$15,"формирующийся стандарт")</f>
        <v>6</v>
      </c>
      <c r="C16" s="15" t="s">
        <v>264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>
      <c r="A17" s="4" t="s">
        <v>36</v>
      </c>
      <c r="B17" s="7">
        <f>COUNTIF('10_Стандарт'!$F$4:$F$15,"зона дифференциации")</f>
        <v>2</v>
      </c>
      <c r="C17" s="15" t="s">
        <v>265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>
      <c r="A18" s="5" t="s">
        <v>51</v>
      </c>
      <c r="B18" s="8">
        <f>COUNTIF('10_Стандарт'!$F$4:$F$15,"слабый сигнал")</f>
        <v>0</v>
      </c>
      <c r="C18" s="6" t="s">
        <v>266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0" customHeight="1">
      <c r="A21" s="34" t="s">
        <v>757</v>
      </c>
      <c r="B21" s="34"/>
      <c r="C21" s="35"/>
      <c r="D21" s="35"/>
      <c r="E21" s="35"/>
      <c r="F21" s="35"/>
      <c r="G21" s="35"/>
      <c r="H21" s="35"/>
      <c r="I21" s="35"/>
      <c r="J21" s="36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42.75">
      <c r="A22" s="4" t="s">
        <v>267</v>
      </c>
      <c r="B22" s="15" t="s">
        <v>268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8.5">
      <c r="A23" s="4" t="s">
        <v>269</v>
      </c>
      <c r="B23" s="15" t="s">
        <v>270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8.5">
      <c r="A24" s="4" t="s">
        <v>271</v>
      </c>
      <c r="B24" s="15" t="s">
        <v>272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8.5">
      <c r="A25" s="4" t="s">
        <v>273</v>
      </c>
      <c r="B25" s="15" t="s">
        <v>274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8.5">
      <c r="A26" s="5" t="s">
        <v>275</v>
      </c>
      <c r="B26" s="6" t="s">
        <v>276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</sheetData>
  <mergeCells count="3">
    <mergeCell ref="A1:J1"/>
    <mergeCell ref="A2:J2"/>
    <mergeCell ref="A21:J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13_Справочники</vt:lpstr>
      <vt:lpstr>01_Инструкция</vt:lpstr>
      <vt:lpstr>02_Конкуренты</vt:lpstr>
      <vt:lpstr>03_Факты_сайта</vt:lpstr>
      <vt:lpstr>04_Бизнес_модель</vt:lpstr>
      <vt:lpstr>05_Товар_ценность</vt:lpstr>
      <vt:lpstr>06_Монетизация</vt:lpstr>
      <vt:lpstr>07_Каналы</vt:lpstr>
      <vt:lpstr>08_Операц_модель</vt:lpstr>
      <vt:lpstr>09_Матрица</vt:lpstr>
      <vt:lpstr>10_Стандарт</vt:lpstr>
      <vt:lpstr>11_Преимущества</vt:lpstr>
      <vt:lpstr>12_Сводка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2026-10-06T21:30:08Z</dcterms:modified>
</cp:coreProperties>
</file>