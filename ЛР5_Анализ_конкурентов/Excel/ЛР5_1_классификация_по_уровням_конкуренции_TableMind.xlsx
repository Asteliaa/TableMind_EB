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project-continuation-447426\ЛР5_Анализ_конкурентов\Excel\"/>
    </mc:Choice>
  </mc:AlternateContent>
  <xr:revisionPtr revIDLastSave="0" documentId="13_ncr:1_{27198303-1244-4BBA-92E5-17144429BE4D}" xr6:coauthVersionLast="47" xr6:coauthVersionMax="47" xr10:uidLastSave="{00000000-0000-0000-0000-000000000000}"/>
  <bookViews>
    <workbookView xWindow="2205" yWindow="458" windowWidth="12022" windowHeight="10972" xr2:uid="{00000000-000D-0000-FFFF-FFFF00000000}"/>
  </bookViews>
  <sheets>
    <sheet name="00_Инструкция" sheetId="1" r:id="rId1"/>
    <sheet name="01_Компании" sheetId="2" r:id="rId2"/>
    <sheet name="02_Доказательства" sheetId="3" r:id="rId3"/>
    <sheet name="03_Критерии" sheetId="4" r:id="rId4"/>
    <sheet name="04_Оценка" sheetId="5" r:id="rId5"/>
    <sheet name="05_Уровни" sheetId="6" r:id="rId6"/>
    <sheet name="06_Сводка" sheetId="7" r:id="rId7"/>
    <sheet name="07_Карта" sheetId="8" r:id="rId8"/>
    <sheet name="08_Справочники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3" i="8" l="1"/>
  <c r="J103" i="8"/>
  <c r="K102" i="8"/>
  <c r="J102" i="8"/>
  <c r="K101" i="8"/>
  <c r="J101" i="8"/>
  <c r="K100" i="8"/>
  <c r="J100" i="8"/>
  <c r="K99" i="8"/>
  <c r="J99" i="8"/>
  <c r="K98" i="8"/>
  <c r="J98" i="8"/>
  <c r="K97" i="8"/>
  <c r="J97" i="8"/>
  <c r="K96" i="8"/>
  <c r="J96" i="8"/>
  <c r="K95" i="8"/>
  <c r="J95" i="8"/>
  <c r="K94" i="8"/>
  <c r="J94" i="8"/>
  <c r="K93" i="8"/>
  <c r="J93" i="8"/>
  <c r="K92" i="8"/>
  <c r="J92" i="8"/>
  <c r="K91" i="8"/>
  <c r="J91" i="8"/>
  <c r="K90" i="8"/>
  <c r="J90" i="8"/>
  <c r="K89" i="8"/>
  <c r="J89" i="8"/>
  <c r="K88" i="8"/>
  <c r="J88" i="8"/>
  <c r="K87" i="8"/>
  <c r="J87" i="8"/>
  <c r="K86" i="8"/>
  <c r="J86" i="8"/>
  <c r="K85" i="8"/>
  <c r="J85" i="8"/>
  <c r="K84" i="8"/>
  <c r="J84" i="8"/>
  <c r="K83" i="8"/>
  <c r="J83" i="8"/>
  <c r="K82" i="8"/>
  <c r="J82" i="8"/>
  <c r="K81" i="8"/>
  <c r="J81" i="8"/>
  <c r="K80" i="8"/>
  <c r="J80" i="8"/>
  <c r="K79" i="8"/>
  <c r="J79" i="8"/>
  <c r="K78" i="8"/>
  <c r="J78" i="8"/>
  <c r="K77" i="8"/>
  <c r="J77" i="8"/>
  <c r="K76" i="8"/>
  <c r="J76" i="8"/>
  <c r="K75" i="8"/>
  <c r="J75" i="8"/>
  <c r="K74" i="8"/>
  <c r="J74" i="8"/>
  <c r="K73" i="8"/>
  <c r="J73" i="8"/>
  <c r="K72" i="8"/>
  <c r="J72" i="8"/>
  <c r="K71" i="8"/>
  <c r="J71" i="8"/>
  <c r="K70" i="8"/>
  <c r="J70" i="8"/>
  <c r="K69" i="8"/>
  <c r="J69" i="8"/>
  <c r="K68" i="8"/>
  <c r="J68" i="8"/>
  <c r="K67" i="8"/>
  <c r="J67" i="8"/>
  <c r="K66" i="8"/>
  <c r="J66" i="8"/>
  <c r="K65" i="8"/>
  <c r="J65" i="8"/>
  <c r="K64" i="8"/>
  <c r="J64" i="8"/>
  <c r="K63" i="8"/>
  <c r="J63" i="8"/>
  <c r="K62" i="8"/>
  <c r="J62" i="8"/>
  <c r="K61" i="8"/>
  <c r="J61" i="8"/>
  <c r="K60" i="8"/>
  <c r="J60" i="8"/>
  <c r="K59" i="8"/>
  <c r="J59" i="8"/>
  <c r="K58" i="8"/>
  <c r="J58" i="8"/>
  <c r="K57" i="8"/>
  <c r="J57" i="8"/>
  <c r="K56" i="8"/>
  <c r="J56" i="8"/>
  <c r="K55" i="8"/>
  <c r="J55" i="8"/>
  <c r="K54" i="8"/>
  <c r="J54" i="8"/>
  <c r="K53" i="8"/>
  <c r="J53" i="8"/>
  <c r="K52" i="8"/>
  <c r="J52" i="8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J44" i="8"/>
  <c r="K43" i="8"/>
  <c r="J43" i="8"/>
  <c r="K42" i="8"/>
  <c r="J42" i="8"/>
  <c r="K41" i="8"/>
  <c r="J41" i="8"/>
  <c r="K40" i="8"/>
  <c r="J40" i="8"/>
  <c r="K39" i="8"/>
  <c r="J39" i="8"/>
  <c r="K38" i="8"/>
  <c r="J38" i="8"/>
  <c r="K37" i="8"/>
  <c r="J37" i="8"/>
  <c r="K36" i="8"/>
  <c r="J36" i="8"/>
  <c r="K35" i="8"/>
  <c r="J35" i="8"/>
  <c r="K34" i="8"/>
  <c r="J34" i="8"/>
  <c r="K33" i="8"/>
  <c r="J33" i="8"/>
  <c r="K32" i="8"/>
  <c r="J32" i="8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N103" i="5"/>
  <c r="C103" i="5"/>
  <c r="B103" i="5"/>
  <c r="B103" i="8" s="1"/>
  <c r="N102" i="5"/>
  <c r="C102" i="5"/>
  <c r="B102" i="5"/>
  <c r="B102" i="8" s="1"/>
  <c r="N101" i="5"/>
  <c r="C101" i="5"/>
  <c r="B101" i="5"/>
  <c r="B101" i="8" s="1"/>
  <c r="N100" i="5"/>
  <c r="C100" i="5"/>
  <c r="B100" i="5"/>
  <c r="B100" i="8" s="1"/>
  <c r="N99" i="5"/>
  <c r="C99" i="5"/>
  <c r="B99" i="5"/>
  <c r="B99" i="8" s="1"/>
  <c r="N98" i="5"/>
  <c r="C98" i="5"/>
  <c r="B98" i="5"/>
  <c r="B98" i="8" s="1"/>
  <c r="N97" i="5"/>
  <c r="C97" i="5"/>
  <c r="B97" i="5"/>
  <c r="B97" i="8" s="1"/>
  <c r="N96" i="5"/>
  <c r="C96" i="5"/>
  <c r="B96" i="5"/>
  <c r="B96" i="8" s="1"/>
  <c r="N95" i="5"/>
  <c r="C95" i="5"/>
  <c r="B95" i="5"/>
  <c r="B95" i="8" s="1"/>
  <c r="N94" i="5"/>
  <c r="C94" i="5"/>
  <c r="B94" i="5"/>
  <c r="B94" i="8" s="1"/>
  <c r="N93" i="5"/>
  <c r="C93" i="5"/>
  <c r="B93" i="5"/>
  <c r="B93" i="8" s="1"/>
  <c r="N92" i="5"/>
  <c r="C92" i="5"/>
  <c r="B92" i="5"/>
  <c r="B92" i="8" s="1"/>
  <c r="N91" i="5"/>
  <c r="C91" i="5"/>
  <c r="B91" i="5"/>
  <c r="B91" i="8" s="1"/>
  <c r="N90" i="5"/>
  <c r="C90" i="5"/>
  <c r="B90" i="5"/>
  <c r="B90" i="8" s="1"/>
  <c r="N89" i="5"/>
  <c r="C89" i="5"/>
  <c r="B89" i="5"/>
  <c r="B89" i="8" s="1"/>
  <c r="N88" i="5"/>
  <c r="C88" i="5"/>
  <c r="B88" i="5"/>
  <c r="B88" i="8" s="1"/>
  <c r="N87" i="5"/>
  <c r="C87" i="5"/>
  <c r="B87" i="5"/>
  <c r="B87" i="8" s="1"/>
  <c r="N86" i="5"/>
  <c r="C86" i="5"/>
  <c r="B86" i="5"/>
  <c r="B86" i="8" s="1"/>
  <c r="N85" i="5"/>
  <c r="C85" i="5"/>
  <c r="B85" i="5"/>
  <c r="B85" i="8" s="1"/>
  <c r="N84" i="5"/>
  <c r="C84" i="5"/>
  <c r="B84" i="5"/>
  <c r="B84" i="8" s="1"/>
  <c r="N83" i="5"/>
  <c r="C83" i="5"/>
  <c r="B83" i="5"/>
  <c r="B83" i="8" s="1"/>
  <c r="N82" i="5"/>
  <c r="C82" i="5"/>
  <c r="B82" i="5"/>
  <c r="B82" i="8" s="1"/>
  <c r="N81" i="5"/>
  <c r="C81" i="5"/>
  <c r="B81" i="5"/>
  <c r="B81" i="8" s="1"/>
  <c r="N80" i="5"/>
  <c r="C80" i="5"/>
  <c r="B80" i="5"/>
  <c r="B80" i="8" s="1"/>
  <c r="N79" i="5"/>
  <c r="C79" i="5"/>
  <c r="B79" i="5"/>
  <c r="B79" i="8" s="1"/>
  <c r="N78" i="5"/>
  <c r="C78" i="5"/>
  <c r="B78" i="5"/>
  <c r="B78" i="8" s="1"/>
  <c r="N77" i="5"/>
  <c r="C77" i="5"/>
  <c r="B77" i="5"/>
  <c r="B77" i="8" s="1"/>
  <c r="N76" i="5"/>
  <c r="C76" i="5"/>
  <c r="B76" i="5"/>
  <c r="B76" i="8" s="1"/>
  <c r="N75" i="5"/>
  <c r="C75" i="5"/>
  <c r="B75" i="5"/>
  <c r="B75" i="8" s="1"/>
  <c r="N74" i="5"/>
  <c r="C74" i="5"/>
  <c r="B74" i="5"/>
  <c r="B74" i="8" s="1"/>
  <c r="N73" i="5"/>
  <c r="C73" i="5"/>
  <c r="B73" i="5"/>
  <c r="B73" i="8" s="1"/>
  <c r="N72" i="5"/>
  <c r="C72" i="5"/>
  <c r="B72" i="5"/>
  <c r="B72" i="8" s="1"/>
  <c r="N71" i="5"/>
  <c r="C71" i="5"/>
  <c r="B71" i="5"/>
  <c r="B71" i="8" s="1"/>
  <c r="N70" i="5"/>
  <c r="C70" i="5"/>
  <c r="B70" i="5"/>
  <c r="B70" i="8" s="1"/>
  <c r="N69" i="5"/>
  <c r="C69" i="5"/>
  <c r="B69" i="5"/>
  <c r="B69" i="8" s="1"/>
  <c r="N68" i="5"/>
  <c r="C68" i="5"/>
  <c r="B68" i="5"/>
  <c r="B68" i="8" s="1"/>
  <c r="N67" i="5"/>
  <c r="C67" i="5"/>
  <c r="B67" i="5"/>
  <c r="B67" i="8" s="1"/>
  <c r="N66" i="5"/>
  <c r="C66" i="5"/>
  <c r="B66" i="5"/>
  <c r="B66" i="8" s="1"/>
  <c r="N65" i="5"/>
  <c r="C65" i="5"/>
  <c r="B65" i="5"/>
  <c r="B65" i="8" s="1"/>
  <c r="N64" i="5"/>
  <c r="C64" i="5"/>
  <c r="B64" i="5"/>
  <c r="B64" i="8" s="1"/>
  <c r="N63" i="5"/>
  <c r="C63" i="5"/>
  <c r="B63" i="5"/>
  <c r="B63" i="8" s="1"/>
  <c r="N62" i="5"/>
  <c r="C62" i="5"/>
  <c r="B62" i="5"/>
  <c r="B62" i="8" s="1"/>
  <c r="N61" i="5"/>
  <c r="C61" i="5"/>
  <c r="B61" i="5"/>
  <c r="B61" i="8" s="1"/>
  <c r="N60" i="5"/>
  <c r="C60" i="5"/>
  <c r="B60" i="5"/>
  <c r="B60" i="8" s="1"/>
  <c r="N59" i="5"/>
  <c r="C59" i="5"/>
  <c r="B59" i="5"/>
  <c r="B59" i="8" s="1"/>
  <c r="N58" i="5"/>
  <c r="C58" i="5"/>
  <c r="B58" i="5"/>
  <c r="B58" i="8" s="1"/>
  <c r="N57" i="5"/>
  <c r="C57" i="5"/>
  <c r="B57" i="5"/>
  <c r="B57" i="8" s="1"/>
  <c r="N56" i="5"/>
  <c r="C56" i="5"/>
  <c r="B56" i="5"/>
  <c r="B56" i="8" s="1"/>
  <c r="N55" i="5"/>
  <c r="C55" i="5"/>
  <c r="B55" i="5"/>
  <c r="B55" i="8" s="1"/>
  <c r="N54" i="5"/>
  <c r="C54" i="5"/>
  <c r="B54" i="5"/>
  <c r="B54" i="8" s="1"/>
  <c r="N53" i="5"/>
  <c r="C53" i="5"/>
  <c r="B53" i="5"/>
  <c r="B53" i="8" s="1"/>
  <c r="N52" i="5"/>
  <c r="C52" i="5"/>
  <c r="B52" i="5"/>
  <c r="B52" i="8" s="1"/>
  <c r="N51" i="5"/>
  <c r="C51" i="5"/>
  <c r="B51" i="5"/>
  <c r="B51" i="8" s="1"/>
  <c r="N50" i="5"/>
  <c r="C50" i="5"/>
  <c r="B50" i="5"/>
  <c r="B50" i="8" s="1"/>
  <c r="N49" i="5"/>
  <c r="C49" i="5"/>
  <c r="B49" i="5"/>
  <c r="B49" i="8" s="1"/>
  <c r="N48" i="5"/>
  <c r="C48" i="5"/>
  <c r="B48" i="5"/>
  <c r="B48" i="8" s="1"/>
  <c r="N47" i="5"/>
  <c r="C47" i="5"/>
  <c r="B47" i="5"/>
  <c r="B47" i="8" s="1"/>
  <c r="N46" i="5"/>
  <c r="C46" i="5"/>
  <c r="B46" i="5"/>
  <c r="B46" i="8" s="1"/>
  <c r="N45" i="5"/>
  <c r="C45" i="5"/>
  <c r="B45" i="5"/>
  <c r="B45" i="8" s="1"/>
  <c r="N44" i="5"/>
  <c r="C44" i="5"/>
  <c r="B44" i="5"/>
  <c r="B44" i="8" s="1"/>
  <c r="N43" i="5"/>
  <c r="C43" i="5"/>
  <c r="B43" i="5"/>
  <c r="B43" i="8" s="1"/>
  <c r="N42" i="5"/>
  <c r="C42" i="5"/>
  <c r="B42" i="5"/>
  <c r="B42" i="8" s="1"/>
  <c r="N41" i="5"/>
  <c r="C41" i="5"/>
  <c r="B41" i="5"/>
  <c r="B41" i="8" s="1"/>
  <c r="N40" i="5"/>
  <c r="C40" i="5"/>
  <c r="B40" i="5"/>
  <c r="B40" i="8" s="1"/>
  <c r="N39" i="5"/>
  <c r="C39" i="5"/>
  <c r="B39" i="5"/>
  <c r="B39" i="8" s="1"/>
  <c r="N38" i="5"/>
  <c r="C38" i="5"/>
  <c r="B38" i="5"/>
  <c r="B38" i="8" s="1"/>
  <c r="N37" i="5"/>
  <c r="C37" i="5"/>
  <c r="B37" i="5"/>
  <c r="B37" i="8" s="1"/>
  <c r="N36" i="5"/>
  <c r="C36" i="5"/>
  <c r="B36" i="5"/>
  <c r="B36" i="8" s="1"/>
  <c r="N35" i="5"/>
  <c r="C35" i="5"/>
  <c r="B35" i="5"/>
  <c r="B35" i="8" s="1"/>
  <c r="N34" i="5"/>
  <c r="C34" i="5"/>
  <c r="B34" i="5"/>
  <c r="B34" i="8" s="1"/>
  <c r="N33" i="5"/>
  <c r="C33" i="5"/>
  <c r="B33" i="5"/>
  <c r="B33" i="8" s="1"/>
  <c r="N32" i="5"/>
  <c r="C32" i="5"/>
  <c r="B32" i="5"/>
  <c r="B32" i="8" s="1"/>
  <c r="N31" i="5"/>
  <c r="C31" i="5"/>
  <c r="B31" i="5"/>
  <c r="B31" i="8" s="1"/>
  <c r="N30" i="5"/>
  <c r="C30" i="5"/>
  <c r="B30" i="5"/>
  <c r="B30" i="8" s="1"/>
  <c r="N29" i="5"/>
  <c r="C29" i="5"/>
  <c r="B29" i="5"/>
  <c r="B29" i="8" s="1"/>
  <c r="N28" i="5"/>
  <c r="C28" i="5"/>
  <c r="B28" i="5"/>
  <c r="B28" i="8" s="1"/>
  <c r="N27" i="5"/>
  <c r="C27" i="5"/>
  <c r="B27" i="5"/>
  <c r="B27" i="8" s="1"/>
  <c r="N26" i="5"/>
  <c r="C26" i="5"/>
  <c r="B26" i="5"/>
  <c r="B26" i="8" s="1"/>
  <c r="N25" i="5"/>
  <c r="C25" i="5"/>
  <c r="B25" i="5"/>
  <c r="B25" i="8" s="1"/>
  <c r="N24" i="5"/>
  <c r="C24" i="5"/>
  <c r="B24" i="5"/>
  <c r="B24" i="8" s="1"/>
  <c r="N23" i="5"/>
  <c r="C23" i="5"/>
  <c r="B23" i="5"/>
  <c r="B23" i="8" s="1"/>
  <c r="N22" i="5"/>
  <c r="C22" i="5"/>
  <c r="B22" i="5"/>
  <c r="B22" i="8" s="1"/>
  <c r="N21" i="5"/>
  <c r="C21" i="5"/>
  <c r="B21" i="5"/>
  <c r="B21" i="8" s="1"/>
  <c r="N20" i="5"/>
  <c r="C20" i="5"/>
  <c r="B20" i="5"/>
  <c r="B20" i="8" s="1"/>
  <c r="N19" i="5"/>
  <c r="C19" i="5"/>
  <c r="B19" i="5"/>
  <c r="B19" i="8" s="1"/>
  <c r="N18" i="5"/>
  <c r="C18" i="5"/>
  <c r="B18" i="5"/>
  <c r="B18" i="8" s="1"/>
  <c r="N17" i="5"/>
  <c r="C17" i="5"/>
  <c r="B17" i="5"/>
  <c r="B17" i="8" s="1"/>
  <c r="N16" i="5"/>
  <c r="C16" i="5"/>
  <c r="B16" i="5"/>
  <c r="B16" i="8" s="1"/>
  <c r="N15" i="5"/>
  <c r="C15" i="5"/>
  <c r="B15" i="5"/>
  <c r="B15" i="8" s="1"/>
  <c r="N14" i="5"/>
  <c r="C14" i="5"/>
  <c r="B14" i="5"/>
  <c r="B14" i="8" s="1"/>
  <c r="N13" i="5"/>
  <c r="C13" i="5"/>
  <c r="B13" i="5"/>
  <c r="B13" i="8" s="1"/>
  <c r="N12" i="5"/>
  <c r="E12" i="8" s="1"/>
  <c r="C12" i="5"/>
  <c r="B12" i="5"/>
  <c r="B12" i="8" s="1"/>
  <c r="N11" i="5"/>
  <c r="E11" i="8" s="1"/>
  <c r="C11" i="5"/>
  <c r="B11" i="5"/>
  <c r="B11" i="8" s="1"/>
  <c r="N10" i="5"/>
  <c r="O10" i="5" s="1"/>
  <c r="C10" i="5"/>
  <c r="B10" i="5"/>
  <c r="B10" i="8" s="1"/>
  <c r="N9" i="5"/>
  <c r="C9" i="5"/>
  <c r="B9" i="5"/>
  <c r="B9" i="8" s="1"/>
  <c r="N8" i="5"/>
  <c r="E8" i="8" s="1"/>
  <c r="C8" i="5"/>
  <c r="B8" i="5"/>
  <c r="B8" i="8" s="1"/>
  <c r="N7" i="5"/>
  <c r="O7" i="5" s="1"/>
  <c r="C7" i="5"/>
  <c r="B7" i="5"/>
  <c r="B7" i="8" s="1"/>
  <c r="N6" i="5"/>
  <c r="C6" i="5"/>
  <c r="B6" i="5"/>
  <c r="B6" i="8" s="1"/>
  <c r="N5" i="5"/>
  <c r="C5" i="5"/>
  <c r="B5" i="5"/>
  <c r="B5" i="8" s="1"/>
  <c r="N4" i="5"/>
  <c r="E4" i="8" s="1"/>
  <c r="C4" i="5"/>
  <c r="B4" i="5"/>
  <c r="B4" i="8" s="1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B4" i="7"/>
  <c r="P101" i="5"/>
  <c r="R101" i="5" s="1"/>
  <c r="F101" i="8" s="1"/>
  <c r="O101" i="5"/>
  <c r="E101" i="8"/>
  <c r="G101" i="8" s="1"/>
  <c r="P100" i="5"/>
  <c r="R100" i="5" s="1"/>
  <c r="F100" i="8" s="1"/>
  <c r="O100" i="5"/>
  <c r="E100" i="8"/>
  <c r="G100" i="8" s="1"/>
  <c r="P99" i="5"/>
  <c r="R99" i="5" s="1"/>
  <c r="F99" i="8" s="1"/>
  <c r="O99" i="5"/>
  <c r="E99" i="8"/>
  <c r="G99" i="8" s="1"/>
  <c r="P98" i="5"/>
  <c r="R98" i="5" s="1"/>
  <c r="F98" i="8" s="1"/>
  <c r="O98" i="5"/>
  <c r="E98" i="8"/>
  <c r="G98" i="8" s="1"/>
  <c r="E97" i="8"/>
  <c r="G97" i="8" s="1"/>
  <c r="E93" i="8"/>
  <c r="G93" i="8" s="1"/>
  <c r="P92" i="5"/>
  <c r="R92" i="5" s="1"/>
  <c r="F92" i="8" s="1"/>
  <c r="O92" i="5"/>
  <c r="E92" i="8"/>
  <c r="G92" i="8" s="1"/>
  <c r="P91" i="5"/>
  <c r="R91" i="5" s="1"/>
  <c r="F91" i="8" s="1"/>
  <c r="O91" i="5"/>
  <c r="E91" i="8"/>
  <c r="G91" i="8" s="1"/>
  <c r="P90" i="5"/>
  <c r="R90" i="5" s="1"/>
  <c r="F90" i="8" s="1"/>
  <c r="O90" i="5"/>
  <c r="E90" i="8"/>
  <c r="G90" i="8" s="1"/>
  <c r="E89" i="8"/>
  <c r="G89" i="8" s="1"/>
  <c r="O88" i="5"/>
  <c r="O86" i="5"/>
  <c r="P85" i="5"/>
  <c r="R85" i="5" s="1"/>
  <c r="F85" i="8" s="1"/>
  <c r="E85" i="8"/>
  <c r="G85" i="8" s="1"/>
  <c r="P84" i="5"/>
  <c r="R84" i="5" s="1"/>
  <c r="F84" i="8" s="1"/>
  <c r="O84" i="5"/>
  <c r="E84" i="8"/>
  <c r="G84" i="8" s="1"/>
  <c r="P83" i="5"/>
  <c r="R83" i="5" s="1"/>
  <c r="F83" i="8" s="1"/>
  <c r="O83" i="5"/>
  <c r="E83" i="8"/>
  <c r="G83" i="8" s="1"/>
  <c r="P82" i="5"/>
  <c r="R82" i="5" s="1"/>
  <c r="F82" i="8" s="1"/>
  <c r="O82" i="5"/>
  <c r="E82" i="8"/>
  <c r="G82" i="8" s="1"/>
  <c r="E81" i="8"/>
  <c r="G81" i="8" s="1"/>
  <c r="E77" i="8"/>
  <c r="G77" i="8" s="1"/>
  <c r="P76" i="5"/>
  <c r="R76" i="5" s="1"/>
  <c r="F76" i="8" s="1"/>
  <c r="O76" i="5"/>
  <c r="E76" i="8"/>
  <c r="G76" i="8" s="1"/>
  <c r="P75" i="5"/>
  <c r="R75" i="5" s="1"/>
  <c r="F75" i="8" s="1"/>
  <c r="O75" i="5"/>
  <c r="E75" i="8"/>
  <c r="G75" i="8" s="1"/>
  <c r="P74" i="5"/>
  <c r="R74" i="5" s="1"/>
  <c r="F74" i="8" s="1"/>
  <c r="O74" i="5"/>
  <c r="E74" i="8"/>
  <c r="G74" i="8" s="1"/>
  <c r="E73" i="8"/>
  <c r="G73" i="8" s="1"/>
  <c r="O70" i="5"/>
  <c r="E69" i="8"/>
  <c r="G69" i="8" s="1"/>
  <c r="P68" i="5"/>
  <c r="R68" i="5" s="1"/>
  <c r="F68" i="8" s="1"/>
  <c r="O68" i="5"/>
  <c r="E68" i="8"/>
  <c r="G68" i="8" s="1"/>
  <c r="P67" i="5"/>
  <c r="R67" i="5" s="1"/>
  <c r="F67" i="8" s="1"/>
  <c r="O67" i="5"/>
  <c r="E67" i="8"/>
  <c r="G67" i="8" s="1"/>
  <c r="P66" i="5"/>
  <c r="R66" i="5" s="1"/>
  <c r="F66" i="8" s="1"/>
  <c r="O66" i="5"/>
  <c r="E66" i="8"/>
  <c r="G66" i="8" s="1"/>
  <c r="E65" i="8"/>
  <c r="G65" i="8" s="1"/>
  <c r="O62" i="5"/>
  <c r="P61" i="5"/>
  <c r="R61" i="5" s="1"/>
  <c r="F61" i="8" s="1"/>
  <c r="E61" i="8"/>
  <c r="G61" i="8" s="1"/>
  <c r="P60" i="5"/>
  <c r="R60" i="5" s="1"/>
  <c r="F60" i="8" s="1"/>
  <c r="O60" i="5"/>
  <c r="E60" i="8"/>
  <c r="G60" i="8" s="1"/>
  <c r="P59" i="5"/>
  <c r="R59" i="5" s="1"/>
  <c r="F59" i="8" s="1"/>
  <c r="E59" i="8"/>
  <c r="G59" i="8" s="1"/>
  <c r="P58" i="5"/>
  <c r="R58" i="5" s="1"/>
  <c r="F58" i="8" s="1"/>
  <c r="O58" i="5"/>
  <c r="E58" i="8"/>
  <c r="G58" i="8" s="1"/>
  <c r="E57" i="8"/>
  <c r="G57" i="8" s="1"/>
  <c r="E56" i="8"/>
  <c r="G56" i="8" s="1"/>
  <c r="E54" i="8"/>
  <c r="G54" i="8" s="1"/>
  <c r="O53" i="5"/>
  <c r="E53" i="8"/>
  <c r="G53" i="8" s="1"/>
  <c r="P52" i="5"/>
  <c r="R52" i="5" s="1"/>
  <c r="F52" i="8" s="1"/>
  <c r="O52" i="5"/>
  <c r="E52" i="8"/>
  <c r="G52" i="8" s="1"/>
  <c r="O51" i="5"/>
  <c r="E51" i="8"/>
  <c r="G51" i="8" s="1"/>
  <c r="P50" i="5"/>
  <c r="R50" i="5" s="1"/>
  <c r="F50" i="8" s="1"/>
  <c r="O50" i="5"/>
  <c r="E50" i="8"/>
  <c r="G50" i="8" s="1"/>
  <c r="O48" i="5"/>
  <c r="E48" i="8"/>
  <c r="G48" i="8" s="1"/>
  <c r="E46" i="8"/>
  <c r="G46" i="8" s="1"/>
  <c r="E45" i="8"/>
  <c r="G45" i="8" s="1"/>
  <c r="P44" i="5"/>
  <c r="R44" i="5" s="1"/>
  <c r="F44" i="8" s="1"/>
  <c r="O44" i="5"/>
  <c r="E44" i="8"/>
  <c r="G44" i="8" s="1"/>
  <c r="P43" i="5"/>
  <c r="R43" i="5" s="1"/>
  <c r="F43" i="8" s="1"/>
  <c r="O43" i="5"/>
  <c r="E43" i="8"/>
  <c r="G43" i="8" s="1"/>
  <c r="P42" i="5"/>
  <c r="R42" i="5" s="1"/>
  <c r="F42" i="8" s="1"/>
  <c r="O42" i="5"/>
  <c r="E42" i="8"/>
  <c r="G42" i="8" s="1"/>
  <c r="P40" i="5"/>
  <c r="R40" i="5" s="1"/>
  <c r="F40" i="8" s="1"/>
  <c r="O40" i="5"/>
  <c r="E40" i="8"/>
  <c r="G40" i="8" s="1"/>
  <c r="P38" i="5"/>
  <c r="R38" i="5" s="1"/>
  <c r="F38" i="8" s="1"/>
  <c r="O38" i="5"/>
  <c r="E38" i="8"/>
  <c r="G38" i="8" s="1"/>
  <c r="E37" i="8"/>
  <c r="G37" i="8" s="1"/>
  <c r="P36" i="5"/>
  <c r="R36" i="5" s="1"/>
  <c r="F36" i="8" s="1"/>
  <c r="O36" i="5"/>
  <c r="E36" i="8"/>
  <c r="G36" i="8" s="1"/>
  <c r="O35" i="5"/>
  <c r="E35" i="8"/>
  <c r="G35" i="8" s="1"/>
  <c r="P34" i="5"/>
  <c r="R34" i="5" s="1"/>
  <c r="F34" i="8" s="1"/>
  <c r="O34" i="5"/>
  <c r="E34" i="8"/>
  <c r="G34" i="8" s="1"/>
  <c r="O32" i="5"/>
  <c r="E32" i="8"/>
  <c r="G32" i="8" s="1"/>
  <c r="O31" i="5"/>
  <c r="E30" i="8"/>
  <c r="G30" i="8" s="1"/>
  <c r="O29" i="5"/>
  <c r="E29" i="8"/>
  <c r="G29" i="8" s="1"/>
  <c r="P28" i="5"/>
  <c r="R28" i="5" s="1"/>
  <c r="F28" i="8" s="1"/>
  <c r="O28" i="5"/>
  <c r="E28" i="8"/>
  <c r="G28" i="8" s="1"/>
  <c r="P27" i="5"/>
  <c r="R27" i="5" s="1"/>
  <c r="F27" i="8" s="1"/>
  <c r="E27" i="8"/>
  <c r="G27" i="8" s="1"/>
  <c r="P26" i="5"/>
  <c r="R26" i="5" s="1"/>
  <c r="F26" i="8" s="1"/>
  <c r="O26" i="5"/>
  <c r="E26" i="8"/>
  <c r="G26" i="8" s="1"/>
  <c r="P24" i="5"/>
  <c r="R24" i="5" s="1"/>
  <c r="F24" i="8" s="1"/>
  <c r="E24" i="8"/>
  <c r="G24" i="8" s="1"/>
  <c r="O23" i="5"/>
  <c r="P22" i="5"/>
  <c r="R22" i="5" s="1"/>
  <c r="F22" i="8" s="1"/>
  <c r="E22" i="8"/>
  <c r="G22" i="8" s="1"/>
  <c r="P21" i="5"/>
  <c r="R21" i="5" s="1"/>
  <c r="F21" i="8" s="1"/>
  <c r="E21" i="8"/>
  <c r="G21" i="8" s="1"/>
  <c r="P20" i="5"/>
  <c r="R20" i="5" s="1"/>
  <c r="F20" i="8" s="1"/>
  <c r="O20" i="5"/>
  <c r="E20" i="8"/>
  <c r="G20" i="8" s="1"/>
  <c r="P19" i="5"/>
  <c r="R19" i="5" s="1"/>
  <c r="F19" i="8" s="1"/>
  <c r="E19" i="8"/>
  <c r="G19" i="8" s="1"/>
  <c r="P18" i="5"/>
  <c r="R18" i="5" s="1"/>
  <c r="F18" i="8" s="1"/>
  <c r="O18" i="5"/>
  <c r="E18" i="8"/>
  <c r="G18" i="8" s="1"/>
  <c r="P16" i="5"/>
  <c r="R16" i="5" s="1"/>
  <c r="F16" i="8" s="1"/>
  <c r="E16" i="8"/>
  <c r="G16" i="8" s="1"/>
  <c r="O14" i="5"/>
  <c r="E14" i="8"/>
  <c r="G14" i="8" s="1"/>
  <c r="G11" i="8" l="1"/>
  <c r="G12" i="8"/>
  <c r="G8" i="8"/>
  <c r="G4" i="8"/>
  <c r="E13" i="8"/>
  <c r="G13" i="8" s="1"/>
  <c r="O12" i="5"/>
  <c r="P12" i="5" s="1"/>
  <c r="R12" i="5" s="1"/>
  <c r="F12" i="8" s="1"/>
  <c r="E10" i="8"/>
  <c r="G10" i="8" s="1"/>
  <c r="P10" i="5"/>
  <c r="R10" i="5" s="1"/>
  <c r="F10" i="8" s="1"/>
  <c r="E6" i="8"/>
  <c r="G6" i="8" s="1"/>
  <c r="O6" i="5"/>
  <c r="P6" i="5" s="1"/>
  <c r="R6" i="5" s="1"/>
  <c r="F6" i="8" s="1"/>
  <c r="O4" i="5"/>
  <c r="P4" i="5" s="1"/>
  <c r="R4" i="5" s="1"/>
  <c r="F4" i="8" s="1"/>
  <c r="B6" i="7"/>
  <c r="P14" i="5"/>
  <c r="R14" i="5" s="1"/>
  <c r="F14" i="8" s="1"/>
  <c r="O56" i="5"/>
  <c r="O69" i="5"/>
  <c r="E79" i="8"/>
  <c r="G79" i="8" s="1"/>
  <c r="P79" i="5"/>
  <c r="R79" i="5" s="1"/>
  <c r="F79" i="8" s="1"/>
  <c r="O79" i="5"/>
  <c r="E41" i="8"/>
  <c r="G41" i="8" s="1"/>
  <c r="P41" i="5"/>
  <c r="R41" i="5" s="1"/>
  <c r="F41" i="8" s="1"/>
  <c r="O41" i="5"/>
  <c r="E47" i="8"/>
  <c r="G47" i="8" s="1"/>
  <c r="P47" i="5"/>
  <c r="R47" i="5" s="1"/>
  <c r="F47" i="8" s="1"/>
  <c r="O47" i="5"/>
  <c r="P56" i="5"/>
  <c r="R56" i="5" s="1"/>
  <c r="F56" i="8" s="1"/>
  <c r="P69" i="5"/>
  <c r="R69" i="5" s="1"/>
  <c r="F69" i="8" s="1"/>
  <c r="P102" i="5"/>
  <c r="R102" i="5" s="1"/>
  <c r="F102" i="8" s="1"/>
  <c r="E102" i="8"/>
  <c r="G102" i="8" s="1"/>
  <c r="E9" i="8"/>
  <c r="G9" i="8" s="1"/>
  <c r="O9" i="5"/>
  <c r="P9" i="5" s="1"/>
  <c r="R9" i="5" s="1"/>
  <c r="F9" i="8" s="1"/>
  <c r="P29" i="5"/>
  <c r="R29" i="5" s="1"/>
  <c r="F29" i="8" s="1"/>
  <c r="P32" i="5"/>
  <c r="R32" i="5" s="1"/>
  <c r="F32" i="8" s="1"/>
  <c r="P35" i="5"/>
  <c r="R35" i="5" s="1"/>
  <c r="F35" i="8" s="1"/>
  <c r="P53" i="5"/>
  <c r="R53" i="5" s="1"/>
  <c r="F53" i="8" s="1"/>
  <c r="E63" i="8"/>
  <c r="G63" i="8" s="1"/>
  <c r="P63" i="5"/>
  <c r="R63" i="5" s="1"/>
  <c r="F63" i="8" s="1"/>
  <c r="O63" i="5"/>
  <c r="E96" i="8"/>
  <c r="G96" i="8" s="1"/>
  <c r="P96" i="5"/>
  <c r="R96" i="5" s="1"/>
  <c r="F96" i="8" s="1"/>
  <c r="O102" i="5"/>
  <c r="E15" i="8"/>
  <c r="G15" i="8" s="1"/>
  <c r="P15" i="5"/>
  <c r="R15" i="5" s="1"/>
  <c r="F15" i="8" s="1"/>
  <c r="P86" i="5"/>
  <c r="R86" i="5" s="1"/>
  <c r="F86" i="8" s="1"/>
  <c r="E86" i="8"/>
  <c r="G86" i="8" s="1"/>
  <c r="O96" i="5"/>
  <c r="O15" i="5"/>
  <c r="E80" i="8"/>
  <c r="G80" i="8" s="1"/>
  <c r="P80" i="5"/>
  <c r="R80" i="5" s="1"/>
  <c r="F80" i="8" s="1"/>
  <c r="O21" i="5"/>
  <c r="O24" i="5"/>
  <c r="O27" i="5"/>
  <c r="P70" i="5"/>
  <c r="R70" i="5" s="1"/>
  <c r="F70" i="8" s="1"/>
  <c r="E70" i="8"/>
  <c r="G70" i="8" s="1"/>
  <c r="O80" i="5"/>
  <c r="O93" i="5"/>
  <c r="E103" i="8"/>
  <c r="G103" i="8" s="1"/>
  <c r="P103" i="5"/>
  <c r="R103" i="5" s="1"/>
  <c r="F103" i="8" s="1"/>
  <c r="O103" i="5"/>
  <c r="E23" i="8"/>
  <c r="G23" i="8" s="1"/>
  <c r="P23" i="5"/>
  <c r="R23" i="5" s="1"/>
  <c r="F23" i="8" s="1"/>
  <c r="E33" i="8"/>
  <c r="G33" i="8" s="1"/>
  <c r="P33" i="5"/>
  <c r="R33" i="5" s="1"/>
  <c r="F33" i="8" s="1"/>
  <c r="O33" i="5"/>
  <c r="E64" i="8"/>
  <c r="G64" i="8" s="1"/>
  <c r="P64" i="5"/>
  <c r="R64" i="5" s="1"/>
  <c r="F64" i="8" s="1"/>
  <c r="P93" i="5"/>
  <c r="R93" i="5" s="1"/>
  <c r="F93" i="8" s="1"/>
  <c r="E7" i="8"/>
  <c r="G7" i="8" s="1"/>
  <c r="P7" i="5"/>
  <c r="R7" i="5" s="1"/>
  <c r="F7" i="8" s="1"/>
  <c r="O30" i="5"/>
  <c r="E39" i="8"/>
  <c r="G39" i="8" s="1"/>
  <c r="P39" i="5"/>
  <c r="R39" i="5" s="1"/>
  <c r="F39" i="8" s="1"/>
  <c r="O39" i="5"/>
  <c r="O45" i="5"/>
  <c r="P48" i="5"/>
  <c r="R48" i="5" s="1"/>
  <c r="F48" i="8" s="1"/>
  <c r="P51" i="5"/>
  <c r="R51" i="5" s="1"/>
  <c r="F51" i="8" s="1"/>
  <c r="O54" i="5"/>
  <c r="O64" i="5"/>
  <c r="O77" i="5"/>
  <c r="E87" i="8"/>
  <c r="G87" i="8" s="1"/>
  <c r="P87" i="5"/>
  <c r="R87" i="5" s="1"/>
  <c r="F87" i="8" s="1"/>
  <c r="O87" i="5"/>
  <c r="P30" i="5"/>
  <c r="R30" i="5" s="1"/>
  <c r="F30" i="8" s="1"/>
  <c r="P45" i="5"/>
  <c r="R45" i="5" s="1"/>
  <c r="F45" i="8" s="1"/>
  <c r="P54" i="5"/>
  <c r="R54" i="5" s="1"/>
  <c r="F54" i="8" s="1"/>
  <c r="P77" i="5"/>
  <c r="R77" i="5" s="1"/>
  <c r="F77" i="8" s="1"/>
  <c r="B5" i="7"/>
  <c r="O13" i="5"/>
  <c r="P13" i="5" s="1"/>
  <c r="R13" i="5" s="1"/>
  <c r="F13" i="8" s="1"/>
  <c r="O16" i="5"/>
  <c r="O19" i="5"/>
  <c r="O61" i="5"/>
  <c r="E71" i="8"/>
  <c r="G71" i="8" s="1"/>
  <c r="P71" i="5"/>
  <c r="R71" i="5" s="1"/>
  <c r="F71" i="8" s="1"/>
  <c r="O71" i="5"/>
  <c r="E25" i="8"/>
  <c r="G25" i="8" s="1"/>
  <c r="P25" i="5"/>
  <c r="R25" i="5" s="1"/>
  <c r="F25" i="8" s="1"/>
  <c r="O25" i="5"/>
  <c r="P94" i="5"/>
  <c r="R94" i="5" s="1"/>
  <c r="F94" i="8" s="1"/>
  <c r="E94" i="8"/>
  <c r="G94" i="8" s="1"/>
  <c r="O22" i="5"/>
  <c r="E31" i="8"/>
  <c r="G31" i="8" s="1"/>
  <c r="P31" i="5"/>
  <c r="R31" i="5" s="1"/>
  <c r="F31" i="8" s="1"/>
  <c r="E49" i="8"/>
  <c r="G49" i="8" s="1"/>
  <c r="P49" i="5"/>
  <c r="R49" i="5" s="1"/>
  <c r="F49" i="8" s="1"/>
  <c r="O49" i="5"/>
  <c r="E55" i="8"/>
  <c r="G55" i="8" s="1"/>
  <c r="P55" i="5"/>
  <c r="R55" i="5" s="1"/>
  <c r="F55" i="8" s="1"/>
  <c r="O55" i="5"/>
  <c r="E88" i="8"/>
  <c r="G88" i="8" s="1"/>
  <c r="P88" i="5"/>
  <c r="R88" i="5" s="1"/>
  <c r="F88" i="8" s="1"/>
  <c r="O94" i="5"/>
  <c r="D22" i="7"/>
  <c r="D25" i="7"/>
  <c r="D28" i="7"/>
  <c r="E5" i="8"/>
  <c r="G5" i="8" s="1"/>
  <c r="D21" i="7"/>
  <c r="D24" i="7"/>
  <c r="D27" i="7"/>
  <c r="D20" i="7"/>
  <c r="D23" i="7"/>
  <c r="D26" i="7"/>
  <c r="D19" i="7"/>
  <c r="P78" i="5"/>
  <c r="R78" i="5" s="1"/>
  <c r="F78" i="8" s="1"/>
  <c r="E78" i="8"/>
  <c r="G78" i="8" s="1"/>
  <c r="O5" i="5"/>
  <c r="P5" i="5" s="1"/>
  <c r="R5" i="5" s="1"/>
  <c r="F5" i="8" s="1"/>
  <c r="O8" i="5"/>
  <c r="P8" i="5" s="1"/>
  <c r="R8" i="5" s="1"/>
  <c r="F8" i="8" s="1"/>
  <c r="O11" i="5"/>
  <c r="P11" i="5" s="1"/>
  <c r="R11" i="5" s="1"/>
  <c r="F11" i="8" s="1"/>
  <c r="O37" i="5"/>
  <c r="O46" i="5"/>
  <c r="E72" i="8"/>
  <c r="G72" i="8" s="1"/>
  <c r="P72" i="5"/>
  <c r="R72" i="5" s="1"/>
  <c r="F72" i="8" s="1"/>
  <c r="O78" i="5"/>
  <c r="E17" i="8"/>
  <c r="G17" i="8" s="1"/>
  <c r="P17" i="5"/>
  <c r="R17" i="5" s="1"/>
  <c r="F17" i="8" s="1"/>
  <c r="O17" i="5"/>
  <c r="P37" i="5"/>
  <c r="R37" i="5" s="1"/>
  <c r="F37" i="8" s="1"/>
  <c r="P46" i="5"/>
  <c r="R46" i="5" s="1"/>
  <c r="F46" i="8" s="1"/>
  <c r="P62" i="5"/>
  <c r="R62" i="5" s="1"/>
  <c r="F62" i="8" s="1"/>
  <c r="E62" i="8"/>
  <c r="G62" i="8" s="1"/>
  <c r="O72" i="5"/>
  <c r="O85" i="5"/>
  <c r="E95" i="8"/>
  <c r="G95" i="8" s="1"/>
  <c r="P95" i="5"/>
  <c r="R95" i="5" s="1"/>
  <c r="F95" i="8" s="1"/>
  <c r="O95" i="5"/>
  <c r="O59" i="5"/>
  <c r="O57" i="5"/>
  <c r="O65" i="5"/>
  <c r="O73" i="5"/>
  <c r="O81" i="5"/>
  <c r="O89" i="5"/>
  <c r="O97" i="5"/>
  <c r="P57" i="5"/>
  <c r="R57" i="5" s="1"/>
  <c r="F57" i="8" s="1"/>
  <c r="P65" i="5"/>
  <c r="R65" i="5" s="1"/>
  <c r="F65" i="8" s="1"/>
  <c r="P73" i="5"/>
  <c r="R73" i="5" s="1"/>
  <c r="F73" i="8" s="1"/>
  <c r="P81" i="5"/>
  <c r="R81" i="5" s="1"/>
  <c r="F81" i="8" s="1"/>
  <c r="P89" i="5"/>
  <c r="R89" i="5" s="1"/>
  <c r="F89" i="8" s="1"/>
  <c r="P97" i="5"/>
  <c r="R97" i="5" s="1"/>
  <c r="F97" i="8" s="1"/>
  <c r="F28" i="7" l="1"/>
  <c r="E28" i="7"/>
  <c r="C28" i="7"/>
  <c r="B28" i="7"/>
  <c r="E25" i="7"/>
  <c r="B25" i="7"/>
  <c r="F25" i="7"/>
  <c r="C25" i="7"/>
  <c r="F22" i="7"/>
  <c r="E22" i="7"/>
  <c r="C22" i="7"/>
  <c r="B22" i="7"/>
  <c r="B7" i="7"/>
  <c r="B12" i="7"/>
  <c r="F19" i="7"/>
  <c r="E19" i="7"/>
  <c r="C19" i="7"/>
  <c r="B19" i="7"/>
  <c r="B14" i="7"/>
  <c r="F26" i="7"/>
  <c r="E26" i="7"/>
  <c r="C26" i="7"/>
  <c r="B26" i="7"/>
  <c r="B8" i="7"/>
  <c r="F23" i="7"/>
  <c r="E23" i="7"/>
  <c r="B23" i="7"/>
  <c r="C23" i="7"/>
  <c r="B11" i="7"/>
  <c r="F20" i="7"/>
  <c r="E20" i="7"/>
  <c r="C20" i="7"/>
  <c r="B20" i="7"/>
  <c r="F27" i="7"/>
  <c r="E27" i="7"/>
  <c r="C27" i="7"/>
  <c r="B27" i="7"/>
  <c r="B13" i="7"/>
  <c r="F24" i="7"/>
  <c r="E24" i="7"/>
  <c r="B24" i="7"/>
  <c r="C24" i="7"/>
  <c r="B15" i="7"/>
  <c r="F21" i="7"/>
  <c r="E21" i="7"/>
  <c r="C21" i="7"/>
  <c r="B21" i="7"/>
  <c r="B16" i="7"/>
  <c r="C15" i="7" l="1"/>
  <c r="C13" i="7"/>
  <c r="C11" i="7"/>
  <c r="C16" i="7"/>
  <c r="C12" i="7"/>
  <c r="C14" i="7"/>
</calcChain>
</file>

<file path=xl/sharedStrings.xml><?xml version="1.0" encoding="utf-8"?>
<sst xmlns="http://schemas.openxmlformats.org/spreadsheetml/2006/main" count="1094" uniqueCount="589">
  <si>
    <t>Методика работы с Excel-шаблоном классификации компаний по уровням конкуренции</t>
  </si>
  <si>
    <t>Блок</t>
  </si>
  <si>
    <t>Что делает аналитик</t>
  </si>
  <si>
    <t>Где заполнять</t>
  </si>
  <si>
    <t>Результат</t>
  </si>
  <si>
    <t>Контроль качества</t>
  </si>
  <si>
    <t>Тип ошибки</t>
  </si>
  <si>
    <t>Как исправлять</t>
  </si>
  <si>
    <t>Итог</t>
  </si>
  <si>
    <t>1. Формирование списка</t>
  </si>
  <si>
    <t>Собрать первичный перечень компаний из поиска, отраслевых обзоров, каталогов, рекламы, рекомендаций и найденных на сайтах ссылок.</t>
  </si>
  <si>
    <t>01_Компании</t>
  </si>
  <si>
    <t>Единый реестр компаний</t>
  </si>
  <si>
    <t>У каждой компании есть сайт и краткое описание товара.</t>
  </si>
  <si>
    <t>В список попали нерелевантные компании без объяснения.</t>
  </si>
  <si>
    <t>Оставлять только с пометкой «объект наблюдения» или исключать.</t>
  </si>
  <si>
    <t>Сформирован массив для проверки.</t>
  </si>
  <si>
    <t>2. Сбор доказательств</t>
  </si>
  <si>
    <t>По каждой компании фиксировать факты с сайта: продукт, аудитория, цена, сценарии, каналы, доверие, география.</t>
  </si>
  <si>
    <t>02_Доказательства</t>
  </si>
  <si>
    <t>Набор проверяемых сигналов</t>
  </si>
  <si>
    <t>Каждый вывод имеет URL и наблюдаемый факт.</t>
  </si>
  <si>
    <t>Аналитик записывает мнение без факта.</t>
  </si>
  <si>
    <t>Разделять факт и вывод; добавлять ссылку.</t>
  </si>
  <si>
    <t>Создана доказательная база.</t>
  </si>
  <si>
    <t>3. Оценка по критериям</t>
  </si>
  <si>
    <t>Присвоить баллы 0–5 по каждому критерию согласно листу 03.</t>
  </si>
  <si>
    <t>04_Оценка</t>
  </si>
  <si>
    <t>Взвешенный балл близости</t>
  </si>
  <si>
    <t>Оценка не ставится без доказательств.</t>
  </si>
  <si>
    <t>Завышение баллов из-за общего отраслевого сходства.</t>
  </si>
  <si>
    <t>Проверять заменяемость товара и потребительскую задачу.</t>
  </si>
  <si>
    <t>Получена расчетная классификация.</t>
  </si>
  <si>
    <t>4. Проверка ограничителей</t>
  </si>
  <si>
    <t>Проверить, не мешает ли низкое совпадение задачи или заменяемости присвоить прямую конкуренцию.</t>
  </si>
  <si>
    <t>Автоматическое ограничение уровня</t>
  </si>
  <si>
    <t>Прямой конкурент невозможен без совпадения задачи и заменяемости.</t>
  </si>
  <si>
    <t>Компания названа прямым конкурентом только из-за известности.</t>
  </si>
  <si>
    <t>Снизить уровень до альтернативы или заменителя.</t>
  </si>
  <si>
    <t>Классификация становится строгой.</t>
  </si>
  <si>
    <t>5. Экспертная корректировка</t>
  </si>
  <si>
    <t>При необходимости изменить уровень, но только с письменным обоснованием.</t>
  </si>
  <si>
    <t>Итоговый уровень</t>
  </si>
  <si>
    <t>У корректировки есть причина и ссылка.</t>
  </si>
  <si>
    <t>Корректировка без объяснения.</t>
  </si>
  <si>
    <t>Заполнить обоснование и ключевые ссылки.</t>
  </si>
  <si>
    <t>Получена финальная классификация.</t>
  </si>
  <si>
    <t>6. Сводный анализ</t>
  </si>
  <si>
    <t>Оценить распределение компаний по уровням, выделить прямых конкурентов и ближайшие альтернативы.</t>
  </si>
  <si>
    <t>06_Сводка, 07_Карта</t>
  </si>
  <si>
    <t>Карта конкурентного окружения</t>
  </si>
  <si>
    <t>Прямые конкуренты отделены от заменителей и смежных компаний.</t>
  </si>
  <si>
    <t>Все компании смешаны в одну группу.</t>
  </si>
  <si>
    <t>Использовать уровни и зоны карты отдельно.</t>
  </si>
  <si>
    <t>Сформирован список для последующего анализа сайтов, товара и бизнес-модели.</t>
  </si>
  <si>
    <t>Правило</t>
  </si>
  <si>
    <t>Содержание</t>
  </si>
  <si>
    <t>Факт важнее предположения</t>
  </si>
  <si>
    <t>Уровень конкуренции нельзя назначать только по общему впечатлению от компании. Минимальное основание — сайт, страница товара, тарифы, описание сегмента или иной публичный сигнал.</t>
  </si>
  <si>
    <t>Прямой конкурент — это не просто похожая компания</t>
  </si>
  <si>
    <t>Прямым конкурентом считается только тот, кто решает ту же задачу для близкой аудитории с функционально заменяемым цифровым товаром.</t>
  </si>
  <si>
    <t>Заменитель не равен прямому конкуренту</t>
  </si>
  <si>
    <t>Если конечная потребность похожа, но способ решения другой, компания относится к косвенной конкуренции или заменителям.</t>
  </si>
  <si>
    <t>Потенциальный конкурент требует сигнала</t>
  </si>
  <si>
    <t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объявления.</t>
  </si>
  <si>
    <t>Экспертная корректировка допустима</t>
  </si>
  <si>
    <t>Она нужна для спорных случаев, но всегда должна сопровождаться обоснованием и ссылками на доказательства.</t>
  </si>
  <si>
    <t>Реестр компаний для классификации по уровням конкуренции</t>
  </si>
  <si>
    <t>ID</t>
  </si>
  <si>
    <t>Компания</t>
  </si>
  <si>
    <t>Сайт</t>
  </si>
  <si>
    <t>Рынок / страна</t>
  </si>
  <si>
    <t>Тип компании</t>
  </si>
  <si>
    <t>Основной цифровой товар</t>
  </si>
  <si>
    <t>Целевой сегмент</t>
  </si>
  <si>
    <t>Предварительная гипотеза</t>
  </si>
  <si>
    <t>Приоритет</t>
  </si>
  <si>
    <t>Ответственный</t>
  </si>
  <si>
    <t>Статус</t>
  </si>
  <si>
    <t>Дата обновления</t>
  </si>
  <si>
    <t>Комментарий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</si>
  <si>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</si>
  <si>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</si>
  <si>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</si>
  <si>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</si>
  <si>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</si>
  <si>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</si>
  <si>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</si>
  <si>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</si>
  <si>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</si>
  <si>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</si>
  <si>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</si>
  <si>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</si>
  <si>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</si>
  <si>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</si>
  <si>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</si>
  <si>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</si>
  <si>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</si>
  <si>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</si>
  <si>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</si>
  <si>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</si>
  <si>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</si>
  <si>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</si>
  <si>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</si>
  <si>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</si>
  <si>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</si>
  <si>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</si>
  <si>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</si>
  <si>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</si>
  <si>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</si>
  <si>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</si>
  <si>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</si>
  <si>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</si>
  <si>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</si>
  <si>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</si>
  <si>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</si>
  <si>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</si>
  <si>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</si>
  <si>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</si>
  <si>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</si>
  <si>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</si>
  <si>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</si>
  <si>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</si>
  <si>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</si>
  <si>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</si>
  <si>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</si>
  <si>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</si>
  <si>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</si>
  <si>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</si>
  <si>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</si>
  <si>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</si>
  <si>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</si>
  <si>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</si>
  <si>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</si>
  <si>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</si>
  <si>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</si>
  <si>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</si>
  <si>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</si>
  <si>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</si>
  <si>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</si>
  <si>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</si>
  <si>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</si>
  <si>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</si>
  <si>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</si>
  <si>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</si>
  <si>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</si>
  <si>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</si>
  <si>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</si>
  <si>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</si>
  <si>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</si>
  <si>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</si>
  <si>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</si>
  <si>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</si>
  <si>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</si>
  <si>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</si>
  <si>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</si>
  <si>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</si>
  <si>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</si>
  <si>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</si>
  <si>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</si>
  <si>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</si>
  <si>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</si>
  <si>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</si>
  <si>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</si>
  <si>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</si>
  <si>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</si>
  <si>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</si>
  <si>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</si>
  <si>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</si>
  <si>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</si>
  <si>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</si>
  <si>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</si>
  <si>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</si>
  <si>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</si>
  <si>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</si>
  <si>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</si>
  <si>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</si>
  <si>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</si>
  <si>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</si>
  <si>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</si>
  <si>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</si>
  <si>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Доказательства и сигналы с сайтов конкурентов</t>
  </si>
  <si>
    <t>ID компании</t>
  </si>
  <si>
    <t>Раздел сайта</t>
  </si>
  <si>
    <t>URL</t>
  </si>
  <si>
    <t>Наблюдаемый факт</t>
  </si>
  <si>
    <t>Тип сигнала</t>
  </si>
  <si>
    <t>Сила сигнала 1–5</t>
  </si>
  <si>
    <t>Дата фиксации</t>
  </si>
  <si>
    <t>Вывод для классификации</t>
  </si>
  <si>
    <t>Достоверность 1–5</t>
  </si>
  <si>
    <t>Скриншот / архив</t>
  </si>
  <si>
    <t>Критерии оценки уровня конкуренции</t>
  </si>
  <si>
    <t>Код</t>
  </si>
  <si>
    <t>Критерий</t>
  </si>
  <si>
    <t>Что проверяется по сайту</t>
  </si>
  <si>
    <t>Индикаторы</t>
  </si>
  <si>
    <t>Вес</t>
  </si>
  <si>
    <t>0 баллов</t>
  </si>
  <si>
    <t>1 балл</t>
  </si>
  <si>
    <t>3 балла</t>
  </si>
  <si>
    <t>5 баллов</t>
  </si>
  <si>
    <t>Обязателен для прямого конкурента</t>
  </si>
  <si>
    <t>C1</t>
  </si>
  <si>
    <t>Потребительская задача</t>
  </si>
  <si>
    <t>Какую проблему клиента компания обещает решить.</t>
  </si>
  <si>
    <t>Формулировки на главной странице, страницы продукта, выгоды, результаты, случаи применения.</t>
  </si>
  <si>
    <t>Задача не совпадает</t>
  </si>
  <si>
    <t>Есть общее отраслевое сходство</t>
  </si>
  <si>
    <t>Задача в значительной степени совпадает</t>
  </si>
  <si>
    <t>Та же задача и тот же ожидаемый результат</t>
  </si>
  <si>
    <t>Да</t>
  </si>
  <si>
    <t>C2</t>
  </si>
  <si>
    <t>Целевая аудитория</t>
  </si>
  <si>
    <t>Для кого предназначен товар.</t>
  </si>
  <si>
    <t>Сегменты, отрасли, роли пользователей, размер клиента, B2B/B2C/B2G.</t>
  </si>
  <si>
    <t>Иная аудитория</t>
  </si>
  <si>
    <t>Частичное пересечение</t>
  </si>
  <si>
    <t>Существенное пересечение</t>
  </si>
  <si>
    <t>Та же целевая аудитория</t>
  </si>
  <si>
    <t>C3</t>
  </si>
  <si>
    <t>Функциональная заменяемость товара</t>
  </si>
  <si>
    <t>Может ли товар заменить анализируемое решение.</t>
  </si>
  <si>
    <t>Функции, модули, демонстрации, страницы возможностей, интеграции.</t>
  </si>
  <si>
    <t>Не заменяет</t>
  </si>
  <si>
    <t>Заменяет отдельный участок</t>
  </si>
  <si>
    <t>Заменяет значимую часть задачи</t>
  </si>
  <si>
    <t>Может полностью заменить товар</t>
  </si>
  <si>
    <t>C4</t>
  </si>
  <si>
    <t>Сценарий использования</t>
  </si>
  <si>
    <t>В каком процессе и в какой ситуации используется товар.</t>
  </si>
  <si>
    <t>Путь пользователя, описания внедрения, варианты использования, инструкции.</t>
  </si>
  <si>
    <t>Иной сценарий</t>
  </si>
  <si>
    <t>Слабое совпадение сценария</t>
  </si>
  <si>
    <t>Сценарии близки</t>
  </si>
  <si>
    <t>Сценарии практически одинаковы</t>
  </si>
  <si>
    <t>Нет</t>
  </si>
  <si>
    <t>C5</t>
  </si>
  <si>
    <t>Ценовой уровень и форма оплаты</t>
  </si>
  <si>
    <t>Сопоставима ли экономическая логика покупки.</t>
  </si>
  <si>
    <t>Тарифы, подписка, комиссия, пакет, бесплатный период, корпоративный расчет.</t>
  </si>
  <si>
    <t>Нет данных/иная экономика</t>
  </si>
  <si>
    <t>Частично сопоставимо</t>
  </si>
  <si>
    <t>Сопоставимый диапазон</t>
  </si>
  <si>
    <t>Почти тот же диапазон и форма оплаты</t>
  </si>
  <si>
    <t>C6</t>
  </si>
  <si>
    <t>Каналы продаж и привлечения</t>
  </si>
  <si>
    <t>Как клиент приходит к покупке и получает доступ.</t>
  </si>
  <si>
    <t>Сайт, приложение, маркетплейсы, партнеры, личные продажи, демонстрация, пробный доступ.</t>
  </si>
  <si>
    <t>Каналы не совпадают</t>
  </si>
  <si>
    <t>Есть один общий канал</t>
  </si>
  <si>
    <t>Несколько общих каналов</t>
  </si>
  <si>
    <t>Путь к покупке почти одинаков</t>
  </si>
  <si>
    <t>C7</t>
  </si>
  <si>
    <t>География, язык, регулирование</t>
  </si>
  <si>
    <t>Работает ли компания на том же рынке в сопоставимых условиях.</t>
  </si>
  <si>
    <t>Страны, языки, валюта, юридическая информация, требования отрасли.</t>
  </si>
  <si>
    <t>Иной рынок</t>
  </si>
  <si>
    <t>Потенциально релевантно</t>
  </si>
  <si>
    <t>Рынки частично совпадают</t>
  </si>
  <si>
    <t>Тот же рынок и условия</t>
  </si>
  <si>
    <t>C8</t>
  </si>
  <si>
    <t>Модель монетизации</t>
  </si>
  <si>
    <t>Как компания получает выручку.</t>
  </si>
  <si>
    <t>Тарифные планы, комиссия, freemium, лицензия, платные модули, реклама.</t>
  </si>
  <si>
    <t>Иная логика выручки</t>
  </si>
  <si>
    <t>Есть отдельные сходства</t>
  </si>
  <si>
    <t>Модель близка</t>
  </si>
  <si>
    <t>Модель практически совпадает</t>
  </si>
  <si>
    <t>C9</t>
  </si>
  <si>
    <t>Уровень зрелости и доверия</t>
  </si>
  <si>
    <t>Способна ли компания реально конкурировать за выбор клиента.</t>
  </si>
  <si>
    <t>Кейсы, клиенты, отзывы, сертификаты, партнеры, история, служба поддержки.</t>
  </si>
  <si>
    <t>Слабые признаки зрелости</t>
  </si>
  <si>
    <t>Единичные признаки</t>
  </si>
  <si>
    <t>Достаточные признаки надежности</t>
  </si>
  <si>
    <t>Сильная доказанная рыночная позиция</t>
  </si>
  <si>
    <t>C10</t>
  </si>
  <si>
    <t>Вероятность переключения клиента</t>
  </si>
  <si>
    <t>Насколько реалистично, что клиент заменит одно решение другим.</t>
  </si>
  <si>
    <t>Миграция, импорт данных, интеграции, поддержка перехода, сравнения, обещания простого старта.</t>
  </si>
  <si>
    <t>Переключение маловероятно</t>
  </si>
  <si>
    <t>Требует значительных усилий</t>
  </si>
  <si>
    <t>Переключение возможно</t>
  </si>
  <si>
    <t>Переключение явно поддерживается</t>
  </si>
  <si>
    <t>Примечание</t>
  </si>
  <si>
    <t>Вес можно изменять под отрасль. Итоговая оценка на листе 04 автоматически пересчитывается по измененным весам.</t>
  </si>
  <si>
    <t>Матрица оценки и автоматическая классификация уровня конкуренции</t>
  </si>
  <si>
    <t>C1 задача</t>
  </si>
  <si>
    <t>C2 аудитория</t>
  </si>
  <si>
    <t>C3 заменяемость</t>
  </si>
  <si>
    <t>C4 сценарий</t>
  </si>
  <si>
    <t>C5 цена</t>
  </si>
  <si>
    <t>C6 каналы</t>
  </si>
  <si>
    <t>C7 география</t>
  </si>
  <si>
    <t>C8 монетизация</t>
  </si>
  <si>
    <t>C9 зрелость</t>
  </si>
  <si>
    <t>C10 переключение</t>
  </si>
  <si>
    <t>Взвешенный балл</t>
  </si>
  <si>
    <t>Ограничитель</t>
  </si>
  <si>
    <t>Расчетный уровень</t>
  </si>
  <si>
    <t>Экспертная корректировка</t>
  </si>
  <si>
    <t>Статус решения</t>
  </si>
  <si>
    <t>Ключевое обоснование</t>
  </si>
  <si>
    <t>Ключевые ссылки</t>
  </si>
  <si>
    <t>Дата проверки</t>
  </si>
  <si>
    <t>Классификация компаний по уровням конкуренции</t>
  </si>
  <si>
    <t>Уровень</t>
  </si>
  <si>
    <t>Определение</t>
  </si>
  <si>
    <t>Ключевой критерий</t>
  </si>
  <si>
    <t>Порог по баллу</t>
  </si>
  <si>
    <t>Обязательные условия</t>
  </si>
  <si>
    <t>Типовые признаки на сайте</t>
  </si>
  <si>
    <t>Решение аналитика</t>
  </si>
  <si>
    <t>Прямой конкурент</t>
  </si>
  <si>
    <t>Компания удовлетворяет ту же потребительскую задачу для той же или близкой аудитории сопоставимым цифровым товаром.</t>
  </si>
  <si>
    <t>Высокая заменяемость товара и совпадение целевого сегмента.</t>
  </si>
  <si>
    <t>4,20–5,00</t>
  </si>
  <si>
    <t>Потребительская задача ≥ 3; функциональная заменяемость ≥ 3.</t>
  </si>
  <si>
    <t>Сходные тарифы, сценарии использования, обещания результата, демонстрации товара, одинаковые категории клиентов.</t>
  </si>
  <si>
    <t>Включить в постоянный конкурентный мониторинг.</t>
  </si>
  <si>
    <t>Близкий альтернативный конкурент</t>
  </si>
  <si>
    <t>Компания решает ту же или близкую задачу, но делает это через иной формат товара, канал, сегмент или модель оплаты.</t>
  </si>
  <si>
    <t>Клиент может рассматривать решение как практическую альтернативу.</t>
  </si>
  <si>
    <t>3,40–4,19</t>
  </si>
  <si>
    <t>Нет критического расхождения по потребительской задаче.</t>
  </si>
  <si>
    <t>Похожие выгоды, частично отличающаяся функциональность, иной формат доступа, другая тарифная логика.</t>
  </si>
  <si>
    <t>Сравнивать по ценностному предложению и причинам выбора.</t>
  </si>
  <si>
    <t>Косвенный конкурент / заменитель</t>
  </si>
  <si>
    <t>Компания закрывает ту же потребность и может заменить покупку, но товарная категория или способ решения заметно отличаются.</t>
  </si>
  <si>
    <t>Есть конкуренция за бюджет, внимание или способ выполнения задачи.</t>
  </si>
  <si>
    <t>2,50–3,39</t>
  </si>
  <si>
    <t>Достаточно доказательств заменяемости.</t>
  </si>
  <si>
    <t>Иные продукты, услуги или платформы, которые дают сходный конечный результат.</t>
  </si>
  <si>
    <t>Анализировать как угрозу замещения.</t>
  </si>
  <si>
    <t>Смежная или потенциальная конкуренция</t>
  </si>
  <si>
    <t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рынок.</t>
  </si>
  <si>
    <t>Вероятность входа в рынок или расширения товарной линейки.</t>
  </si>
  <si>
    <t>1,60–2,49</t>
  </si>
  <si>
    <t>Наличие хотя бы одного сильного сигнала пересечения.</t>
  </si>
  <si>
    <t>Смежные разделы сайта, близкие категории клиентов, партнерства, вакансии, дорожная карта, упоминания планов развития.</t>
  </si>
  <si>
    <t>Наблюдать периодически; не смешивать с прямыми конкурентами.</t>
  </si>
  <si>
    <t>Не конкурент / объект наблюдения</t>
  </si>
  <si>
    <t>Компания не показывает значимого пересечения по задаче, аудитории, товару и заменяемости.</t>
  </si>
  <si>
    <t>Недостаточная рыночная и товарная близость.</t>
  </si>
  <si>
    <t>0,00–1,59</t>
  </si>
  <si>
    <t>Нет значимых доказательств конкуренции.</t>
  </si>
  <si>
    <t>Общее сходство отрасли без совпадения задачи и товара.</t>
  </si>
  <si>
    <t>Исключить из основной матрицы, оставить только при методической необходимости.</t>
  </si>
  <si>
    <t>Недостаточно данных</t>
  </si>
  <si>
    <t>По сайту невозможно надежно установить уровень конкуренции.</t>
  </si>
  <si>
    <t>Недостаток фактов или противоречивые сигналы.</t>
  </si>
  <si>
    <t>не применяется</t>
  </si>
  <si>
    <t>Менее трех содержательных доказательств.</t>
  </si>
  <si>
    <t>Закрытые тарифы, неполные описания, отсутствие страниц товара, нет сегментации клиентов.</t>
  </si>
  <si>
    <t>Вернуться к анализу после сбора дополнительных источников.</t>
  </si>
  <si>
    <t>Сводка классификации компаний по уровням конкуренции</t>
  </si>
  <si>
    <t>Показатель</t>
  </si>
  <si>
    <t>Значение</t>
  </si>
  <si>
    <t>Всего компаний в реестре</t>
  </si>
  <si>
    <t>Компаний с заполненной оценкой</t>
  </si>
  <si>
    <t>Средний взвешенный балл</t>
  </si>
  <si>
    <t>Компаний с уровнем «Прямой конкурент»</t>
  </si>
  <si>
    <t>Компаний с уровнем «Близкий альтернативный конкурент»</t>
  </si>
  <si>
    <t>Уровень конкуренции</t>
  </si>
  <si>
    <t>Количество</t>
  </si>
  <si>
    <t>Доля</t>
  </si>
  <si>
    <t>Методическое действие</t>
  </si>
  <si>
    <t>Включить в основной бенчмарк и регулярный мониторинг</t>
  </si>
  <si>
    <t>Сравнивать по причинам выбора и формату ценности</t>
  </si>
  <si>
    <t>Оценивать угрозу замещения и конкуренцию за бюджет</t>
  </si>
  <si>
    <t>Наблюдать по сигналам расширения</t>
  </si>
  <si>
    <t>Исключить из основной матрицы</t>
  </si>
  <si>
    <t>Дособрать доказательства</t>
  </si>
  <si>
    <t>Топ компаний по близости к прямой конкуренции</t>
  </si>
  <si>
    <t>Бал</t>
  </si>
  <si>
    <t>Обоснование</t>
  </si>
  <si>
    <t>Карта конкурентной близости</t>
  </si>
  <si>
    <t>X: задача + заменяемость</t>
  </si>
  <si>
    <t>Y: аудитория + рынок</t>
  </si>
  <si>
    <t>Зона карты</t>
  </si>
  <si>
    <t>Доказательства</t>
  </si>
  <si>
    <t>Уровни конкуренции</t>
  </si>
  <si>
    <t>Статусы</t>
  </si>
  <si>
    <t>Приоритеты</t>
  </si>
  <si>
    <t>Типы сигналов с сайта</t>
  </si>
  <si>
    <t>Справочники для выпадающих списков</t>
  </si>
  <si>
    <t>Шкала оценки</t>
  </si>
  <si>
    <t>Интерпретация</t>
  </si>
  <si>
    <t>Не начато</t>
  </si>
  <si>
    <t>Высокий</t>
  </si>
  <si>
    <t>Балл</t>
  </si>
  <si>
    <t>Смысл</t>
  </si>
  <si>
    <t>В работе</t>
  </si>
  <si>
    <t>Средний</t>
  </si>
  <si>
    <t>нет признака / данных</t>
  </si>
  <si>
    <t>Проверено</t>
  </si>
  <si>
    <t>Низкий</t>
  </si>
  <si>
    <t>Цифровой товар</t>
  </si>
  <si>
    <t>слабое или косвенное совпадение</t>
  </si>
  <si>
    <t>Требует уточнения</t>
  </si>
  <si>
    <t>Функциональность</t>
  </si>
  <si>
    <t>частичное совпадение</t>
  </si>
  <si>
    <t>Исключено</t>
  </si>
  <si>
    <t>Цена и тарифы</t>
  </si>
  <si>
    <t>существенное совпадение</t>
  </si>
  <si>
    <t>Монетизация</t>
  </si>
  <si>
    <t>высокое совпадение</t>
  </si>
  <si>
    <t>Каналы продаж</t>
  </si>
  <si>
    <t>полное совпадение</t>
  </si>
  <si>
    <t>География и язык</t>
  </si>
  <si>
    <t>Доверие и зрелость</t>
  </si>
  <si>
    <t>Замена и переключение</t>
  </si>
  <si>
    <t>PerfectXL</t>
  </si>
  <si>
    <t>perfectxl.com</t>
  </si>
  <si>
    <t>Нидерланды, мир</t>
  </si>
  <si>
    <t>специализированный инструмент</t>
  </si>
  <si>
    <t>аудит Excel: риски, потоки данных, сравнение</t>
  </si>
  <si>
    <t>аудит, консалтинг, страхование</t>
  </si>
  <si>
    <t>гипотеза уточняется оценкой</t>
  </si>
  <si>
    <t>высокий</t>
  </si>
  <si>
    <t>Р. В. Земляник</t>
  </si>
  <si>
    <t>ЛР5, снимок 03.10.2026</t>
  </si>
  <si>
    <t>Arixcel</t>
  </si>
  <si>
    <t>arixcel.com</t>
  </si>
  <si>
    <t>мир</t>
  </si>
  <si>
    <t>надстройка навигации и аудита моделей</t>
  </si>
  <si>
    <t>аналитики, моделисты</t>
  </si>
  <si>
    <t>Operis</t>
  </si>
  <si>
    <t>operis.com</t>
  </si>
  <si>
    <t>Великобритания, мир</t>
  </si>
  <si>
    <t>консалтинг и инструмент</t>
  </si>
  <si>
    <t>аудит моделей и надстройка OAK</t>
  </si>
  <si>
    <t>проектное финансирование</t>
  </si>
  <si>
    <t>Shortcut</t>
  </si>
  <si>
    <t>shortcut.ai</t>
  </si>
  <si>
    <t>США, мир</t>
  </si>
  <si>
    <t>AI-агент</t>
  </si>
  <si>
    <t>AI-агент для финансовых моделей в Excel</t>
  </si>
  <si>
    <t>финансовые институты, FP&amp;A</t>
  </si>
  <si>
    <t>Numerous.ai</t>
  </si>
  <si>
    <t>numerous.ai</t>
  </si>
  <si>
    <t>AI-помощник</t>
  </si>
  <si>
    <t>функция =AI в Sheets и Excel</t>
  </si>
  <si>
    <t>массовые пользователи</t>
  </si>
  <si>
    <t>Datarails</t>
  </si>
  <si>
    <t>datarails.com</t>
  </si>
  <si>
    <t>США, Израиль</t>
  </si>
  <si>
    <t>FP&amp;A-платформа</t>
  </si>
  <si>
    <t>FinanceOS над Excel</t>
  </si>
  <si>
    <t>финансовые команды среднего размера</t>
  </si>
  <si>
    <t>DataSnipper</t>
  </si>
  <si>
    <t>datasnipper.com</t>
  </si>
  <si>
    <t>платформа аудита</t>
  </si>
  <si>
    <t>агентная автоматизация аудита</t>
  </si>
  <si>
    <t>аудиторские фирмы</t>
  </si>
  <si>
    <t>Rows</t>
  </si>
  <si>
    <t>rows.com</t>
  </si>
  <si>
    <t>Португалия, мир</t>
  </si>
  <si>
    <t>электронная таблица с AI</t>
  </si>
  <si>
    <t>альтернативная таблица с AI-функциями</t>
  </si>
  <si>
    <t>команды и бизнес</t>
  </si>
  <si>
    <t>средний</t>
  </si>
  <si>
    <t>Formula Bot</t>
  </si>
  <si>
    <t>formulabot.com</t>
  </si>
  <si>
    <t>генерация формул и анализ данных</t>
  </si>
  <si>
    <t>Microsoft 365 Copilot</t>
  </si>
  <si>
    <t>microsoft.com/microsoft-365-copilot</t>
  </si>
  <si>
    <t>встроенный AI</t>
  </si>
  <si>
    <t>AI-ассистент внутри Excel</t>
  </si>
  <si>
    <t>корпоративные пользователи Microsoft 365</t>
  </si>
  <si>
    <t>Главная</t>
  </si>
  <si>
    <t>https://www.perfectxl.com/</t>
  </si>
  <si>
    <t>Software That Helps You Master Excel; клиенты Deloitte, Grant Thornton, BDO; премия 2026</t>
  </si>
  <si>
    <t>Позиционирование на контроле качества и рисках</t>
  </si>
  <si>
    <t>просмотр в Chrome или WebFetch 03.10.2026</t>
  </si>
  <si>
    <t>Цены</t>
  </si>
  <si>
    <t>https://www.perfectxl.com/pricing/</t>
  </si>
  <si>
    <t>один инструмент от 69 EUR в месяц; пакеты без цен; обучение от 49 EUR</t>
  </si>
  <si>
    <t>Цены раскрыты частично</t>
  </si>
  <si>
    <t>https://www.arixcel.com/</t>
  </si>
  <si>
    <t>надстройка Excel: логика формул, сравнение, карта формул, трассировка</t>
  </si>
  <si>
    <t>Узкий инструмент без цен и без отзывов</t>
  </si>
  <si>
    <t>https://www.operis.com/</t>
  </si>
  <si>
    <t>Advisory, Modelling, Model Audit, Tax &amp; Accounting, OAK, Training; с 1990 г., более 1 200 проектов</t>
  </si>
  <si>
    <t>Консалтинговый бизнес с надстройкой</t>
  </si>
  <si>
    <t>https://www.shortcut.ai/</t>
  </si>
  <si>
    <t>AI-агент для финансистов, SOC 2 Type II, Excel Add-in, веб, CLI</t>
  </si>
  <si>
    <t>Сильное доверие и безопасность на первом экране</t>
  </si>
  <si>
    <t>https://www.shortcut.ai/pricing</t>
  </si>
  <si>
    <t>Free, Pro 100 USD, Teams 320 USD + 100 USD за место, Enterprise</t>
  </si>
  <si>
    <t>Прозрачные тарифы</t>
  </si>
  <si>
    <t>https://www.numerous.ai/</t>
  </si>
  <si>
    <t>ChatGPT в Sheets и Excel, функция =AI, без API-ключей</t>
  </si>
  <si>
    <t>Простое предложение для массового пользователя</t>
  </si>
  <si>
    <t>https://www.numerous.ai/pricing</t>
  </si>
  <si>
    <t>10 USD в месяц, 7 дней пробного периода</t>
  </si>
  <si>
    <t>Один тариф</t>
  </si>
  <si>
    <t>https://datarails.com/</t>
  </si>
  <si>
    <t>Trusted AI for Finance Teams; 600+ интеграций; 2 000+ клиентов</t>
  </si>
  <si>
    <t>Платформа, а не инструмент проверки</t>
  </si>
  <si>
    <t>https://www.datasnipper.com/</t>
  </si>
  <si>
    <t>End-to-end Agentic Automation for Audit and Finance; SOC 2, GDPR, AI Act</t>
  </si>
  <si>
    <t>Сильная позиция в аудите</t>
  </si>
  <si>
    <t>Отзывы</t>
  </si>
  <si>
    <t>https://www.g2.com/search?query=shortcut</t>
  </si>
  <si>
    <t>карточки на G2 нет</t>
  </si>
  <si>
    <t>Доверие</t>
  </si>
  <si>
    <t>Нет публичных отзывов</t>
  </si>
  <si>
    <t>https://www.g2.com/search?query=datarails</t>
  </si>
  <si>
    <t>G2 386 отзывов, 4,6</t>
  </si>
  <si>
    <t>Самый сильный репутационный профиль</t>
  </si>
  <si>
    <t>https://www.g2.com/search?query=perfectxl</t>
  </si>
  <si>
    <t>G2 0 отзывов; Trustpilot 0</t>
  </si>
  <si>
    <t>https://www.g2.com/search?query=arixcel</t>
  </si>
  <si>
    <t>G2 Arixcel Explorer 4,0 (1 отзыв)</t>
  </si>
  <si>
    <t>Один отзыв</t>
  </si>
  <si>
    <t>AppSource</t>
  </si>
  <si>
    <t>https://appsource.microsoft.com/</t>
  </si>
  <si>
    <t>OAK (Excel add-in) указан на сайте; в AppSource по запросу formula checker найден 1 результат</t>
  </si>
  <si>
    <t>Каналы</t>
  </si>
  <si>
    <t>Видимость в магазине низкая</t>
  </si>
  <si>
    <t>DataSnipper for Excel Online в выдаче по запросу excel audit</t>
  </si>
  <si>
    <t>Присутствует в магазине надстроек</t>
  </si>
  <si>
    <t>Безопасность</t>
  </si>
  <si>
    <t>https://www.datasnipper.com/security</t>
  </si>
  <si>
    <t>SOC 2 Type II, Azure, AES-256, TLS 1.2+, хранение до 24 часов, обучение на данных клиентов не ведется, GDPR и AI Act</t>
  </si>
  <si>
    <t>Самый подробный профиль безопасности среди специализированных игроков</t>
  </si>
  <si>
    <t>https://www.datasnipper.com/pricing</t>
  </si>
  <si>
    <t>Start, Accelerate, Elevate без сумм; Book demo и Contact sales</t>
  </si>
  <si>
    <t>Цена по запросу, вход через демо</t>
  </si>
  <si>
    <t>Интеграции</t>
  </si>
  <si>
    <t>https://knowledge.datasnipper.com/en/collections/1449483-integrations</t>
  </si>
  <si>
    <t>SharePoint, OneDrive, Box, Dropbox, SAP Concur, QuickBooks, Suralink, Azure</t>
  </si>
  <si>
    <t>Интеграции документов аудита, не проверки формул</t>
  </si>
  <si>
    <t>Отзывы Capterra</t>
  </si>
  <si>
    <t>https://www.capterra.com/p/10002513/DataSnipper/</t>
  </si>
  <si>
    <t>4,7 из 5, 131 отзыв, пробной версии нет</t>
  </si>
  <si>
    <t>Сильный репутационный профиль</t>
  </si>
  <si>
    <t>https://datarails.com/pricing/</t>
  </si>
  <si>
    <t>Professional, Premium, Expert без сумм; Request Quote, пробного периода нет</t>
  </si>
  <si>
    <t>Цена по запросу, длинный цикл продажи</t>
  </si>
  <si>
    <t>Центр доверия</t>
  </si>
  <si>
    <t>https://trust.datarails.com/overview</t>
  </si>
  <si>
    <t>SOC 2 Type II, SOC 1, политика информационной безопасности, тест на проникновение; отчеты по запросу</t>
  </si>
  <si>
    <t>Самый полный профиль доверия</t>
  </si>
  <si>
    <t>https://datarails.com/integrations/</t>
  </si>
  <si>
    <t>более 200 интеграций в списке (ERP, CRM, хранилища); на главной заявлено более 600</t>
  </si>
  <si>
    <t>Интеграции - барьер переключения</t>
  </si>
  <si>
    <t>https://www.capterra.com/p/177451/DataRails/</t>
  </si>
  <si>
    <t>4,7 из 5, 245 отзывов</t>
  </si>
  <si>
    <t>Лицензирование</t>
  </si>
  <si>
    <t>https://www.arixcel.com/explorer/download</t>
  </si>
  <si>
    <t>2,75 GBP за пользователя в месяц, лицензия 12-36 месяцев, только Windows, пробный режим</t>
  </si>
  <si>
    <t>Цена опубликована, лестницы тарифов нет</t>
  </si>
  <si>
    <t>Цены OAK</t>
  </si>
  <si>
    <t>https://www.operisanalysiskit.com/oak-price/</t>
  </si>
  <si>
    <t>подписка 311,66 GBP в год, более 30 инструментов, Try OAK и Buy now</t>
  </si>
  <si>
    <t>Единичная цена, продажа без консультанта</t>
  </si>
  <si>
    <t>https://shortcut.ai/privacy</t>
  </si>
  <si>
    <t>SOC 2 Type II, AES-256, TLS 1.3, нулевое хранение у провайдеров, SAML, ролевой доступ</t>
  </si>
  <si>
    <t>Безопасность раскрыта в центре приватности</t>
  </si>
  <si>
    <t>Цены и регистрация</t>
  </si>
  <si>
    <t>https://numerous.ai/</t>
  </si>
  <si>
    <t>7 дней бесплатно, оплата за год, 10 USD в месяц, лимит 500 тыс. символов</t>
  </si>
  <si>
    <t>Путь от пробы к подписке без продавца</t>
  </si>
  <si>
    <t>Подвал сайта</t>
  </si>
  <si>
    <t>только политика конфиденциальности и условия, заявлений о безопасности нет</t>
  </si>
  <si>
    <t>Безопасность не раскрыта</t>
  </si>
  <si>
    <t>Отзывы Trustpilot</t>
  </si>
  <si>
    <t>https://www.trustpilot.com/review/numerous.ai</t>
  </si>
  <si>
    <t>2,5 из 5, 5 отзывов, жалобы на автосписание после пробного периода</t>
  </si>
  <si>
    <t>Риск политики пробного периода</t>
  </si>
  <si>
    <t>Пробный период</t>
  </si>
  <si>
    <t>https://www.perfectxl.com/products/perfectxl-formula-inspector/free-trial-vdependents/</t>
  </si>
  <si>
    <t>30 дней без карты и автопродления, Excel 2016 и новее</t>
  </si>
  <si>
    <t>Бесплатный вход есть</t>
  </si>
  <si>
    <t>Правовые страницы</t>
  </si>
  <si>
    <t>https://www.perfectxl.com/legal/privacy-policy/</t>
  </si>
  <si>
    <t>политика конфиденциальности, условия, cookie; страницы безопасности нет</t>
  </si>
  <si>
    <t>https://rows.com/pricing</t>
  </si>
  <si>
    <t>Free; Plus 8 USD за пользователя; Pro 79 USD + 8 USD за пользователя</t>
  </si>
  <si>
    <t>Таблица с AI, не инструмент проверки</t>
  </si>
  <si>
    <t>https://www.g2.com/search?query=formula%20bot</t>
  </si>
  <si>
    <t>Formula Bot: 90 отзывов, 4,5; генерация формул и анализ данных</t>
  </si>
  <si>
    <t>Генерация, не аудит</t>
  </si>
  <si>
    <t>https://www.microsoft.com/en-us/microsoft-365-copilot/pricing</t>
  </si>
  <si>
    <t>Copilot Business 18 USD в месяц за пользователя при оплате за год</t>
  </si>
  <si>
    <t>Встроенный AI-заменитель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</si>
</sst>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2E7D7A"/>
      </patternFill>
    </fill>
    <fill>
      <patternFill patternType="solid">
        <fgColor rgb="FFFFF2CC"/>
      </patternFill>
    </fill>
    <fill>
      <patternFill patternType="solid">
        <fgColor rgb="FFD8EA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0" fontId="2" fillId="4" borderId="0" xfId="1" applyFont="1" applyFill="1" applyAlignment="1">
      <alignment wrapText="1"/>
    </xf>
    <xf numFmtId="164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9" fontId="0" fillId="0" borderId="0" xfId="1" applyNumberFormat="1" applyFont="1" applyAlignment="1">
      <alignment wrapText="1"/>
    </xf>
    <xf numFmtId="0" fontId="3" fillId="5" borderId="0" xfId="1" applyFont="1" applyFill="1" applyAlignment="1">
      <alignment horizontal="center" vertical="center" wrapText="1"/>
    </xf>
    <xf numFmtId="0" fontId="5" fillId="0" borderId="0" xfId="1" applyFont="1"/>
    <xf numFmtId="0" fontId="4" fillId="2" borderId="0" xfId="1" applyFont="1" applyFill="1" applyAlignment="1">
      <alignment horizontal="center" vertical="center" wrapText="1"/>
    </xf>
    <xf numFmtId="0" fontId="5" fillId="0" borderId="0" xfId="1" applyFont="1"/>
    <xf numFmtId="0" fontId="3" fillId="5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wrapText="1"/>
    </xf>
    <xf numFmtId="0" fontId="4" fillId="3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9">
    <dxf>
      <fill>
        <patternFill patternType="solid">
          <bgColor rgb="FFFFF2C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4F3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Распределение компаний по уровням конкуренции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'06_Сводка'!$A$11:$A$16</c:f>
              <c:strCache>
                <c:ptCount val="6"/>
                <c:pt idx="0">
                  <c:v>Прямой конкурент</c:v>
                </c:pt>
                <c:pt idx="1">
                  <c:v>Близкий альтернативный конкурент</c:v>
                </c:pt>
                <c:pt idx="2">
                  <c:v>Косвенный конкурент / заменитель</c:v>
                </c:pt>
                <c:pt idx="3">
                  <c:v>Смежная или потенциальная конкуренция</c:v>
                </c:pt>
                <c:pt idx="4">
                  <c:v>Не конкурент / объект наблюдения</c:v>
                </c:pt>
                <c:pt idx="5">
                  <c:v>Недостаточно данных</c:v>
                </c:pt>
              </c:strCache>
            </c:strRef>
          </c:cat>
          <c:val>
            <c:numRef>
              <c:f>'06_Сводка'!$B$11:$B$16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B-47EC-84F9-4DF55A69E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Карта: функциональная близость и аудиторное пересечение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Y: аудитория + рынок</c:v>
          </c:tx>
          <c:xVal>
            <c:numLit>
              <c:ptCount val="0"/>
            </c:numLit>
          </c:xVal>
          <c:yVal>
            <c:numRef>
              <c:f>'07_Карта'!$D$4:$D$103</c:f>
              <c:numCache>
                <c:formatCode>0.00</c:formatCode>
                <c:ptCount val="10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3.5</c:v>
                </c:pt>
                <c:pt idx="6">
                  <c:v>3.5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EA-4647-AEA6-4D15756A7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;;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niesTable" displayName="CompaniesTable" ref="A3:M103">
  <tableColumns count="13">
    <tableColumn id="1" xr3:uid="{00000000-0010-0000-0000-000001000000}" name="ID"/>
    <tableColumn id="2" xr3:uid="{00000000-0010-0000-0000-000002000000}" name="Компания"/>
    <tableColumn id="3" xr3:uid="{00000000-0010-0000-0000-000003000000}" name="Сайт"/>
    <tableColumn id="4" xr3:uid="{00000000-0010-0000-0000-000004000000}" name="Рынок / страна"/>
    <tableColumn id="5" xr3:uid="{00000000-0010-0000-0000-000005000000}" name="Тип компании"/>
    <tableColumn id="6" xr3:uid="{00000000-0010-0000-0000-000006000000}" name="Основной цифровой товар"/>
    <tableColumn id="7" xr3:uid="{00000000-0010-0000-0000-000007000000}" name="Целевой сегмент"/>
    <tableColumn id="8" xr3:uid="{00000000-0010-0000-0000-000008000000}" name="Предварительная гипотеза"/>
    <tableColumn id="9" xr3:uid="{00000000-0010-0000-0000-000009000000}" name="Приоритет"/>
    <tableColumn id="10" xr3:uid="{00000000-0010-0000-0000-00000A000000}" name="Ответственный"/>
    <tableColumn id="11" xr3:uid="{00000000-0010-0000-0000-00000B000000}" name="Статус"/>
    <tableColumn id="12" xr3:uid="{00000000-0010-0000-0000-00000C000000}" name="Дата обновления"/>
    <tableColumn id="13" xr3:uid="{00000000-0010-0000-0000-00000D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EvidenceTable" displayName="EvidenceTable" ref="A3:L303">
  <tableColumns count="12">
    <tableColumn id="1" xr3:uid="{00000000-0010-0000-0100-000001000000}" name="ID компании"/>
    <tableColumn id="2" xr3:uid="{00000000-0010-0000-0100-000002000000}" name="Компания"/>
    <tableColumn id="3" xr3:uid="{00000000-0010-0000-0100-000003000000}" name="Раздел сайта"/>
    <tableColumn id="4" xr3:uid="{00000000-0010-0000-0100-000004000000}" name="URL"/>
    <tableColumn id="5" xr3:uid="{00000000-0010-0000-0100-000005000000}" name="Наблюдаемый факт"/>
    <tableColumn id="6" xr3:uid="{00000000-0010-0000-0100-000006000000}" name="Тип сигнала"/>
    <tableColumn id="7" xr3:uid="{00000000-0010-0000-0100-000007000000}" name="Сила сигнала 1–5"/>
    <tableColumn id="8" xr3:uid="{00000000-0010-0000-0100-000008000000}" name="Дата фиксации"/>
    <tableColumn id="9" xr3:uid="{00000000-0010-0000-0100-000009000000}" name="Вывод для классификации"/>
    <tableColumn id="10" xr3:uid="{00000000-0010-0000-0100-00000A000000}" name="Достоверность 1–5"/>
    <tableColumn id="11" xr3:uid="{00000000-0010-0000-0100-00000B000000}" name="Скриншот / архив"/>
    <tableColumn id="12" xr3:uid="{00000000-0010-0000-0100-00000C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ompetitionCriteria" displayName="CompetitionCriteria" ref="A3:J13">
  <tableColumns count="10">
    <tableColumn id="1" xr3:uid="{00000000-0010-0000-0200-000001000000}" name="Код"/>
    <tableColumn id="2" xr3:uid="{00000000-0010-0000-0200-000002000000}" name="Критерий"/>
    <tableColumn id="3" xr3:uid="{00000000-0010-0000-0200-000003000000}" name="Что проверяется по сайту"/>
    <tableColumn id="4" xr3:uid="{00000000-0010-0000-0200-000004000000}" name="Индикаторы"/>
    <tableColumn id="5" xr3:uid="{00000000-0010-0000-0200-000005000000}" name="Вес"/>
    <tableColumn id="6" xr3:uid="{00000000-0010-0000-0200-000006000000}" name="0 баллов"/>
    <tableColumn id="7" xr3:uid="{00000000-0010-0000-0200-000007000000}" name="1 балл"/>
    <tableColumn id="8" xr3:uid="{00000000-0010-0000-0200-000008000000}" name="3 балла"/>
    <tableColumn id="9" xr3:uid="{00000000-0010-0000-0200-000009000000}" name="5 баллов"/>
    <tableColumn id="10" xr3:uid="{00000000-0010-0000-0200-00000A000000}" name="Обязателен для прямого конкурент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ScoringMatrix" displayName="ScoringMatrix" ref="A3:V103">
  <tableColumns count="22">
    <tableColumn id="1" xr3:uid="{00000000-0010-0000-0300-000001000000}" name="ID"/>
    <tableColumn id="2" xr3:uid="{00000000-0010-0000-0300-000002000000}" name="Компания"/>
    <tableColumn id="3" xr3:uid="{00000000-0010-0000-0300-000003000000}" name="Сайт"/>
    <tableColumn id="4" xr3:uid="{00000000-0010-0000-0300-000004000000}" name="C1 задача"/>
    <tableColumn id="5" xr3:uid="{00000000-0010-0000-0300-000005000000}" name="C2 аудитория"/>
    <tableColumn id="6" xr3:uid="{00000000-0010-0000-0300-000006000000}" name="C3 заменяемость"/>
    <tableColumn id="7" xr3:uid="{00000000-0010-0000-0300-000007000000}" name="C4 сценарий"/>
    <tableColumn id="8" xr3:uid="{00000000-0010-0000-0300-000008000000}" name="C5 цена"/>
    <tableColumn id="9" xr3:uid="{00000000-0010-0000-0300-000009000000}" name="C6 каналы"/>
    <tableColumn id="10" xr3:uid="{00000000-0010-0000-0300-00000A000000}" name="C7 география"/>
    <tableColumn id="11" xr3:uid="{00000000-0010-0000-0300-00000B000000}" name="C8 монетизация"/>
    <tableColumn id="12" xr3:uid="{00000000-0010-0000-0300-00000C000000}" name="C9 зрелость"/>
    <tableColumn id="13" xr3:uid="{00000000-0010-0000-0300-00000D000000}" name="C10 переключение"/>
    <tableColumn id="14" xr3:uid="{00000000-0010-0000-0300-00000E000000}" name="Взвешенный балл"/>
    <tableColumn id="15" xr3:uid="{00000000-0010-0000-0300-00000F000000}" name="Ограничитель"/>
    <tableColumn id="16" xr3:uid="{00000000-0010-0000-0300-000010000000}" name="Расчетный уровень"/>
    <tableColumn id="17" xr3:uid="{00000000-0010-0000-0300-000011000000}" name="Экспертная корректировка"/>
    <tableColumn id="18" xr3:uid="{00000000-0010-0000-0300-000012000000}" name="Итоговый уровень"/>
    <tableColumn id="19" xr3:uid="{00000000-0010-0000-0300-000013000000}" name="Статус решения"/>
    <tableColumn id="20" xr3:uid="{00000000-0010-0000-0300-000014000000}" name="Ключевое обоснование"/>
    <tableColumn id="21" xr3:uid="{00000000-0010-0000-0300-000015000000}" name="Ключевые ссылки"/>
    <tableColumn id="22" xr3:uid="{00000000-0010-0000-0300-000016000000}" name="Дата проверк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ompetitionLevels" displayName="CompetitionLevels" ref="A3:G9">
  <tableColumns count="7">
    <tableColumn id="1" xr3:uid="{00000000-0010-0000-0400-000001000000}" name="Уровень"/>
    <tableColumn id="2" xr3:uid="{00000000-0010-0000-0400-000002000000}" name="Определение"/>
    <tableColumn id="3" xr3:uid="{00000000-0010-0000-0400-000003000000}" name="Ключевой критерий"/>
    <tableColumn id="4" xr3:uid="{00000000-0010-0000-0400-000004000000}" name="Порог по баллу"/>
    <tableColumn id="5" xr3:uid="{00000000-0010-0000-0400-000005000000}" name="Обязательные условия"/>
    <tableColumn id="6" xr3:uid="{00000000-0010-0000-0400-000006000000}" name="Типовые признаки на сайте"/>
    <tableColumn id="7" xr3:uid="{00000000-0010-0000-0400-000007000000}" name="Решение аналитик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etitionMap" displayName="CompetitionMap" ref="A3:K103">
  <tableColumns count="11">
    <tableColumn id="1" xr3:uid="{00000000-0010-0000-0500-000001000000}" name="ID"/>
    <tableColumn id="2" xr3:uid="{00000000-0010-0000-0500-000002000000}" name="Компания"/>
    <tableColumn id="3" xr3:uid="{00000000-0010-0000-0500-000003000000}" name="X: задача + заменяемость"/>
    <tableColumn id="4" xr3:uid="{00000000-0010-0000-0500-000004000000}" name="Y: аудитория + рынок"/>
    <tableColumn id="5" xr3:uid="{00000000-0010-0000-0500-000005000000}" name="Взвешенный балл"/>
    <tableColumn id="6" xr3:uid="{00000000-0010-0000-0500-000006000000}" name="Итоговый уровень"/>
    <tableColumn id="7" xr3:uid="{00000000-0010-0000-0500-000007000000}" name="Зона карты"/>
    <tableColumn id="8" xr3:uid="{00000000-0010-0000-0500-000008000000}" name="Комментарий"/>
    <tableColumn id="9" xr3:uid="{00000000-0010-0000-0500-000009000000}" name="Доказательства"/>
    <tableColumn id="10" xr3:uid="{00000000-0010-0000-0500-00000A000000}" name="Приоритет"/>
    <tableColumn id="11" xr3:uid="{00000000-0010-0000-0500-00000B000000}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sqref="A1:H1"/>
    </sheetView>
  </sheetViews>
  <sheetFormatPr defaultRowHeight="13.5"/>
  <cols>
    <col min="1" max="1" width="26" customWidth="1"/>
    <col min="2" max="2" width="45" customWidth="1"/>
    <col min="3" max="3" width="24" customWidth="1"/>
    <col min="4" max="4" width="26" customWidth="1"/>
    <col min="5" max="5" width="34" customWidth="1"/>
    <col min="6" max="6" width="28" customWidth="1"/>
    <col min="7" max="7" width="34" customWidth="1"/>
    <col min="8" max="8" width="28" customWidth="1"/>
  </cols>
  <sheetData>
    <row r="1" spans="1:26" ht="16.05" customHeight="1">
      <c r="A1" s="10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3.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40.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40.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7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26" ht="40.5">
      <c r="A7" s="2" t="s">
        <v>33</v>
      </c>
      <c r="B7" s="2" t="s">
        <v>34</v>
      </c>
      <c r="C7" s="2" t="s">
        <v>27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27">
      <c r="A8" s="2" t="s">
        <v>40</v>
      </c>
      <c r="B8" s="2" t="s">
        <v>41</v>
      </c>
      <c r="C8" s="2" t="s">
        <v>27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</row>
    <row r="9" spans="1:26" ht="40.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pans="1:26">
      <c r="A10" s="2"/>
      <c r="B10" s="2"/>
      <c r="C10" s="2"/>
      <c r="D10" s="2"/>
      <c r="E10" s="2"/>
      <c r="F10" s="2"/>
      <c r="G10" s="2"/>
      <c r="H10" s="2"/>
    </row>
    <row r="11" spans="1:26" ht="13.9">
      <c r="A11" s="8" t="s">
        <v>55</v>
      </c>
      <c r="B11" s="12" t="s">
        <v>56</v>
      </c>
      <c r="C11" s="12"/>
      <c r="D11" s="12"/>
      <c r="E11" s="12"/>
      <c r="F11" s="12"/>
      <c r="G11" s="12"/>
      <c r="H11" s="12"/>
    </row>
    <row r="12" spans="1:26" ht="54">
      <c r="A12" s="2" t="s">
        <v>57</v>
      </c>
      <c r="B12" s="2" t="s">
        <v>58</v>
      </c>
      <c r="C12" s="2"/>
      <c r="D12" s="2"/>
      <c r="E12" s="2"/>
      <c r="F12" s="2"/>
      <c r="G12" s="2"/>
      <c r="H12" s="2"/>
    </row>
    <row r="13" spans="1:26" ht="40.5">
      <c r="A13" s="2" t="s">
        <v>59</v>
      </c>
      <c r="B13" s="2" t="s">
        <v>60</v>
      </c>
      <c r="C13" s="2"/>
      <c r="D13" s="2"/>
      <c r="E13" s="2"/>
      <c r="F13" s="2"/>
      <c r="G13" s="2"/>
      <c r="H13" s="2"/>
    </row>
    <row r="14" spans="1:26" ht="40.5">
      <c r="A14" s="2" t="s">
        <v>61</v>
      </c>
      <c r="B14" s="2" t="s">
        <v>62</v>
      </c>
      <c r="C14" s="2"/>
      <c r="D14" s="2"/>
      <c r="E14" s="2"/>
      <c r="F14" s="2"/>
      <c r="G14" s="2"/>
      <c r="H14" s="2"/>
    </row>
    <row r="15" spans="1:26" ht="54">
      <c r="A15" s="2" t="s">
        <v>63</v>
      </c>
      <c r="B15" s="2" t="s">
        <v>64</v>
      </c>
      <c r="C15" s="2"/>
      <c r="D15" s="2"/>
      <c r="E15" s="2"/>
      <c r="F15" s="2"/>
      <c r="G15" s="2"/>
      <c r="H15" s="2"/>
    </row>
    <row r="16" spans="1:26" ht="40.5">
      <c r="A16" s="2" t="s">
        <v>65</v>
      </c>
      <c r="B16" s="2" t="s">
        <v>66</v>
      </c>
      <c r="C16" s="2"/>
      <c r="D16" s="2"/>
      <c r="E16" s="2"/>
      <c r="F16" s="2"/>
      <c r="G16" s="2"/>
      <c r="H16" s="2"/>
    </row>
  </sheetData>
  <mergeCells count="2">
    <mergeCell ref="A1:H1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"/>
  <sheetViews>
    <sheetView workbookViewId="0"/>
  </sheetViews>
  <sheetFormatPr defaultRowHeight="13.5"/>
  <cols>
    <col min="1" max="1" width="10" customWidth="1"/>
    <col min="2" max="2" width="28" customWidth="1"/>
    <col min="3" max="3" width="34" customWidth="1"/>
    <col min="4" max="4" width="18" customWidth="1"/>
    <col min="5" max="5" width="22" customWidth="1"/>
    <col min="6" max="6" width="36" customWidth="1"/>
    <col min="7" max="7" width="28" customWidth="1"/>
    <col min="8" max="8" width="32" customWidth="1"/>
    <col min="9" max="9" width="14" customWidth="1"/>
    <col min="10" max="11" width="18" customWidth="1"/>
    <col min="12" max="12" width="16" customWidth="1"/>
    <col min="13" max="13" width="38" customWidth="1"/>
  </cols>
  <sheetData>
    <row r="1" spans="1:26" ht="16.05" customHeight="1">
      <c r="A1" s="10" t="s">
        <v>67</v>
      </c>
      <c r="B1" s="11" t="s">
        <v>67</v>
      </c>
      <c r="C1" s="11" t="s">
        <v>67</v>
      </c>
      <c r="D1" s="11" t="s">
        <v>67</v>
      </c>
      <c r="E1" s="11" t="s">
        <v>67</v>
      </c>
      <c r="F1" s="11" t="s">
        <v>67</v>
      </c>
      <c r="G1" s="11" t="s">
        <v>67</v>
      </c>
      <c r="H1" s="11" t="s">
        <v>67</v>
      </c>
      <c r="I1" s="11" t="s">
        <v>67</v>
      </c>
      <c r="J1" s="11" t="s">
        <v>67</v>
      </c>
      <c r="K1" s="11" t="s">
        <v>67</v>
      </c>
      <c r="L1" s="11" t="s">
        <v>67</v>
      </c>
      <c r="M1" s="11" t="s">
        <v>67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27.75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77</v>
      </c>
      <c r="K3" s="1" t="s">
        <v>78</v>
      </c>
      <c r="L3" s="1" t="s">
        <v>79</v>
      </c>
      <c r="M3" s="1" t="s">
        <v>80</v>
      </c>
    </row>
    <row r="4" spans="1:26" ht="27">
      <c r="A4" s="2" t="s">
        <v>81</v>
      </c>
      <c r="B4" s="2" t="s">
        <v>413</v>
      </c>
      <c r="C4" s="2" t="s">
        <v>414</v>
      </c>
      <c r="D4" s="2" t="s">
        <v>415</v>
      </c>
      <c r="E4" s="2" t="s">
        <v>416</v>
      </c>
      <c r="F4" s="2" t="s">
        <v>417</v>
      </c>
      <c r="G4" s="2" t="s">
        <v>418</v>
      </c>
      <c r="H4" s="2" t="s">
        <v>419</v>
      </c>
      <c r="I4" s="2" t="s">
        <v>420</v>
      </c>
      <c r="J4" s="2" t="s">
        <v>421</v>
      </c>
      <c r="K4" s="2" t="s">
        <v>396</v>
      </c>
      <c r="L4" s="5">
        <v>46298</v>
      </c>
      <c r="M4" s="2" t="s">
        <v>422</v>
      </c>
    </row>
    <row r="5" spans="1:26" ht="27">
      <c r="A5" s="2" t="s">
        <v>82</v>
      </c>
      <c r="B5" s="2" t="s">
        <v>423</v>
      </c>
      <c r="C5" s="2" t="s">
        <v>424</v>
      </c>
      <c r="D5" s="2" t="s">
        <v>425</v>
      </c>
      <c r="E5" s="2" t="s">
        <v>416</v>
      </c>
      <c r="F5" s="2" t="s">
        <v>426</v>
      </c>
      <c r="G5" s="2" t="s">
        <v>427</v>
      </c>
      <c r="H5" s="2" t="s">
        <v>419</v>
      </c>
      <c r="I5" s="2" t="s">
        <v>420</v>
      </c>
      <c r="J5" s="2" t="s">
        <v>421</v>
      </c>
      <c r="K5" s="2" t="s">
        <v>396</v>
      </c>
      <c r="L5" s="5">
        <v>46298</v>
      </c>
      <c r="M5" s="2" t="s">
        <v>422</v>
      </c>
    </row>
    <row r="6" spans="1:26" ht="27">
      <c r="A6" s="2" t="s">
        <v>83</v>
      </c>
      <c r="B6" s="2" t="s">
        <v>428</v>
      </c>
      <c r="C6" s="2" t="s">
        <v>429</v>
      </c>
      <c r="D6" s="2" t="s">
        <v>430</v>
      </c>
      <c r="E6" s="2" t="s">
        <v>431</v>
      </c>
      <c r="F6" s="2" t="s">
        <v>432</v>
      </c>
      <c r="G6" s="2" t="s">
        <v>433</v>
      </c>
      <c r="H6" s="2" t="s">
        <v>419</v>
      </c>
      <c r="I6" s="2" t="s">
        <v>420</v>
      </c>
      <c r="J6" s="2" t="s">
        <v>421</v>
      </c>
      <c r="K6" s="2" t="s">
        <v>396</v>
      </c>
      <c r="L6" s="5">
        <v>46298</v>
      </c>
      <c r="M6" s="2" t="s">
        <v>422</v>
      </c>
    </row>
    <row r="7" spans="1:26" ht="27">
      <c r="A7" s="2" t="s">
        <v>84</v>
      </c>
      <c r="B7" s="2" t="s">
        <v>434</v>
      </c>
      <c r="C7" s="2" t="s">
        <v>435</v>
      </c>
      <c r="D7" s="2" t="s">
        <v>436</v>
      </c>
      <c r="E7" s="2" t="s">
        <v>437</v>
      </c>
      <c r="F7" s="2" t="s">
        <v>438</v>
      </c>
      <c r="G7" s="2" t="s">
        <v>439</v>
      </c>
      <c r="H7" s="2" t="s">
        <v>419</v>
      </c>
      <c r="I7" s="2" t="s">
        <v>420</v>
      </c>
      <c r="J7" s="2" t="s">
        <v>421</v>
      </c>
      <c r="K7" s="2" t="s">
        <v>396</v>
      </c>
      <c r="L7" s="5">
        <v>46298</v>
      </c>
      <c r="M7" s="2" t="s">
        <v>422</v>
      </c>
    </row>
    <row r="8" spans="1:26">
      <c r="A8" s="2" t="s">
        <v>85</v>
      </c>
      <c r="B8" s="2" t="s">
        <v>440</v>
      </c>
      <c r="C8" s="2" t="s">
        <v>441</v>
      </c>
      <c r="D8" s="2" t="s">
        <v>436</v>
      </c>
      <c r="E8" s="2" t="s">
        <v>442</v>
      </c>
      <c r="F8" s="2" t="s">
        <v>443</v>
      </c>
      <c r="G8" s="2" t="s">
        <v>444</v>
      </c>
      <c r="H8" s="2" t="s">
        <v>419</v>
      </c>
      <c r="I8" s="2" t="s">
        <v>420</v>
      </c>
      <c r="J8" s="2" t="s">
        <v>421</v>
      </c>
      <c r="K8" s="2" t="s">
        <v>396</v>
      </c>
      <c r="L8" s="5">
        <v>46298</v>
      </c>
      <c r="M8" s="2" t="s">
        <v>422</v>
      </c>
    </row>
    <row r="9" spans="1:26" ht="27">
      <c r="A9" s="2" t="s">
        <v>86</v>
      </c>
      <c r="B9" s="2" t="s">
        <v>445</v>
      </c>
      <c r="C9" s="2" t="s">
        <v>446</v>
      </c>
      <c r="D9" s="2" t="s">
        <v>447</v>
      </c>
      <c r="E9" s="2" t="s">
        <v>448</v>
      </c>
      <c r="F9" s="2" t="s">
        <v>449</v>
      </c>
      <c r="G9" s="2" t="s">
        <v>450</v>
      </c>
      <c r="H9" s="2" t="s">
        <v>419</v>
      </c>
      <c r="I9" s="2" t="s">
        <v>420</v>
      </c>
      <c r="J9" s="2" t="s">
        <v>421</v>
      </c>
      <c r="K9" s="2" t="s">
        <v>396</v>
      </c>
      <c r="L9" s="5">
        <v>46298</v>
      </c>
      <c r="M9" s="2" t="s">
        <v>422</v>
      </c>
    </row>
    <row r="10" spans="1:26">
      <c r="A10" s="2" t="s">
        <v>87</v>
      </c>
      <c r="B10" s="2" t="s">
        <v>451</v>
      </c>
      <c r="C10" s="2" t="s">
        <v>452</v>
      </c>
      <c r="D10" s="2" t="s">
        <v>415</v>
      </c>
      <c r="E10" s="2" t="s">
        <v>453</v>
      </c>
      <c r="F10" s="2" t="s">
        <v>454</v>
      </c>
      <c r="G10" s="2" t="s">
        <v>455</v>
      </c>
      <c r="H10" s="2" t="s">
        <v>419</v>
      </c>
      <c r="I10" s="2" t="s">
        <v>420</v>
      </c>
      <c r="J10" s="2" t="s">
        <v>421</v>
      </c>
      <c r="K10" s="2" t="s">
        <v>396</v>
      </c>
      <c r="L10" s="5">
        <v>46298</v>
      </c>
      <c r="M10" s="2" t="s">
        <v>422</v>
      </c>
    </row>
    <row r="11" spans="1:26" ht="27">
      <c r="A11" s="2" t="s">
        <v>88</v>
      </c>
      <c r="B11" s="2" t="s">
        <v>456</v>
      </c>
      <c r="C11" s="2" t="s">
        <v>457</v>
      </c>
      <c r="D11" s="2" t="s">
        <v>458</v>
      </c>
      <c r="E11" s="2" t="s">
        <v>459</v>
      </c>
      <c r="F11" s="2" t="s">
        <v>460</v>
      </c>
      <c r="G11" s="2" t="s">
        <v>461</v>
      </c>
      <c r="H11" s="2" t="s">
        <v>419</v>
      </c>
      <c r="I11" s="2" t="s">
        <v>462</v>
      </c>
      <c r="J11" s="2" t="s">
        <v>421</v>
      </c>
      <c r="K11" s="2" t="s">
        <v>396</v>
      </c>
      <c r="L11" s="5">
        <v>46298</v>
      </c>
      <c r="M11" s="2" t="s">
        <v>422</v>
      </c>
    </row>
    <row r="12" spans="1:26">
      <c r="A12" s="2" t="s">
        <v>89</v>
      </c>
      <c r="B12" s="2" t="s">
        <v>463</v>
      </c>
      <c r="C12" s="2" t="s">
        <v>464</v>
      </c>
      <c r="D12" s="2" t="s">
        <v>425</v>
      </c>
      <c r="E12" s="2" t="s">
        <v>442</v>
      </c>
      <c r="F12" s="2" t="s">
        <v>465</v>
      </c>
      <c r="G12" s="2" t="s">
        <v>444</v>
      </c>
      <c r="H12" s="2" t="s">
        <v>419</v>
      </c>
      <c r="I12" s="2" t="s">
        <v>462</v>
      </c>
      <c r="J12" s="2" t="s">
        <v>421</v>
      </c>
      <c r="K12" s="2" t="s">
        <v>396</v>
      </c>
      <c r="L12" s="5">
        <v>46298</v>
      </c>
      <c r="M12" s="2" t="s">
        <v>422</v>
      </c>
    </row>
    <row r="13" spans="1:26" ht="27">
      <c r="A13" s="2" t="s">
        <v>90</v>
      </c>
      <c r="B13" s="2" t="s">
        <v>466</v>
      </c>
      <c r="C13" s="2" t="s">
        <v>467</v>
      </c>
      <c r="D13" s="2" t="s">
        <v>425</v>
      </c>
      <c r="E13" s="2" t="s">
        <v>468</v>
      </c>
      <c r="F13" s="2" t="s">
        <v>469</v>
      </c>
      <c r="G13" s="2" t="s">
        <v>470</v>
      </c>
      <c r="H13" s="2" t="s">
        <v>419</v>
      </c>
      <c r="I13" s="2" t="s">
        <v>462</v>
      </c>
      <c r="J13" s="2" t="s">
        <v>421</v>
      </c>
      <c r="K13" s="2" t="s">
        <v>396</v>
      </c>
      <c r="L13" s="5">
        <v>46298</v>
      </c>
      <c r="M13" s="2" t="s">
        <v>422</v>
      </c>
    </row>
    <row r="14" spans="1:26">
      <c r="A14" s="2" t="s">
        <v>91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5"/>
      <c r="M14" s="2"/>
    </row>
    <row r="15" spans="1:26">
      <c r="A15" s="2" t="s">
        <v>92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5"/>
      <c r="M15" s="2"/>
    </row>
    <row r="16" spans="1:26">
      <c r="A16" s="2" t="s">
        <v>93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5"/>
      <c r="M16" s="2"/>
    </row>
    <row r="17" spans="1:13">
      <c r="A17" s="2" t="s">
        <v>94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5"/>
      <c r="M17" s="2"/>
    </row>
    <row r="18" spans="1:13">
      <c r="A18" s="2" t="s">
        <v>95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5"/>
      <c r="M18" s="2"/>
    </row>
    <row r="19" spans="1:13">
      <c r="A19" s="2" t="s">
        <v>96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5"/>
      <c r="M19" s="2"/>
    </row>
    <row r="20" spans="1:13">
      <c r="A20" s="2" t="s">
        <v>97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5"/>
      <c r="M20" s="2"/>
    </row>
    <row r="21" spans="1:13">
      <c r="A21" s="2" t="s">
        <v>98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5"/>
      <c r="M21" s="2"/>
    </row>
    <row r="22" spans="1:13">
      <c r="A22" s="2" t="s">
        <v>99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5"/>
      <c r="M22" s="2"/>
    </row>
    <row r="23" spans="1:13">
      <c r="A23" s="2" t="s">
        <v>100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5"/>
      <c r="M23" s="2"/>
    </row>
    <row r="24" spans="1:13">
      <c r="A24" s="2" t="s">
        <v>101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5"/>
      <c r="M24" s="2"/>
    </row>
    <row r="25" spans="1:13">
      <c r="A25" s="2" t="s">
        <v>102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5"/>
      <c r="M25" s="2"/>
    </row>
    <row r="26" spans="1:13">
      <c r="A26" s="2" t="s">
        <v>103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5"/>
      <c r="M26" s="2"/>
    </row>
    <row r="27" spans="1:13">
      <c r="A27" s="2" t="s">
        <v>104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5"/>
      <c r="M27" s="2"/>
    </row>
    <row r="28" spans="1:13">
      <c r="A28" s="2" t="s">
        <v>105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5"/>
      <c r="M28" s="2"/>
    </row>
    <row r="29" spans="1:13">
      <c r="A29" s="2" t="s">
        <v>106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5"/>
      <c r="M29" s="2"/>
    </row>
    <row r="30" spans="1:13">
      <c r="A30" s="2" t="s">
        <v>107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5"/>
      <c r="M30" s="2"/>
    </row>
    <row r="31" spans="1:13">
      <c r="A31" s="2" t="s">
        <v>108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5"/>
      <c r="M31" s="2"/>
    </row>
    <row r="32" spans="1:13">
      <c r="A32" s="2" t="s">
        <v>109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5"/>
      <c r="M32" s="2"/>
    </row>
    <row r="33" spans="1:13">
      <c r="A33" s="2" t="s">
        <v>110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5"/>
      <c r="M33" s="2"/>
    </row>
    <row r="34" spans="1:13">
      <c r="A34" s="2" t="s">
        <v>111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5"/>
      <c r="M34" s="2"/>
    </row>
    <row r="35" spans="1:13">
      <c r="A35" s="2" t="s">
        <v>112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5"/>
      <c r="M35" s="2"/>
    </row>
    <row r="36" spans="1:13">
      <c r="A36" s="2" t="s">
        <v>113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5"/>
      <c r="M36" s="2"/>
    </row>
    <row r="37" spans="1:13">
      <c r="A37" s="2" t="s">
        <v>114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5"/>
      <c r="M37" s="2"/>
    </row>
    <row r="38" spans="1:13">
      <c r="A38" s="2" t="s">
        <v>115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5"/>
      <c r="M38" s="2"/>
    </row>
    <row r="39" spans="1:13">
      <c r="A39" s="2" t="s">
        <v>116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5"/>
      <c r="M39" s="2"/>
    </row>
    <row r="40" spans="1:13">
      <c r="A40" s="2" t="s">
        <v>117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5"/>
      <c r="M40" s="2"/>
    </row>
    <row r="41" spans="1:13">
      <c r="A41" s="2" t="s">
        <v>118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5"/>
      <c r="M41" s="2"/>
    </row>
    <row r="42" spans="1:13">
      <c r="A42" s="2" t="s">
        <v>119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5"/>
      <c r="M42" s="2"/>
    </row>
    <row r="43" spans="1:13">
      <c r="A43" s="2" t="s">
        <v>120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5"/>
      <c r="M43" s="2"/>
    </row>
    <row r="44" spans="1:13">
      <c r="A44" s="2" t="s">
        <v>121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5"/>
      <c r="M44" s="2"/>
    </row>
    <row r="45" spans="1:13">
      <c r="A45" s="2" t="s">
        <v>122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5"/>
      <c r="M45" s="2"/>
    </row>
    <row r="46" spans="1:13">
      <c r="A46" s="2" t="s">
        <v>123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5"/>
      <c r="M46" s="2"/>
    </row>
    <row r="47" spans="1:13">
      <c r="A47" s="2" t="s">
        <v>124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5"/>
      <c r="M47" s="2"/>
    </row>
    <row r="48" spans="1:13">
      <c r="A48" s="2" t="s">
        <v>125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5"/>
      <c r="M48" s="2"/>
    </row>
    <row r="49" spans="1:13">
      <c r="A49" s="2" t="s">
        <v>126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5"/>
      <c r="M49" s="2"/>
    </row>
    <row r="50" spans="1:13">
      <c r="A50" s="2" t="s">
        <v>127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5"/>
      <c r="M50" s="2"/>
    </row>
    <row r="51" spans="1:13">
      <c r="A51" s="2" t="s">
        <v>128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5"/>
      <c r="M51" s="2"/>
    </row>
    <row r="52" spans="1:13">
      <c r="A52" s="2" t="s">
        <v>129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5"/>
      <c r="M52" s="2"/>
    </row>
    <row r="53" spans="1:13">
      <c r="A53" s="2" t="s">
        <v>130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5"/>
      <c r="M53" s="2"/>
    </row>
    <row r="54" spans="1:13">
      <c r="A54" s="2" t="s">
        <v>131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5"/>
      <c r="M54" s="2"/>
    </row>
    <row r="55" spans="1:13">
      <c r="A55" s="2" t="s">
        <v>132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5"/>
      <c r="M55" s="2"/>
    </row>
    <row r="56" spans="1:13">
      <c r="A56" s="2" t="s">
        <v>133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5"/>
      <c r="M56" s="2"/>
    </row>
    <row r="57" spans="1:13">
      <c r="A57" s="2" t="s">
        <v>134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5"/>
      <c r="M57" s="2"/>
    </row>
    <row r="58" spans="1:13">
      <c r="A58" s="2" t="s">
        <v>135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5"/>
      <c r="M58" s="2"/>
    </row>
    <row r="59" spans="1:13">
      <c r="A59" s="2" t="s">
        <v>136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5"/>
      <c r="M59" s="2"/>
    </row>
    <row r="60" spans="1:13">
      <c r="A60" s="2" t="s">
        <v>137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5"/>
      <c r="M60" s="2"/>
    </row>
    <row r="61" spans="1:13">
      <c r="A61" s="2" t="s">
        <v>138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5"/>
      <c r="M61" s="2"/>
    </row>
    <row r="62" spans="1:13">
      <c r="A62" s="2" t="s">
        <v>139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5"/>
      <c r="M62" s="2"/>
    </row>
    <row r="63" spans="1:13">
      <c r="A63" s="2" t="s">
        <v>140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5"/>
      <c r="M63" s="2"/>
    </row>
    <row r="64" spans="1:13">
      <c r="A64" s="2" t="s">
        <v>141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5"/>
      <c r="M64" s="2"/>
    </row>
    <row r="65" spans="1:13">
      <c r="A65" s="2" t="s">
        <v>142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5"/>
      <c r="M65" s="2"/>
    </row>
    <row r="66" spans="1:13">
      <c r="A66" s="2" t="s">
        <v>143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5"/>
      <c r="M66" s="2"/>
    </row>
    <row r="67" spans="1:13">
      <c r="A67" s="2" t="s">
        <v>144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5"/>
      <c r="M67" s="2"/>
    </row>
    <row r="68" spans="1:13">
      <c r="A68" s="2" t="s">
        <v>145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5"/>
      <c r="M68" s="2"/>
    </row>
    <row r="69" spans="1:13">
      <c r="A69" s="2" t="s">
        <v>146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5"/>
      <c r="M69" s="2"/>
    </row>
    <row r="70" spans="1:13">
      <c r="A70" s="2" t="s">
        <v>147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5"/>
      <c r="M70" s="2"/>
    </row>
    <row r="71" spans="1:13">
      <c r="A71" s="2" t="s">
        <v>148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5"/>
      <c r="M71" s="2"/>
    </row>
    <row r="72" spans="1:13">
      <c r="A72" s="2" t="s">
        <v>149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5"/>
      <c r="M72" s="2"/>
    </row>
    <row r="73" spans="1:13">
      <c r="A73" s="2" t="s">
        <v>150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5"/>
      <c r="M73" s="2"/>
    </row>
    <row r="74" spans="1:13">
      <c r="A74" s="2" t="s">
        <v>151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5"/>
      <c r="M74" s="2"/>
    </row>
    <row r="75" spans="1:13">
      <c r="A75" s="2" t="s">
        <v>152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5"/>
      <c r="M75" s="2"/>
    </row>
    <row r="76" spans="1:13">
      <c r="A76" s="2" t="s">
        <v>153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5"/>
      <c r="M76" s="2"/>
    </row>
    <row r="77" spans="1:13">
      <c r="A77" s="2" t="s">
        <v>154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5"/>
      <c r="M77" s="2"/>
    </row>
    <row r="78" spans="1:13">
      <c r="A78" s="2" t="s">
        <v>155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5"/>
      <c r="M78" s="2"/>
    </row>
    <row r="79" spans="1:13">
      <c r="A79" s="2" t="s">
        <v>156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5"/>
      <c r="M79" s="2"/>
    </row>
    <row r="80" spans="1:13">
      <c r="A80" s="2" t="s">
        <v>157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5"/>
      <c r="M80" s="2"/>
    </row>
    <row r="81" spans="1:13">
      <c r="A81" s="2" t="s">
        <v>158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5"/>
      <c r="M81" s="2"/>
    </row>
    <row r="82" spans="1:13">
      <c r="A82" s="2" t="s">
        <v>159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5"/>
      <c r="M82" s="2"/>
    </row>
    <row r="83" spans="1:13">
      <c r="A83" s="2" t="s">
        <v>160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5"/>
      <c r="M83" s="2"/>
    </row>
    <row r="84" spans="1:13">
      <c r="A84" s="2" t="s">
        <v>161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5"/>
      <c r="M84" s="2"/>
    </row>
    <row r="85" spans="1:13">
      <c r="A85" s="2" t="s">
        <v>162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5"/>
      <c r="M85" s="2"/>
    </row>
    <row r="86" spans="1:13">
      <c r="A86" s="2" t="s">
        <v>163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5"/>
      <c r="M86" s="2"/>
    </row>
    <row r="87" spans="1:13">
      <c r="A87" s="2" t="s">
        <v>164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5"/>
      <c r="M87" s="2"/>
    </row>
    <row r="88" spans="1:13">
      <c r="A88" s="2" t="s">
        <v>165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5"/>
      <c r="M88" s="2"/>
    </row>
    <row r="89" spans="1:13">
      <c r="A89" s="2" t="s">
        <v>166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5"/>
      <c r="M89" s="2"/>
    </row>
    <row r="90" spans="1:13">
      <c r="A90" s="2" t="s">
        <v>167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5"/>
      <c r="M90" s="2"/>
    </row>
    <row r="91" spans="1:13">
      <c r="A91" s="2" t="s">
        <v>168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5"/>
      <c r="M91" s="2"/>
    </row>
    <row r="92" spans="1:13">
      <c r="A92" s="2" t="s">
        <v>169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5"/>
      <c r="M92" s="2"/>
    </row>
    <row r="93" spans="1:13">
      <c r="A93" s="2" t="s">
        <v>170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5"/>
      <c r="M93" s="2"/>
    </row>
    <row r="94" spans="1:13">
      <c r="A94" s="2" t="s">
        <v>171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5"/>
      <c r="M94" s="2"/>
    </row>
    <row r="95" spans="1:13">
      <c r="A95" s="2" t="s">
        <v>172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5"/>
      <c r="M95" s="2"/>
    </row>
    <row r="96" spans="1:13">
      <c r="A96" s="2" t="s">
        <v>173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5"/>
      <c r="M96" s="2"/>
    </row>
    <row r="97" spans="1:13">
      <c r="A97" s="2" t="s">
        <v>174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5"/>
      <c r="M97" s="2"/>
    </row>
    <row r="98" spans="1:13">
      <c r="A98" s="2" t="s">
        <v>175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5"/>
      <c r="M98" s="2"/>
    </row>
    <row r="99" spans="1:13">
      <c r="A99" s="2" t="s">
        <v>176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5"/>
      <c r="M99" s="2"/>
    </row>
    <row r="100" spans="1:13">
      <c r="A100" s="2" t="s">
        <v>177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5"/>
      <c r="M100" s="2"/>
    </row>
    <row r="101" spans="1:13">
      <c r="A101" s="2" t="s">
        <v>178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5"/>
      <c r="M101" s="2"/>
    </row>
    <row r="102" spans="1:13">
      <c r="A102" s="2" t="s">
        <v>179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5"/>
      <c r="M102" s="2"/>
    </row>
    <row r="103" spans="1:13">
      <c r="A103" s="2" t="s">
        <v>180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5"/>
      <c r="M103" s="2"/>
    </row>
  </sheetData>
  <mergeCells count="1">
    <mergeCell ref="A1:M1"/>
  </mergeCells>
  <conditionalFormatting sqref="I4:I103">
    <cfRule type="expression" dxfId="8" priority="1">
      <formula>I4="Высокий"</formula>
    </cfRule>
    <cfRule type="expression" dxfId="7" priority="2">
      <formula>I4="Средний"</formula>
    </cfRule>
    <cfRule type="expression" dxfId="6" priority="3">
      <formula>I4="Низкий"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'08_Справочники'!$A$2:$A$7</xm:f>
          </x14:formula1>
          <xm:sqref>H4:H103</xm:sqref>
        </x14:dataValidation>
        <x14:dataValidation type="list" xr:uid="{00000000-0002-0000-0100-000001000000}">
          <x14:formula1>
            <xm:f>'08_Справочники'!$C$2:$C$4</xm:f>
          </x14:formula1>
          <xm:sqref>I4:I103</xm:sqref>
        </x14:dataValidation>
        <x14:dataValidation type="list" xr:uid="{00000000-0002-0000-0100-000002000000}">
          <x14:formula1>
            <xm:f>'08_Справочники'!$B$2:$B$6</xm:f>
          </x14:formula1>
          <xm:sqref>K4:K103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3"/>
  <sheetViews>
    <sheetView workbookViewId="0"/>
  </sheetViews>
  <sheetFormatPr defaultRowHeight="13.5"/>
  <cols>
    <col min="1" max="1" width="12" customWidth="1"/>
    <col min="2" max="2" width="26" customWidth="1"/>
    <col min="3" max="3" width="24" customWidth="1"/>
    <col min="4" max="4" width="44" customWidth="1"/>
    <col min="5" max="5" width="48" customWidth="1"/>
    <col min="6" max="6" width="28" customWidth="1"/>
    <col min="7" max="8" width="16" customWidth="1"/>
    <col min="9" max="9" width="42" customWidth="1"/>
    <col min="10" max="10" width="18" customWidth="1"/>
    <col min="11" max="11" width="28" customWidth="1"/>
    <col min="12" max="12" width="34" customWidth="1"/>
  </cols>
  <sheetData>
    <row r="1" spans="1:26" ht="16.05" customHeight="1">
      <c r="A1" s="10" t="s">
        <v>181</v>
      </c>
      <c r="B1" s="11" t="s">
        <v>181</v>
      </c>
      <c r="C1" s="11" t="s">
        <v>181</v>
      </c>
      <c r="D1" s="11" t="s">
        <v>181</v>
      </c>
      <c r="E1" s="11" t="s">
        <v>181</v>
      </c>
      <c r="F1" s="11" t="s">
        <v>181</v>
      </c>
      <c r="G1" s="11" t="s">
        <v>181</v>
      </c>
      <c r="H1" s="11" t="s">
        <v>181</v>
      </c>
      <c r="I1" s="11" t="s">
        <v>181</v>
      </c>
      <c r="J1" s="11" t="s">
        <v>181</v>
      </c>
      <c r="K1" s="11" t="s">
        <v>181</v>
      </c>
      <c r="L1" s="11" t="s">
        <v>181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27.75">
      <c r="A3" s="1" t="s">
        <v>182</v>
      </c>
      <c r="B3" s="1" t="s">
        <v>69</v>
      </c>
      <c r="C3" s="1" t="s">
        <v>183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188</v>
      </c>
      <c r="I3" s="1" t="s">
        <v>189</v>
      </c>
      <c r="J3" s="1" t="s">
        <v>190</v>
      </c>
      <c r="K3" s="1" t="s">
        <v>191</v>
      </c>
      <c r="L3" s="1" t="s">
        <v>80</v>
      </c>
    </row>
    <row r="4" spans="1:26" ht="27">
      <c r="A4" s="2" t="s">
        <v>81</v>
      </c>
      <c r="B4" s="2" t="str">
        <f>IFERROR(INDEX('01_Компании'!$B$4:$B$103,MATCH(A4,'01_Компании'!$A$4:$A$103,0)),"")</f>
        <v>PerfectXL</v>
      </c>
      <c r="C4" s="2" t="s">
        <v>471</v>
      </c>
      <c r="D4" s="2" t="s">
        <v>472</v>
      </c>
      <c r="E4" s="2" t="s">
        <v>473</v>
      </c>
      <c r="F4" s="2" t="s">
        <v>204</v>
      </c>
      <c r="G4" s="2">
        <v>4</v>
      </c>
      <c r="H4" s="5">
        <v>46298</v>
      </c>
      <c r="I4" s="2" t="s">
        <v>474</v>
      </c>
      <c r="J4" s="2">
        <v>5</v>
      </c>
      <c r="K4" s="2"/>
      <c r="L4" s="2" t="s">
        <v>475</v>
      </c>
    </row>
    <row r="5" spans="1:26" ht="27">
      <c r="A5" s="2" t="s">
        <v>81</v>
      </c>
      <c r="B5" s="2" t="str">
        <f>IFERROR(INDEX('01_Компании'!$B$4:$B$103,MATCH(A5,'01_Компании'!$A$4:$A$103,0)),"")</f>
        <v>PerfectXL</v>
      </c>
      <c r="C5" s="2" t="s">
        <v>476</v>
      </c>
      <c r="D5" s="2" t="s">
        <v>477</v>
      </c>
      <c r="E5" s="2" t="s">
        <v>478</v>
      </c>
      <c r="F5" s="2" t="s">
        <v>404</v>
      </c>
      <c r="G5" s="2">
        <v>4</v>
      </c>
      <c r="H5" s="5">
        <v>46298</v>
      </c>
      <c r="I5" s="2" t="s">
        <v>479</v>
      </c>
      <c r="J5" s="2">
        <v>5</v>
      </c>
      <c r="K5" s="2"/>
      <c r="L5" s="2" t="s">
        <v>475</v>
      </c>
    </row>
    <row r="6" spans="1:26" ht="27">
      <c r="A6" s="2" t="s">
        <v>82</v>
      </c>
      <c r="B6" s="2" t="str">
        <f>IFERROR(INDEX('01_Компании'!$B$4:$B$103,MATCH(A6,'01_Компании'!$A$4:$A$103,0)),"")</f>
        <v>Arixcel</v>
      </c>
      <c r="C6" s="2" t="s">
        <v>471</v>
      </c>
      <c r="D6" s="2" t="s">
        <v>480</v>
      </c>
      <c r="E6" s="2" t="s">
        <v>481</v>
      </c>
      <c r="F6" s="2" t="s">
        <v>204</v>
      </c>
      <c r="G6" s="2">
        <v>4</v>
      </c>
      <c r="H6" s="5">
        <v>46298</v>
      </c>
      <c r="I6" s="2" t="s">
        <v>482</v>
      </c>
      <c r="J6" s="2">
        <v>4</v>
      </c>
      <c r="K6" s="2"/>
      <c r="L6" s="2" t="s">
        <v>475</v>
      </c>
    </row>
    <row r="7" spans="1:26" ht="27">
      <c r="A7" s="2" t="s">
        <v>83</v>
      </c>
      <c r="B7" s="2" t="str">
        <f>IFERROR(INDEX('01_Компании'!$B$4:$B$103,MATCH(A7,'01_Компании'!$A$4:$A$103,0)),"")</f>
        <v>Operis</v>
      </c>
      <c r="C7" s="2" t="s">
        <v>471</v>
      </c>
      <c r="D7" s="2" t="s">
        <v>483</v>
      </c>
      <c r="E7" s="2" t="s">
        <v>484</v>
      </c>
      <c r="F7" s="2" t="s">
        <v>204</v>
      </c>
      <c r="G7" s="2">
        <v>4</v>
      </c>
      <c r="H7" s="5">
        <v>46298</v>
      </c>
      <c r="I7" s="2" t="s">
        <v>485</v>
      </c>
      <c r="J7" s="2">
        <v>4</v>
      </c>
      <c r="K7" s="2"/>
      <c r="L7" s="2" t="s">
        <v>475</v>
      </c>
    </row>
    <row r="8" spans="1:26" ht="27">
      <c r="A8" s="2" t="s">
        <v>84</v>
      </c>
      <c r="B8" s="2" t="str">
        <f>IFERROR(INDEX('01_Компании'!$B$4:$B$103,MATCH(A8,'01_Компании'!$A$4:$A$103,0)),"")</f>
        <v>Shortcut</v>
      </c>
      <c r="C8" s="2" t="s">
        <v>471</v>
      </c>
      <c r="D8" s="2" t="s">
        <v>486</v>
      </c>
      <c r="E8" s="2" t="s">
        <v>487</v>
      </c>
      <c r="F8" s="2" t="s">
        <v>204</v>
      </c>
      <c r="G8" s="2">
        <v>4</v>
      </c>
      <c r="H8" s="5">
        <v>46298</v>
      </c>
      <c r="I8" s="2" t="s">
        <v>488</v>
      </c>
      <c r="J8" s="2">
        <v>5</v>
      </c>
      <c r="K8" s="2"/>
      <c r="L8" s="2" t="s">
        <v>475</v>
      </c>
    </row>
    <row r="9" spans="1:26" ht="27">
      <c r="A9" s="2" t="s">
        <v>84</v>
      </c>
      <c r="B9" s="2" t="str">
        <f>IFERROR(INDEX('01_Компании'!$B$4:$B$103,MATCH(A9,'01_Компании'!$A$4:$A$103,0)),"")</f>
        <v>Shortcut</v>
      </c>
      <c r="C9" s="2" t="s">
        <v>476</v>
      </c>
      <c r="D9" s="2" t="s">
        <v>489</v>
      </c>
      <c r="E9" s="2" t="s">
        <v>490</v>
      </c>
      <c r="F9" s="2" t="s">
        <v>404</v>
      </c>
      <c r="G9" s="2">
        <v>4</v>
      </c>
      <c r="H9" s="5">
        <v>46298</v>
      </c>
      <c r="I9" s="2" t="s">
        <v>491</v>
      </c>
      <c r="J9" s="2">
        <v>5</v>
      </c>
      <c r="K9" s="2"/>
      <c r="L9" s="2" t="s">
        <v>475</v>
      </c>
    </row>
    <row r="10" spans="1:26" ht="27">
      <c r="A10" s="2" t="s">
        <v>85</v>
      </c>
      <c r="B10" s="2" t="str">
        <f>IFERROR(INDEX('01_Компании'!$B$4:$B$103,MATCH(A10,'01_Компании'!$A$4:$A$103,0)),"")</f>
        <v>Numerous.ai</v>
      </c>
      <c r="C10" s="2" t="s">
        <v>471</v>
      </c>
      <c r="D10" s="2" t="s">
        <v>492</v>
      </c>
      <c r="E10" s="2" t="s">
        <v>493</v>
      </c>
      <c r="F10" s="2" t="s">
        <v>204</v>
      </c>
      <c r="G10" s="2">
        <v>4</v>
      </c>
      <c r="H10" s="5">
        <v>46298</v>
      </c>
      <c r="I10" s="2" t="s">
        <v>494</v>
      </c>
      <c r="J10" s="2">
        <v>5</v>
      </c>
      <c r="K10" s="2"/>
      <c r="L10" s="2" t="s">
        <v>475</v>
      </c>
    </row>
    <row r="11" spans="1:26" ht="27">
      <c r="A11" s="2" t="s">
        <v>85</v>
      </c>
      <c r="B11" s="2" t="str">
        <f>IFERROR(INDEX('01_Компании'!$B$4:$B$103,MATCH(A11,'01_Компании'!$A$4:$A$103,0)),"")</f>
        <v>Numerous.ai</v>
      </c>
      <c r="C11" s="2" t="s">
        <v>476</v>
      </c>
      <c r="D11" s="2" t="s">
        <v>495</v>
      </c>
      <c r="E11" s="2" t="s">
        <v>496</v>
      </c>
      <c r="F11" s="2" t="s">
        <v>404</v>
      </c>
      <c r="G11" s="2">
        <v>4</v>
      </c>
      <c r="H11" s="5">
        <v>46298</v>
      </c>
      <c r="I11" s="2" t="s">
        <v>497</v>
      </c>
      <c r="J11" s="2">
        <v>5</v>
      </c>
      <c r="K11" s="2"/>
      <c r="L11" s="2" t="s">
        <v>475</v>
      </c>
    </row>
    <row r="12" spans="1:26" ht="27">
      <c r="A12" s="2" t="s">
        <v>86</v>
      </c>
      <c r="B12" s="2" t="str">
        <f>IFERROR(INDEX('01_Компании'!$B$4:$B$103,MATCH(A12,'01_Компании'!$A$4:$A$103,0)),"")</f>
        <v>Datarails</v>
      </c>
      <c r="C12" s="2" t="s">
        <v>471</v>
      </c>
      <c r="D12" s="2" t="s">
        <v>498</v>
      </c>
      <c r="E12" s="2" t="s">
        <v>499</v>
      </c>
      <c r="F12" s="2" t="s">
        <v>204</v>
      </c>
      <c r="G12" s="2">
        <v>4</v>
      </c>
      <c r="H12" s="5">
        <v>46298</v>
      </c>
      <c r="I12" s="2" t="s">
        <v>500</v>
      </c>
      <c r="J12" s="2">
        <v>5</v>
      </c>
      <c r="K12" s="2"/>
      <c r="L12" s="2" t="s">
        <v>475</v>
      </c>
    </row>
    <row r="13" spans="1:26" ht="27">
      <c r="A13" s="2" t="s">
        <v>87</v>
      </c>
      <c r="B13" s="2" t="str">
        <f>IFERROR(INDEX('01_Компании'!$B$4:$B$103,MATCH(A13,'01_Компании'!$A$4:$A$103,0)),"")</f>
        <v>DataSnipper</v>
      </c>
      <c r="C13" s="2" t="s">
        <v>471</v>
      </c>
      <c r="D13" s="2" t="s">
        <v>501</v>
      </c>
      <c r="E13" s="2" t="s">
        <v>502</v>
      </c>
      <c r="F13" s="2" t="s">
        <v>204</v>
      </c>
      <c r="G13" s="2">
        <v>4</v>
      </c>
      <c r="H13" s="5">
        <v>46298</v>
      </c>
      <c r="I13" s="2" t="s">
        <v>503</v>
      </c>
      <c r="J13" s="2">
        <v>5</v>
      </c>
      <c r="K13" s="2"/>
      <c r="L13" s="2" t="s">
        <v>475</v>
      </c>
    </row>
    <row r="14" spans="1:26" ht="27">
      <c r="A14" s="2" t="s">
        <v>84</v>
      </c>
      <c r="B14" s="2" t="str">
        <f>IFERROR(INDEX('01_Компании'!$B$4:$B$103,MATCH(A14,'01_Компании'!$A$4:$A$103,0)),"")</f>
        <v>Shortcut</v>
      </c>
      <c r="C14" s="2" t="s">
        <v>504</v>
      </c>
      <c r="D14" s="2" t="s">
        <v>505</v>
      </c>
      <c r="E14" s="2" t="s">
        <v>506</v>
      </c>
      <c r="F14" s="2" t="s">
        <v>507</v>
      </c>
      <c r="G14" s="2">
        <v>4</v>
      </c>
      <c r="H14" s="5">
        <v>46298</v>
      </c>
      <c r="I14" s="2" t="s">
        <v>508</v>
      </c>
      <c r="J14" s="2">
        <v>4</v>
      </c>
      <c r="K14" s="2"/>
      <c r="L14" s="2" t="s">
        <v>475</v>
      </c>
    </row>
    <row r="15" spans="1:26" ht="27">
      <c r="A15" s="2" t="s">
        <v>86</v>
      </c>
      <c r="B15" s="2" t="str">
        <f>IFERROR(INDEX('01_Компании'!$B$4:$B$103,MATCH(A15,'01_Компании'!$A$4:$A$103,0)),"")</f>
        <v>Datarails</v>
      </c>
      <c r="C15" s="2" t="s">
        <v>504</v>
      </c>
      <c r="D15" s="2" t="s">
        <v>509</v>
      </c>
      <c r="E15" s="2" t="s">
        <v>510</v>
      </c>
      <c r="F15" s="2" t="s">
        <v>507</v>
      </c>
      <c r="G15" s="2">
        <v>4</v>
      </c>
      <c r="H15" s="5">
        <v>46298</v>
      </c>
      <c r="I15" s="2" t="s">
        <v>511</v>
      </c>
      <c r="J15" s="2">
        <v>5</v>
      </c>
      <c r="K15" s="2"/>
      <c r="L15" s="2" t="s">
        <v>475</v>
      </c>
    </row>
    <row r="16" spans="1:26" ht="27">
      <c r="A16" s="2" t="s">
        <v>81</v>
      </c>
      <c r="B16" s="2" t="str">
        <f>IFERROR(INDEX('01_Компании'!$B$4:$B$103,MATCH(A16,'01_Компании'!$A$4:$A$103,0)),"")</f>
        <v>PerfectXL</v>
      </c>
      <c r="C16" s="2" t="s">
        <v>504</v>
      </c>
      <c r="D16" s="2" t="s">
        <v>512</v>
      </c>
      <c r="E16" s="2" t="s">
        <v>513</v>
      </c>
      <c r="F16" s="2" t="s">
        <v>507</v>
      </c>
      <c r="G16" s="2">
        <v>4</v>
      </c>
      <c r="H16" s="5">
        <v>46298</v>
      </c>
      <c r="I16" s="2" t="s">
        <v>508</v>
      </c>
      <c r="J16" s="2">
        <v>5</v>
      </c>
      <c r="K16" s="2"/>
      <c r="L16" s="2" t="s">
        <v>475</v>
      </c>
    </row>
    <row r="17" spans="1:12" ht="27">
      <c r="A17" s="2" t="s">
        <v>82</v>
      </c>
      <c r="B17" s="2" t="str">
        <f>IFERROR(INDEX('01_Компании'!$B$4:$B$103,MATCH(A17,'01_Компании'!$A$4:$A$103,0)),"")</f>
        <v>Arixcel</v>
      </c>
      <c r="C17" s="2" t="s">
        <v>504</v>
      </c>
      <c r="D17" s="2" t="s">
        <v>514</v>
      </c>
      <c r="E17" s="2" t="s">
        <v>515</v>
      </c>
      <c r="F17" s="2" t="s">
        <v>507</v>
      </c>
      <c r="G17" s="2">
        <v>4</v>
      </c>
      <c r="H17" s="5">
        <v>46298</v>
      </c>
      <c r="I17" s="2" t="s">
        <v>516</v>
      </c>
      <c r="J17" s="2">
        <v>4</v>
      </c>
      <c r="K17" s="2"/>
      <c r="L17" s="2" t="s">
        <v>475</v>
      </c>
    </row>
    <row r="18" spans="1:12" ht="27">
      <c r="A18" s="2" t="s">
        <v>83</v>
      </c>
      <c r="B18" s="2" t="str">
        <f>IFERROR(INDEX('01_Компании'!$B$4:$B$103,MATCH(A18,'01_Компании'!$A$4:$A$103,0)),"")</f>
        <v>Operis</v>
      </c>
      <c r="C18" s="2" t="s">
        <v>517</v>
      </c>
      <c r="D18" s="2" t="s">
        <v>518</v>
      </c>
      <c r="E18" s="2" t="s">
        <v>519</v>
      </c>
      <c r="F18" s="2" t="s">
        <v>520</v>
      </c>
      <c r="G18" s="2">
        <v>4</v>
      </c>
      <c r="H18" s="5">
        <v>46298</v>
      </c>
      <c r="I18" s="2" t="s">
        <v>521</v>
      </c>
      <c r="J18" s="2">
        <v>3</v>
      </c>
      <c r="K18" s="2"/>
      <c r="L18" s="2" t="s">
        <v>475</v>
      </c>
    </row>
    <row r="19" spans="1:12" ht="27">
      <c r="A19" s="2" t="s">
        <v>87</v>
      </c>
      <c r="B19" s="2" t="str">
        <f>IFERROR(INDEX('01_Компании'!$B$4:$B$103,MATCH(A19,'01_Компании'!$A$4:$A$103,0)),"")</f>
        <v>DataSnipper</v>
      </c>
      <c r="C19" s="2" t="s">
        <v>517</v>
      </c>
      <c r="D19" s="2" t="s">
        <v>518</v>
      </c>
      <c r="E19" s="2" t="s">
        <v>522</v>
      </c>
      <c r="F19" s="2" t="s">
        <v>520</v>
      </c>
      <c r="G19" s="2">
        <v>4</v>
      </c>
      <c r="H19" s="5">
        <v>46298</v>
      </c>
      <c r="I19" s="2" t="s">
        <v>523</v>
      </c>
      <c r="J19" s="2">
        <v>4</v>
      </c>
      <c r="K19" s="2"/>
      <c r="L19" s="2" t="s">
        <v>475</v>
      </c>
    </row>
    <row r="20" spans="1:12" ht="40.5">
      <c r="A20" s="2" t="s">
        <v>87</v>
      </c>
      <c r="B20" s="2" t="str">
        <f>IFERROR(INDEX('01_Компании'!$B$4:$B$103,MATCH(A20,'01_Компании'!$A$4:$A$103,0)),"")</f>
        <v>DataSnipper</v>
      </c>
      <c r="C20" s="2" t="s">
        <v>524</v>
      </c>
      <c r="D20" s="2" t="s">
        <v>525</v>
      </c>
      <c r="E20" s="2" t="s">
        <v>526</v>
      </c>
      <c r="F20" s="2" t="s">
        <v>398</v>
      </c>
      <c r="G20" s="2">
        <v>4</v>
      </c>
      <c r="H20" s="5">
        <v>46298</v>
      </c>
      <c r="I20" s="2" t="s">
        <v>527</v>
      </c>
      <c r="J20" s="2">
        <v>5</v>
      </c>
      <c r="K20" s="2"/>
      <c r="L20" s="2" t="s">
        <v>475</v>
      </c>
    </row>
    <row r="21" spans="1:12" ht="27">
      <c r="A21" s="2" t="s">
        <v>87</v>
      </c>
      <c r="B21" s="2" t="str">
        <f>IFERROR(INDEX('01_Компании'!$B$4:$B$103,MATCH(A21,'01_Компании'!$A$4:$A$103,0)),"")</f>
        <v>DataSnipper</v>
      </c>
      <c r="C21" s="2" t="s">
        <v>476</v>
      </c>
      <c r="D21" s="2" t="s">
        <v>528</v>
      </c>
      <c r="E21" s="2" t="s">
        <v>529</v>
      </c>
      <c r="F21" s="2" t="s">
        <v>404</v>
      </c>
      <c r="G21" s="2">
        <v>4</v>
      </c>
      <c r="H21" s="5">
        <v>46298</v>
      </c>
      <c r="I21" s="2" t="s">
        <v>530</v>
      </c>
      <c r="J21" s="2">
        <v>5</v>
      </c>
      <c r="K21" s="2"/>
      <c r="L21" s="2" t="s">
        <v>475</v>
      </c>
    </row>
    <row r="22" spans="1:12" ht="27">
      <c r="A22" s="2" t="s">
        <v>87</v>
      </c>
      <c r="B22" s="2" t="str">
        <f>IFERROR(INDEX('01_Компании'!$B$4:$B$103,MATCH(A22,'01_Компании'!$A$4:$A$103,0)),"")</f>
        <v>DataSnipper</v>
      </c>
      <c r="C22" s="2" t="s">
        <v>531</v>
      </c>
      <c r="D22" s="2" t="s">
        <v>532</v>
      </c>
      <c r="E22" s="2" t="s">
        <v>533</v>
      </c>
      <c r="F22" s="2" t="s">
        <v>398</v>
      </c>
      <c r="G22" s="2">
        <v>4</v>
      </c>
      <c r="H22" s="5">
        <v>46298</v>
      </c>
      <c r="I22" s="2" t="s">
        <v>534</v>
      </c>
      <c r="J22" s="2">
        <v>4</v>
      </c>
      <c r="K22" s="2"/>
      <c r="L22" s="2" t="s">
        <v>475</v>
      </c>
    </row>
    <row r="23" spans="1:12" ht="27">
      <c r="A23" s="2" t="s">
        <v>87</v>
      </c>
      <c r="B23" s="2" t="str">
        <f>IFERROR(INDEX('01_Компании'!$B$4:$B$103,MATCH(A23,'01_Компании'!$A$4:$A$103,0)),"")</f>
        <v>DataSnipper</v>
      </c>
      <c r="C23" s="2" t="s">
        <v>535</v>
      </c>
      <c r="D23" s="2" t="s">
        <v>536</v>
      </c>
      <c r="E23" s="2" t="s">
        <v>537</v>
      </c>
      <c r="F23" s="2" t="s">
        <v>507</v>
      </c>
      <c r="G23" s="2">
        <v>4</v>
      </c>
      <c r="H23" s="5">
        <v>46298</v>
      </c>
      <c r="I23" s="2" t="s">
        <v>538</v>
      </c>
      <c r="J23" s="2">
        <v>5</v>
      </c>
      <c r="K23" s="2"/>
      <c r="L23" s="2" t="s">
        <v>475</v>
      </c>
    </row>
    <row r="24" spans="1:12" ht="27">
      <c r="A24" s="2" t="s">
        <v>86</v>
      </c>
      <c r="B24" s="2" t="str">
        <f>IFERROR(INDEX('01_Компании'!$B$4:$B$103,MATCH(A24,'01_Компании'!$A$4:$A$103,0)),"")</f>
        <v>Datarails</v>
      </c>
      <c r="C24" s="2" t="s">
        <v>476</v>
      </c>
      <c r="D24" s="2" t="s">
        <v>539</v>
      </c>
      <c r="E24" s="2" t="s">
        <v>540</v>
      </c>
      <c r="F24" s="2" t="s">
        <v>404</v>
      </c>
      <c r="G24" s="2">
        <v>4</v>
      </c>
      <c r="H24" s="5">
        <v>46298</v>
      </c>
      <c r="I24" s="2" t="s">
        <v>541</v>
      </c>
      <c r="J24" s="2">
        <v>5</v>
      </c>
      <c r="K24" s="2"/>
      <c r="L24" s="2" t="s">
        <v>475</v>
      </c>
    </row>
    <row r="25" spans="1:12" ht="40.5">
      <c r="A25" s="2" t="s">
        <v>86</v>
      </c>
      <c r="B25" s="2" t="str">
        <f>IFERROR(INDEX('01_Компании'!$B$4:$B$103,MATCH(A25,'01_Компании'!$A$4:$A$103,0)),"")</f>
        <v>Datarails</v>
      </c>
      <c r="C25" s="2" t="s">
        <v>542</v>
      </c>
      <c r="D25" s="2" t="s">
        <v>543</v>
      </c>
      <c r="E25" s="2" t="s">
        <v>544</v>
      </c>
      <c r="F25" s="2" t="s">
        <v>398</v>
      </c>
      <c r="G25" s="2">
        <v>4</v>
      </c>
      <c r="H25" s="5">
        <v>46298</v>
      </c>
      <c r="I25" s="2" t="s">
        <v>545</v>
      </c>
      <c r="J25" s="2">
        <v>5</v>
      </c>
      <c r="K25" s="2"/>
      <c r="L25" s="2" t="s">
        <v>475</v>
      </c>
    </row>
    <row r="26" spans="1:12" ht="27">
      <c r="A26" s="2" t="s">
        <v>86</v>
      </c>
      <c r="B26" s="2" t="str">
        <f>IFERROR(INDEX('01_Компании'!$B$4:$B$103,MATCH(A26,'01_Компании'!$A$4:$A$103,0)),"")</f>
        <v>Datarails</v>
      </c>
      <c r="C26" s="2" t="s">
        <v>531</v>
      </c>
      <c r="D26" s="2" t="s">
        <v>546</v>
      </c>
      <c r="E26" s="2" t="s">
        <v>547</v>
      </c>
      <c r="F26" s="2" t="s">
        <v>398</v>
      </c>
      <c r="G26" s="2">
        <v>4</v>
      </c>
      <c r="H26" s="5">
        <v>46298</v>
      </c>
      <c r="I26" s="2" t="s">
        <v>548</v>
      </c>
      <c r="J26" s="2">
        <v>4</v>
      </c>
      <c r="K26" s="2"/>
      <c r="L26" s="2" t="s">
        <v>475</v>
      </c>
    </row>
    <row r="27" spans="1:12" ht="27">
      <c r="A27" s="2" t="s">
        <v>86</v>
      </c>
      <c r="B27" s="2" t="str">
        <f>IFERROR(INDEX('01_Компании'!$B$4:$B$103,MATCH(A27,'01_Компании'!$A$4:$A$103,0)),"")</f>
        <v>Datarails</v>
      </c>
      <c r="C27" s="2" t="s">
        <v>535</v>
      </c>
      <c r="D27" s="2" t="s">
        <v>549</v>
      </c>
      <c r="E27" s="2" t="s">
        <v>550</v>
      </c>
      <c r="F27" s="2" t="s">
        <v>507</v>
      </c>
      <c r="G27" s="2">
        <v>4</v>
      </c>
      <c r="H27" s="5">
        <v>46298</v>
      </c>
      <c r="I27" s="2" t="s">
        <v>538</v>
      </c>
      <c r="J27" s="2">
        <v>5</v>
      </c>
      <c r="K27" s="2"/>
      <c r="L27" s="2" t="s">
        <v>475</v>
      </c>
    </row>
    <row r="28" spans="1:12" ht="27">
      <c r="A28" s="2" t="s">
        <v>82</v>
      </c>
      <c r="B28" s="2" t="str">
        <f>IFERROR(INDEX('01_Компании'!$B$4:$B$103,MATCH(A28,'01_Компании'!$A$4:$A$103,0)),"")</f>
        <v>Arixcel</v>
      </c>
      <c r="C28" s="2" t="s">
        <v>551</v>
      </c>
      <c r="D28" s="2" t="s">
        <v>552</v>
      </c>
      <c r="E28" s="2" t="s">
        <v>553</v>
      </c>
      <c r="F28" s="2" t="s">
        <v>398</v>
      </c>
      <c r="G28" s="2">
        <v>4</v>
      </c>
      <c r="H28" s="5">
        <v>46298</v>
      </c>
      <c r="I28" s="2" t="s">
        <v>554</v>
      </c>
      <c r="J28" s="2">
        <v>5</v>
      </c>
      <c r="K28" s="2"/>
      <c r="L28" s="2" t="s">
        <v>475</v>
      </c>
    </row>
    <row r="29" spans="1:12" ht="27">
      <c r="A29" s="2" t="s">
        <v>83</v>
      </c>
      <c r="B29" s="2" t="str">
        <f>IFERROR(INDEX('01_Компании'!$B$4:$B$103,MATCH(A29,'01_Компании'!$A$4:$A$103,0)),"")</f>
        <v>Operis</v>
      </c>
      <c r="C29" s="2" t="s">
        <v>555</v>
      </c>
      <c r="D29" s="2" t="s">
        <v>556</v>
      </c>
      <c r="E29" s="2" t="s">
        <v>557</v>
      </c>
      <c r="F29" s="2" t="s">
        <v>404</v>
      </c>
      <c r="G29" s="2">
        <v>4</v>
      </c>
      <c r="H29" s="5">
        <v>46298</v>
      </c>
      <c r="I29" s="2" t="s">
        <v>558</v>
      </c>
      <c r="J29" s="2">
        <v>5</v>
      </c>
      <c r="K29" s="2"/>
      <c r="L29" s="2" t="s">
        <v>475</v>
      </c>
    </row>
    <row r="30" spans="1:12" ht="27">
      <c r="A30" s="2" t="s">
        <v>84</v>
      </c>
      <c r="B30" s="2" t="str">
        <f>IFERROR(INDEX('01_Компании'!$B$4:$B$103,MATCH(A30,'01_Компании'!$A$4:$A$103,0)),"")</f>
        <v>Shortcut</v>
      </c>
      <c r="C30" s="2" t="s">
        <v>524</v>
      </c>
      <c r="D30" s="2" t="s">
        <v>559</v>
      </c>
      <c r="E30" s="2" t="s">
        <v>560</v>
      </c>
      <c r="F30" s="2" t="s">
        <v>398</v>
      </c>
      <c r="G30" s="2">
        <v>4</v>
      </c>
      <c r="H30" s="5">
        <v>46298</v>
      </c>
      <c r="I30" s="2" t="s">
        <v>561</v>
      </c>
      <c r="J30" s="2">
        <v>5</v>
      </c>
      <c r="K30" s="2"/>
      <c r="L30" s="2" t="s">
        <v>475</v>
      </c>
    </row>
    <row r="31" spans="1:12" ht="27">
      <c r="A31" s="2" t="s">
        <v>85</v>
      </c>
      <c r="B31" s="2" t="str">
        <f>IFERROR(INDEX('01_Компании'!$B$4:$B$103,MATCH(A31,'01_Компании'!$A$4:$A$103,0)),"")</f>
        <v>Numerous.ai</v>
      </c>
      <c r="C31" s="2" t="s">
        <v>562</v>
      </c>
      <c r="D31" s="2" t="s">
        <v>563</v>
      </c>
      <c r="E31" s="2" t="s">
        <v>564</v>
      </c>
      <c r="F31" s="2" t="s">
        <v>404</v>
      </c>
      <c r="G31" s="2">
        <v>4</v>
      </c>
      <c r="H31" s="5">
        <v>46298</v>
      </c>
      <c r="I31" s="2" t="s">
        <v>565</v>
      </c>
      <c r="J31" s="2">
        <v>4</v>
      </c>
      <c r="K31" s="2"/>
      <c r="L31" s="2" t="s">
        <v>475</v>
      </c>
    </row>
    <row r="32" spans="1:12" ht="27">
      <c r="A32" s="2" t="s">
        <v>85</v>
      </c>
      <c r="B32" s="2" t="str">
        <f>IFERROR(INDEX('01_Компании'!$B$4:$B$103,MATCH(A32,'01_Компании'!$A$4:$A$103,0)),"")</f>
        <v>Numerous.ai</v>
      </c>
      <c r="C32" s="2" t="s">
        <v>566</v>
      </c>
      <c r="D32" s="2" t="s">
        <v>563</v>
      </c>
      <c r="E32" s="2" t="s">
        <v>567</v>
      </c>
      <c r="F32" s="2" t="s">
        <v>398</v>
      </c>
      <c r="G32" s="2">
        <v>4</v>
      </c>
      <c r="H32" s="5">
        <v>46298</v>
      </c>
      <c r="I32" s="2" t="s">
        <v>568</v>
      </c>
      <c r="J32" s="2">
        <v>4</v>
      </c>
      <c r="K32" s="2"/>
      <c r="L32" s="2" t="s">
        <v>475</v>
      </c>
    </row>
    <row r="33" spans="1:12" ht="27">
      <c r="A33" s="2" t="s">
        <v>85</v>
      </c>
      <c r="B33" s="2" t="str">
        <f>IFERROR(INDEX('01_Компании'!$B$4:$B$103,MATCH(A33,'01_Компании'!$A$4:$A$103,0)),"")</f>
        <v>Numerous.ai</v>
      </c>
      <c r="C33" s="2" t="s">
        <v>569</v>
      </c>
      <c r="D33" s="2" t="s">
        <v>570</v>
      </c>
      <c r="E33" s="2" t="s">
        <v>571</v>
      </c>
      <c r="F33" s="2" t="s">
        <v>507</v>
      </c>
      <c r="G33" s="2">
        <v>4</v>
      </c>
      <c r="H33" s="5">
        <v>46298</v>
      </c>
      <c r="I33" s="2" t="s">
        <v>572</v>
      </c>
      <c r="J33" s="2">
        <v>5</v>
      </c>
      <c r="K33" s="2"/>
      <c r="L33" s="2" t="s">
        <v>475</v>
      </c>
    </row>
    <row r="34" spans="1:12" ht="27">
      <c r="A34" s="2" t="s">
        <v>81</v>
      </c>
      <c r="B34" s="2" t="str">
        <f>IFERROR(INDEX('01_Компании'!$B$4:$B$103,MATCH(A34,'01_Компании'!$A$4:$A$103,0)),"")</f>
        <v>PerfectXL</v>
      </c>
      <c r="C34" s="2" t="s">
        <v>573</v>
      </c>
      <c r="D34" s="2" t="s">
        <v>574</v>
      </c>
      <c r="E34" s="2" t="s">
        <v>575</v>
      </c>
      <c r="F34" s="2" t="s">
        <v>398</v>
      </c>
      <c r="G34" s="2">
        <v>4</v>
      </c>
      <c r="H34" s="5">
        <v>46298</v>
      </c>
      <c r="I34" s="2" t="s">
        <v>576</v>
      </c>
      <c r="J34" s="2">
        <v>5</v>
      </c>
      <c r="K34" s="2"/>
      <c r="L34" s="2" t="s">
        <v>475</v>
      </c>
    </row>
    <row r="35" spans="1:12" ht="27">
      <c r="A35" s="2" t="s">
        <v>81</v>
      </c>
      <c r="B35" s="2" t="str">
        <f>IFERROR(INDEX('01_Компании'!$B$4:$B$103,MATCH(A35,'01_Компании'!$A$4:$A$103,0)),"")</f>
        <v>PerfectXL</v>
      </c>
      <c r="C35" s="2" t="s">
        <v>577</v>
      </c>
      <c r="D35" s="2" t="s">
        <v>578</v>
      </c>
      <c r="E35" s="2" t="s">
        <v>579</v>
      </c>
      <c r="F35" s="2" t="s">
        <v>398</v>
      </c>
      <c r="G35" s="2">
        <v>4</v>
      </c>
      <c r="H35" s="5">
        <v>46298</v>
      </c>
      <c r="I35" s="2" t="s">
        <v>568</v>
      </c>
      <c r="J35" s="2">
        <v>4</v>
      </c>
      <c r="K35" s="2"/>
      <c r="L35" s="2" t="s">
        <v>475</v>
      </c>
    </row>
    <row r="36" spans="1:12" ht="27">
      <c r="A36" s="2" t="s">
        <v>88</v>
      </c>
      <c r="B36" s="2" t="str">
        <f>IFERROR(INDEX('01_Компании'!$B$4:$B$103,MATCH(A36,'01_Компании'!$A$4:$A$103,0)),"")</f>
        <v>Rows</v>
      </c>
      <c r="C36" s="2" t="s">
        <v>476</v>
      </c>
      <c r="D36" s="2" t="s">
        <v>580</v>
      </c>
      <c r="E36" s="2" t="s">
        <v>581</v>
      </c>
      <c r="F36" s="2" t="s">
        <v>404</v>
      </c>
      <c r="G36" s="2">
        <v>4</v>
      </c>
      <c r="H36" s="5">
        <v>46298</v>
      </c>
      <c r="I36" s="2" t="s">
        <v>582</v>
      </c>
      <c r="J36" s="2">
        <v>5</v>
      </c>
      <c r="K36" s="2"/>
      <c r="L36" s="2" t="s">
        <v>475</v>
      </c>
    </row>
    <row r="37" spans="1:12" ht="27">
      <c r="A37" s="2" t="s">
        <v>89</v>
      </c>
      <c r="B37" s="2" t="str">
        <f>IFERROR(INDEX('01_Компании'!$B$4:$B$103,MATCH(A37,'01_Компании'!$A$4:$A$103,0)),"")</f>
        <v>Formula Bot</v>
      </c>
      <c r="C37" s="2" t="s">
        <v>504</v>
      </c>
      <c r="D37" s="2" t="s">
        <v>583</v>
      </c>
      <c r="E37" s="2" t="s">
        <v>584</v>
      </c>
      <c r="F37" s="2" t="s">
        <v>398</v>
      </c>
      <c r="G37" s="2">
        <v>4</v>
      </c>
      <c r="H37" s="5">
        <v>46298</v>
      </c>
      <c r="I37" s="2" t="s">
        <v>585</v>
      </c>
      <c r="J37" s="2">
        <v>4</v>
      </c>
      <c r="K37" s="2"/>
      <c r="L37" s="2" t="s">
        <v>475</v>
      </c>
    </row>
    <row r="38" spans="1:12" ht="27">
      <c r="A38" s="2" t="s">
        <v>90</v>
      </c>
      <c r="B38" s="2" t="str">
        <f>IFERROR(INDEX('01_Компании'!$B$4:$B$103,MATCH(A38,'01_Компании'!$A$4:$A$103,0)),"")</f>
        <v>Microsoft 365 Copilot</v>
      </c>
      <c r="C38" s="2" t="s">
        <v>476</v>
      </c>
      <c r="D38" s="2" t="s">
        <v>586</v>
      </c>
      <c r="E38" s="2" t="s">
        <v>587</v>
      </c>
      <c r="F38" s="2" t="s">
        <v>404</v>
      </c>
      <c r="G38" s="2">
        <v>5</v>
      </c>
      <c r="H38" s="5">
        <v>46298</v>
      </c>
      <c r="I38" s="2" t="s">
        <v>588</v>
      </c>
      <c r="J38" s="2">
        <v>5</v>
      </c>
      <c r="K38" s="2"/>
      <c r="L38" s="2" t="s">
        <v>475</v>
      </c>
    </row>
    <row r="39" spans="1:12">
      <c r="A39" s="2"/>
      <c r="B39" s="2" t="str">
        <f>IFERROR(INDEX('01_Компании'!$B$4:$B$103,MATCH(A39,'01_Компании'!$A$4:$A$103,0)),"")</f>
        <v/>
      </c>
      <c r="C39" s="2"/>
      <c r="D39" s="2"/>
      <c r="E39" s="2"/>
      <c r="F39" s="2"/>
      <c r="G39" s="2"/>
      <c r="H39" s="5"/>
      <c r="I39" s="2"/>
      <c r="J39" s="2"/>
      <c r="K39" s="2"/>
      <c r="L39" s="2"/>
    </row>
    <row r="40" spans="1:12">
      <c r="A40" s="2"/>
      <c r="B40" s="2" t="str">
        <f>IFERROR(INDEX('01_Компании'!$B$4:$B$103,MATCH(A40,'01_Компании'!$A$4:$A$103,0)),"")</f>
        <v/>
      </c>
      <c r="C40" s="2"/>
      <c r="D40" s="2"/>
      <c r="E40" s="2"/>
      <c r="F40" s="2"/>
      <c r="G40" s="2"/>
      <c r="H40" s="5"/>
      <c r="I40" s="2"/>
      <c r="J40" s="2"/>
      <c r="K40" s="2"/>
      <c r="L40" s="2"/>
    </row>
    <row r="41" spans="1:12">
      <c r="A41" s="2"/>
      <c r="B41" s="2" t="str">
        <f>IFERROR(INDEX('01_Компании'!$B$4:$B$103,MATCH(A41,'01_Компании'!$A$4:$A$103,0)),"")</f>
        <v/>
      </c>
      <c r="C41" s="2"/>
      <c r="D41" s="2"/>
      <c r="E41" s="2"/>
      <c r="F41" s="2"/>
      <c r="G41" s="2"/>
      <c r="H41" s="5"/>
      <c r="I41" s="2"/>
      <c r="J41" s="2"/>
      <c r="K41" s="2"/>
      <c r="L41" s="2"/>
    </row>
    <row r="42" spans="1:12">
      <c r="A42" s="2"/>
      <c r="B42" s="2" t="str">
        <f>IFERROR(INDEX('01_Компании'!$B$4:$B$103,MATCH(A42,'01_Компании'!$A$4:$A$103,0)),"")</f>
        <v/>
      </c>
      <c r="C42" s="2"/>
      <c r="D42" s="2"/>
      <c r="E42" s="2"/>
      <c r="F42" s="2"/>
      <c r="G42" s="2"/>
      <c r="H42" s="5"/>
      <c r="I42" s="2"/>
      <c r="J42" s="2"/>
      <c r="K42" s="2"/>
      <c r="L42" s="2"/>
    </row>
    <row r="43" spans="1:12">
      <c r="A43" s="2"/>
      <c r="B43" s="2" t="str">
        <f>IFERROR(INDEX('01_Компании'!$B$4:$B$103,MATCH(A43,'01_Компании'!$A$4:$A$103,0)),"")</f>
        <v/>
      </c>
      <c r="C43" s="2"/>
      <c r="D43" s="2"/>
      <c r="E43" s="2"/>
      <c r="F43" s="2"/>
      <c r="G43" s="2"/>
      <c r="H43" s="5"/>
      <c r="I43" s="2"/>
      <c r="J43" s="2"/>
      <c r="K43" s="2"/>
      <c r="L43" s="2"/>
    </row>
    <row r="44" spans="1:12">
      <c r="A44" s="2"/>
      <c r="B44" s="2" t="str">
        <f>IFERROR(INDEX('01_Компании'!$B$4:$B$103,MATCH(A44,'01_Компании'!$A$4:$A$103,0)),"")</f>
        <v/>
      </c>
      <c r="C44" s="2"/>
      <c r="D44" s="2"/>
      <c r="E44" s="2"/>
      <c r="F44" s="2"/>
      <c r="G44" s="2"/>
      <c r="H44" s="5"/>
      <c r="I44" s="2"/>
      <c r="J44" s="2"/>
      <c r="K44" s="2"/>
      <c r="L44" s="2"/>
    </row>
    <row r="45" spans="1:12">
      <c r="A45" s="2"/>
      <c r="B45" s="2" t="str">
        <f>IFERROR(INDEX('01_Компании'!$B$4:$B$103,MATCH(A45,'01_Компании'!$A$4:$A$103,0)),"")</f>
        <v/>
      </c>
      <c r="C45" s="2"/>
      <c r="D45" s="2"/>
      <c r="E45" s="2"/>
      <c r="F45" s="2"/>
      <c r="G45" s="2"/>
      <c r="H45" s="5"/>
      <c r="I45" s="2"/>
      <c r="J45" s="2"/>
      <c r="K45" s="2"/>
      <c r="L45" s="2"/>
    </row>
    <row r="46" spans="1:12">
      <c r="A46" s="2"/>
      <c r="B46" s="2" t="str">
        <f>IFERROR(INDEX('01_Компании'!$B$4:$B$103,MATCH(A46,'01_Компании'!$A$4:$A$103,0)),"")</f>
        <v/>
      </c>
      <c r="C46" s="2"/>
      <c r="D46" s="2"/>
      <c r="E46" s="2"/>
      <c r="F46" s="2"/>
      <c r="G46" s="2"/>
      <c r="H46" s="5"/>
      <c r="I46" s="2"/>
      <c r="J46" s="2"/>
      <c r="K46" s="2"/>
      <c r="L46" s="2"/>
    </row>
    <row r="47" spans="1:12">
      <c r="A47" s="2"/>
      <c r="B47" s="2" t="str">
        <f>IFERROR(INDEX('01_Компании'!$B$4:$B$103,MATCH(A47,'01_Компании'!$A$4:$A$103,0)),"")</f>
        <v/>
      </c>
      <c r="C47" s="2"/>
      <c r="D47" s="2"/>
      <c r="E47" s="2"/>
      <c r="F47" s="2"/>
      <c r="G47" s="2"/>
      <c r="H47" s="5"/>
      <c r="I47" s="2"/>
      <c r="J47" s="2"/>
      <c r="K47" s="2"/>
      <c r="L47" s="2"/>
    </row>
    <row r="48" spans="1:12">
      <c r="A48" s="2"/>
      <c r="B48" s="2" t="str">
        <f>IFERROR(INDEX('01_Компании'!$B$4:$B$103,MATCH(A48,'01_Компании'!$A$4:$A$103,0)),"")</f>
        <v/>
      </c>
      <c r="C48" s="2"/>
      <c r="D48" s="2"/>
      <c r="E48" s="2"/>
      <c r="F48" s="2"/>
      <c r="G48" s="2"/>
      <c r="H48" s="5"/>
      <c r="I48" s="2"/>
      <c r="J48" s="2"/>
      <c r="K48" s="2"/>
      <c r="L48" s="2"/>
    </row>
    <row r="49" spans="1:12">
      <c r="A49" s="2"/>
      <c r="B49" s="2" t="str">
        <f>IFERROR(INDEX('01_Компании'!$B$4:$B$103,MATCH(A49,'01_Компании'!$A$4:$A$103,0)),"")</f>
        <v/>
      </c>
      <c r="C49" s="2"/>
      <c r="D49" s="2"/>
      <c r="E49" s="2"/>
      <c r="F49" s="2"/>
      <c r="G49" s="2"/>
      <c r="H49" s="5"/>
      <c r="I49" s="2"/>
      <c r="J49" s="2"/>
      <c r="K49" s="2"/>
      <c r="L49" s="2"/>
    </row>
    <row r="50" spans="1:12">
      <c r="A50" s="2"/>
      <c r="B50" s="2" t="str">
        <f>IFERROR(INDEX('01_Компании'!$B$4:$B$103,MATCH(A50,'01_Компании'!$A$4:$A$103,0)),"")</f>
        <v/>
      </c>
      <c r="C50" s="2"/>
      <c r="D50" s="2"/>
      <c r="E50" s="2"/>
      <c r="F50" s="2"/>
      <c r="G50" s="2"/>
      <c r="H50" s="5"/>
      <c r="I50" s="2"/>
      <c r="J50" s="2"/>
      <c r="K50" s="2"/>
      <c r="L50" s="2"/>
    </row>
    <row r="51" spans="1:12">
      <c r="A51" s="2"/>
      <c r="B51" s="2" t="str">
        <f>IFERROR(INDEX('01_Компании'!$B$4:$B$103,MATCH(A51,'01_Компании'!$A$4:$A$103,0)),"")</f>
        <v/>
      </c>
      <c r="C51" s="2"/>
      <c r="D51" s="2"/>
      <c r="E51" s="2"/>
      <c r="F51" s="2"/>
      <c r="G51" s="2"/>
      <c r="H51" s="5"/>
      <c r="I51" s="2"/>
      <c r="J51" s="2"/>
      <c r="K51" s="2"/>
      <c r="L51" s="2"/>
    </row>
    <row r="52" spans="1:12">
      <c r="A52" s="2"/>
      <c r="B52" s="2" t="str">
        <f>IFERROR(INDEX('01_Компании'!$B$4:$B$103,MATCH(A52,'01_Компании'!$A$4:$A$103,0)),"")</f>
        <v/>
      </c>
      <c r="C52" s="2"/>
      <c r="D52" s="2"/>
      <c r="E52" s="2"/>
      <c r="F52" s="2"/>
      <c r="G52" s="2"/>
      <c r="H52" s="5"/>
      <c r="I52" s="2"/>
      <c r="J52" s="2"/>
      <c r="K52" s="2"/>
      <c r="L52" s="2"/>
    </row>
    <row r="53" spans="1:12">
      <c r="A53" s="2"/>
      <c r="B53" s="2" t="str">
        <f>IFERROR(INDEX('01_Компании'!$B$4:$B$103,MATCH(A53,'01_Компании'!$A$4:$A$103,0)),"")</f>
        <v/>
      </c>
      <c r="C53" s="2"/>
      <c r="D53" s="2"/>
      <c r="E53" s="2"/>
      <c r="F53" s="2"/>
      <c r="G53" s="2"/>
      <c r="H53" s="5"/>
      <c r="I53" s="2"/>
      <c r="J53" s="2"/>
      <c r="K53" s="2"/>
      <c r="L53" s="2"/>
    </row>
    <row r="54" spans="1:12">
      <c r="A54" s="2"/>
      <c r="B54" s="2" t="str">
        <f>IFERROR(INDEX('01_Компании'!$B$4:$B$103,MATCH(A54,'01_Компании'!$A$4:$A$103,0)),"")</f>
        <v/>
      </c>
      <c r="C54" s="2"/>
      <c r="D54" s="2"/>
      <c r="E54" s="2"/>
      <c r="F54" s="2"/>
      <c r="G54" s="2"/>
      <c r="H54" s="5"/>
      <c r="I54" s="2"/>
      <c r="J54" s="2"/>
      <c r="K54" s="2"/>
      <c r="L54" s="2"/>
    </row>
    <row r="55" spans="1:12">
      <c r="A55" s="2"/>
      <c r="B55" s="2" t="str">
        <f>IFERROR(INDEX('01_Компании'!$B$4:$B$103,MATCH(A55,'01_Компании'!$A$4:$A$103,0)),"")</f>
        <v/>
      </c>
      <c r="C55" s="2"/>
      <c r="D55" s="2"/>
      <c r="E55" s="2"/>
      <c r="F55" s="2"/>
      <c r="G55" s="2"/>
      <c r="H55" s="5"/>
      <c r="I55" s="2"/>
      <c r="J55" s="2"/>
      <c r="K55" s="2"/>
      <c r="L55" s="2"/>
    </row>
    <row r="56" spans="1:12">
      <c r="A56" s="2"/>
      <c r="B56" s="2" t="str">
        <f>IFERROR(INDEX('01_Компании'!$B$4:$B$103,MATCH(A56,'01_Компании'!$A$4:$A$103,0)),"")</f>
        <v/>
      </c>
      <c r="C56" s="2"/>
      <c r="D56" s="2"/>
      <c r="E56" s="2"/>
      <c r="F56" s="2"/>
      <c r="G56" s="2"/>
      <c r="H56" s="5"/>
      <c r="I56" s="2"/>
      <c r="J56" s="2"/>
      <c r="K56" s="2"/>
      <c r="L56" s="2"/>
    </row>
    <row r="57" spans="1:12">
      <c r="A57" s="2"/>
      <c r="B57" s="2" t="str">
        <f>IFERROR(INDEX('01_Компании'!$B$4:$B$103,MATCH(A57,'01_Компании'!$A$4:$A$103,0)),"")</f>
        <v/>
      </c>
      <c r="C57" s="2"/>
      <c r="D57" s="2"/>
      <c r="E57" s="2"/>
      <c r="F57" s="2"/>
      <c r="G57" s="2"/>
      <c r="H57" s="5"/>
      <c r="I57" s="2"/>
      <c r="J57" s="2"/>
      <c r="K57" s="2"/>
      <c r="L57" s="2"/>
    </row>
    <row r="58" spans="1:12">
      <c r="A58" s="2"/>
      <c r="B58" s="2" t="str">
        <f>IFERROR(INDEX('01_Компании'!$B$4:$B$103,MATCH(A58,'01_Компании'!$A$4:$A$103,0)),"")</f>
        <v/>
      </c>
      <c r="C58" s="2"/>
      <c r="D58" s="2"/>
      <c r="E58" s="2"/>
      <c r="F58" s="2"/>
      <c r="G58" s="2"/>
      <c r="H58" s="5"/>
      <c r="I58" s="2"/>
      <c r="J58" s="2"/>
      <c r="K58" s="2"/>
      <c r="L58" s="2"/>
    </row>
    <row r="59" spans="1:12">
      <c r="A59" s="2"/>
      <c r="B59" s="2" t="str">
        <f>IFERROR(INDEX('01_Компании'!$B$4:$B$103,MATCH(A59,'01_Компании'!$A$4:$A$103,0)),"")</f>
        <v/>
      </c>
      <c r="C59" s="2"/>
      <c r="D59" s="2"/>
      <c r="E59" s="2"/>
      <c r="F59" s="2"/>
      <c r="G59" s="2"/>
      <c r="H59" s="5"/>
      <c r="I59" s="2"/>
      <c r="J59" s="2"/>
      <c r="K59" s="2"/>
      <c r="L59" s="2"/>
    </row>
    <row r="60" spans="1:12">
      <c r="A60" s="2"/>
      <c r="B60" s="2" t="str">
        <f>IFERROR(INDEX('01_Компании'!$B$4:$B$103,MATCH(A60,'01_Компании'!$A$4:$A$103,0)),"")</f>
        <v/>
      </c>
      <c r="C60" s="2"/>
      <c r="D60" s="2"/>
      <c r="E60" s="2"/>
      <c r="F60" s="2"/>
      <c r="G60" s="2"/>
      <c r="H60" s="5"/>
      <c r="I60" s="2"/>
      <c r="J60" s="2"/>
      <c r="K60" s="2"/>
      <c r="L60" s="2"/>
    </row>
    <row r="61" spans="1:12">
      <c r="A61" s="2"/>
      <c r="B61" s="2" t="str">
        <f>IFERROR(INDEX('01_Компании'!$B$4:$B$103,MATCH(A61,'01_Компании'!$A$4:$A$103,0)),"")</f>
        <v/>
      </c>
      <c r="C61" s="2"/>
      <c r="D61" s="2"/>
      <c r="E61" s="2"/>
      <c r="F61" s="2"/>
      <c r="G61" s="2"/>
      <c r="H61" s="5"/>
      <c r="I61" s="2"/>
      <c r="J61" s="2"/>
      <c r="K61" s="2"/>
      <c r="L61" s="2"/>
    </row>
    <row r="62" spans="1:12">
      <c r="A62" s="2"/>
      <c r="B62" s="2" t="str">
        <f>IFERROR(INDEX('01_Компании'!$B$4:$B$103,MATCH(A62,'01_Компании'!$A$4:$A$103,0)),"")</f>
        <v/>
      </c>
      <c r="C62" s="2"/>
      <c r="D62" s="2"/>
      <c r="E62" s="2"/>
      <c r="F62" s="2"/>
      <c r="G62" s="2"/>
      <c r="H62" s="5"/>
      <c r="I62" s="2"/>
      <c r="J62" s="2"/>
      <c r="K62" s="2"/>
      <c r="L62" s="2"/>
    </row>
    <row r="63" spans="1:12">
      <c r="A63" s="2"/>
      <c r="B63" s="2" t="str">
        <f>IFERROR(INDEX('01_Компании'!$B$4:$B$103,MATCH(A63,'01_Компании'!$A$4:$A$103,0)),"")</f>
        <v/>
      </c>
      <c r="C63" s="2"/>
      <c r="D63" s="2"/>
      <c r="E63" s="2"/>
      <c r="F63" s="2"/>
      <c r="G63" s="2"/>
      <c r="H63" s="5"/>
      <c r="I63" s="2"/>
      <c r="J63" s="2"/>
      <c r="K63" s="2"/>
      <c r="L63" s="2"/>
    </row>
    <row r="64" spans="1:12">
      <c r="A64" s="2"/>
      <c r="B64" s="2" t="str">
        <f>IFERROR(INDEX('01_Компании'!$B$4:$B$103,MATCH(A64,'01_Компании'!$A$4:$A$103,0)),"")</f>
        <v/>
      </c>
      <c r="C64" s="2"/>
      <c r="D64" s="2"/>
      <c r="E64" s="2"/>
      <c r="F64" s="2"/>
      <c r="G64" s="2"/>
      <c r="H64" s="5"/>
      <c r="I64" s="2"/>
      <c r="J64" s="2"/>
      <c r="K64" s="2"/>
      <c r="L64" s="2"/>
    </row>
    <row r="65" spans="1:12">
      <c r="A65" s="2"/>
      <c r="B65" s="2" t="str">
        <f>IFERROR(INDEX('01_Компании'!$B$4:$B$103,MATCH(A65,'01_Компании'!$A$4:$A$103,0)),"")</f>
        <v/>
      </c>
      <c r="C65" s="2"/>
      <c r="D65" s="2"/>
      <c r="E65" s="2"/>
      <c r="F65" s="2"/>
      <c r="G65" s="2"/>
      <c r="H65" s="5"/>
      <c r="I65" s="2"/>
      <c r="J65" s="2"/>
      <c r="K65" s="2"/>
      <c r="L65" s="2"/>
    </row>
    <row r="66" spans="1:12">
      <c r="A66" s="2"/>
      <c r="B66" s="2" t="str">
        <f>IFERROR(INDEX('01_Компании'!$B$4:$B$103,MATCH(A66,'01_Компании'!$A$4:$A$103,0)),"")</f>
        <v/>
      </c>
      <c r="C66" s="2"/>
      <c r="D66" s="2"/>
      <c r="E66" s="2"/>
      <c r="F66" s="2"/>
      <c r="G66" s="2"/>
      <c r="H66" s="5"/>
      <c r="I66" s="2"/>
      <c r="J66" s="2"/>
      <c r="K66" s="2"/>
      <c r="L66" s="2"/>
    </row>
    <row r="67" spans="1:12">
      <c r="A67" s="2"/>
      <c r="B67" s="2" t="str">
        <f>IFERROR(INDEX('01_Компании'!$B$4:$B$103,MATCH(A67,'01_Компании'!$A$4:$A$103,0)),"")</f>
        <v/>
      </c>
      <c r="C67" s="2"/>
      <c r="D67" s="2"/>
      <c r="E67" s="2"/>
      <c r="F67" s="2"/>
      <c r="G67" s="2"/>
      <c r="H67" s="5"/>
      <c r="I67" s="2"/>
      <c r="J67" s="2"/>
      <c r="K67" s="2"/>
      <c r="L67" s="2"/>
    </row>
    <row r="68" spans="1:12">
      <c r="A68" s="2"/>
      <c r="B68" s="2" t="str">
        <f>IFERROR(INDEX('01_Компании'!$B$4:$B$103,MATCH(A68,'01_Компании'!$A$4:$A$103,0)),"")</f>
        <v/>
      </c>
      <c r="C68" s="2"/>
      <c r="D68" s="2"/>
      <c r="E68" s="2"/>
      <c r="F68" s="2"/>
      <c r="G68" s="2"/>
      <c r="H68" s="5"/>
      <c r="I68" s="2"/>
      <c r="J68" s="2"/>
      <c r="K68" s="2"/>
      <c r="L68" s="2"/>
    </row>
    <row r="69" spans="1:12">
      <c r="A69" s="2"/>
      <c r="B69" s="2" t="str">
        <f>IFERROR(INDEX('01_Компании'!$B$4:$B$103,MATCH(A69,'01_Компании'!$A$4:$A$103,0)),"")</f>
        <v/>
      </c>
      <c r="C69" s="2"/>
      <c r="D69" s="2"/>
      <c r="E69" s="2"/>
      <c r="F69" s="2"/>
      <c r="G69" s="2"/>
      <c r="H69" s="5"/>
      <c r="I69" s="2"/>
      <c r="J69" s="2"/>
      <c r="K69" s="2"/>
      <c r="L69" s="2"/>
    </row>
    <row r="70" spans="1:12">
      <c r="A70" s="2"/>
      <c r="B70" s="2" t="str">
        <f>IFERROR(INDEX('01_Компании'!$B$4:$B$103,MATCH(A70,'01_Компании'!$A$4:$A$103,0)),"")</f>
        <v/>
      </c>
      <c r="C70" s="2"/>
      <c r="D70" s="2"/>
      <c r="E70" s="2"/>
      <c r="F70" s="2"/>
      <c r="G70" s="2"/>
      <c r="H70" s="5"/>
      <c r="I70" s="2"/>
      <c r="J70" s="2"/>
      <c r="K70" s="2"/>
      <c r="L70" s="2"/>
    </row>
    <row r="71" spans="1:12">
      <c r="A71" s="2"/>
      <c r="B71" s="2" t="str">
        <f>IFERROR(INDEX('01_Компании'!$B$4:$B$103,MATCH(A71,'01_Компании'!$A$4:$A$103,0)),"")</f>
        <v/>
      </c>
      <c r="C71" s="2"/>
      <c r="D71" s="2"/>
      <c r="E71" s="2"/>
      <c r="F71" s="2"/>
      <c r="G71" s="2"/>
      <c r="H71" s="5"/>
      <c r="I71" s="2"/>
      <c r="J71" s="2"/>
      <c r="K71" s="2"/>
      <c r="L71" s="2"/>
    </row>
    <row r="72" spans="1:12">
      <c r="A72" s="2"/>
      <c r="B72" s="2" t="str">
        <f>IFERROR(INDEX('01_Компании'!$B$4:$B$103,MATCH(A72,'01_Компании'!$A$4:$A$103,0)),"")</f>
        <v/>
      </c>
      <c r="C72" s="2"/>
      <c r="D72" s="2"/>
      <c r="E72" s="2"/>
      <c r="F72" s="2"/>
      <c r="G72" s="2"/>
      <c r="H72" s="5"/>
      <c r="I72" s="2"/>
      <c r="J72" s="2"/>
      <c r="K72" s="2"/>
      <c r="L72" s="2"/>
    </row>
    <row r="73" spans="1:12">
      <c r="A73" s="2"/>
      <c r="B73" s="2" t="str">
        <f>IFERROR(INDEX('01_Компании'!$B$4:$B$103,MATCH(A73,'01_Компании'!$A$4:$A$103,0)),"")</f>
        <v/>
      </c>
      <c r="C73" s="2"/>
      <c r="D73" s="2"/>
      <c r="E73" s="2"/>
      <c r="F73" s="2"/>
      <c r="G73" s="2"/>
      <c r="H73" s="5"/>
      <c r="I73" s="2"/>
      <c r="J73" s="2"/>
      <c r="K73" s="2"/>
      <c r="L73" s="2"/>
    </row>
    <row r="74" spans="1:12">
      <c r="A74" s="2"/>
      <c r="B74" s="2" t="str">
        <f>IFERROR(INDEX('01_Компании'!$B$4:$B$103,MATCH(A74,'01_Компании'!$A$4:$A$103,0)),"")</f>
        <v/>
      </c>
      <c r="C74" s="2"/>
      <c r="D74" s="2"/>
      <c r="E74" s="2"/>
      <c r="F74" s="2"/>
      <c r="G74" s="2"/>
      <c r="H74" s="5"/>
      <c r="I74" s="2"/>
      <c r="J74" s="2"/>
      <c r="K74" s="2"/>
      <c r="L74" s="2"/>
    </row>
    <row r="75" spans="1:12">
      <c r="A75" s="2"/>
      <c r="B75" s="2" t="str">
        <f>IFERROR(INDEX('01_Компании'!$B$4:$B$103,MATCH(A75,'01_Компании'!$A$4:$A$103,0)),"")</f>
        <v/>
      </c>
      <c r="C75" s="2"/>
      <c r="D75" s="2"/>
      <c r="E75" s="2"/>
      <c r="F75" s="2"/>
      <c r="G75" s="2"/>
      <c r="H75" s="5"/>
      <c r="I75" s="2"/>
      <c r="J75" s="2"/>
      <c r="K75" s="2"/>
      <c r="L75" s="2"/>
    </row>
    <row r="76" spans="1:12">
      <c r="A76" s="2"/>
      <c r="B76" s="2" t="str">
        <f>IFERROR(INDEX('01_Компании'!$B$4:$B$103,MATCH(A76,'01_Компании'!$A$4:$A$103,0)),"")</f>
        <v/>
      </c>
      <c r="C76" s="2"/>
      <c r="D76" s="2"/>
      <c r="E76" s="2"/>
      <c r="F76" s="2"/>
      <c r="G76" s="2"/>
      <c r="H76" s="5"/>
      <c r="I76" s="2"/>
      <c r="J76" s="2"/>
      <c r="K76" s="2"/>
      <c r="L76" s="2"/>
    </row>
    <row r="77" spans="1:12">
      <c r="A77" s="2"/>
      <c r="B77" s="2" t="str">
        <f>IFERROR(INDEX('01_Компании'!$B$4:$B$103,MATCH(A77,'01_Компании'!$A$4:$A$103,0)),"")</f>
        <v/>
      </c>
      <c r="C77" s="2"/>
      <c r="D77" s="2"/>
      <c r="E77" s="2"/>
      <c r="F77" s="2"/>
      <c r="G77" s="2"/>
      <c r="H77" s="5"/>
      <c r="I77" s="2"/>
      <c r="J77" s="2"/>
      <c r="K77" s="2"/>
      <c r="L77" s="2"/>
    </row>
    <row r="78" spans="1:12">
      <c r="A78" s="2"/>
      <c r="B78" s="2" t="str">
        <f>IFERROR(INDEX('01_Компании'!$B$4:$B$103,MATCH(A78,'01_Компании'!$A$4:$A$103,0)),"")</f>
        <v/>
      </c>
      <c r="C78" s="2"/>
      <c r="D78" s="2"/>
      <c r="E78" s="2"/>
      <c r="F78" s="2"/>
      <c r="G78" s="2"/>
      <c r="H78" s="5"/>
      <c r="I78" s="2"/>
      <c r="J78" s="2"/>
      <c r="K78" s="2"/>
      <c r="L78" s="2"/>
    </row>
    <row r="79" spans="1:12">
      <c r="A79" s="2"/>
      <c r="B79" s="2" t="str">
        <f>IFERROR(INDEX('01_Компании'!$B$4:$B$103,MATCH(A79,'01_Компании'!$A$4:$A$103,0)),"")</f>
        <v/>
      </c>
      <c r="C79" s="2"/>
      <c r="D79" s="2"/>
      <c r="E79" s="2"/>
      <c r="F79" s="2"/>
      <c r="G79" s="2"/>
      <c r="H79" s="5"/>
      <c r="I79" s="2"/>
      <c r="J79" s="2"/>
      <c r="K79" s="2"/>
      <c r="L79" s="2"/>
    </row>
    <row r="80" spans="1:12">
      <c r="A80" s="2"/>
      <c r="B80" s="2" t="str">
        <f>IFERROR(INDEX('01_Компании'!$B$4:$B$103,MATCH(A80,'01_Компании'!$A$4:$A$103,0)),"")</f>
        <v/>
      </c>
      <c r="C80" s="2"/>
      <c r="D80" s="2"/>
      <c r="E80" s="2"/>
      <c r="F80" s="2"/>
      <c r="G80" s="2"/>
      <c r="H80" s="5"/>
      <c r="I80" s="2"/>
      <c r="J80" s="2"/>
      <c r="K80" s="2"/>
      <c r="L80" s="2"/>
    </row>
    <row r="81" spans="1:12">
      <c r="A81" s="2"/>
      <c r="B81" s="2" t="str">
        <f>IFERROR(INDEX('01_Компании'!$B$4:$B$103,MATCH(A81,'01_Компании'!$A$4:$A$103,0)),"")</f>
        <v/>
      </c>
      <c r="C81" s="2"/>
      <c r="D81" s="2"/>
      <c r="E81" s="2"/>
      <c r="F81" s="2"/>
      <c r="G81" s="2"/>
      <c r="H81" s="5"/>
      <c r="I81" s="2"/>
      <c r="J81" s="2"/>
      <c r="K81" s="2"/>
      <c r="L81" s="2"/>
    </row>
    <row r="82" spans="1:12">
      <c r="A82" s="2"/>
      <c r="B82" s="2" t="str">
        <f>IFERROR(INDEX('01_Компании'!$B$4:$B$103,MATCH(A82,'01_Компании'!$A$4:$A$103,0)),"")</f>
        <v/>
      </c>
      <c r="C82" s="2"/>
      <c r="D82" s="2"/>
      <c r="E82" s="2"/>
      <c r="F82" s="2"/>
      <c r="G82" s="2"/>
      <c r="H82" s="5"/>
      <c r="I82" s="2"/>
      <c r="J82" s="2"/>
      <c r="K82" s="2"/>
      <c r="L82" s="2"/>
    </row>
    <row r="83" spans="1:12">
      <c r="A83" s="2"/>
      <c r="B83" s="2" t="str">
        <f>IFERROR(INDEX('01_Компании'!$B$4:$B$103,MATCH(A83,'01_Компании'!$A$4:$A$103,0)),"")</f>
        <v/>
      </c>
      <c r="C83" s="2"/>
      <c r="D83" s="2"/>
      <c r="E83" s="2"/>
      <c r="F83" s="2"/>
      <c r="G83" s="2"/>
      <c r="H83" s="5"/>
      <c r="I83" s="2"/>
      <c r="J83" s="2"/>
      <c r="K83" s="2"/>
      <c r="L83" s="2"/>
    </row>
    <row r="84" spans="1:12">
      <c r="A84" s="2"/>
      <c r="B84" s="2" t="str">
        <f>IFERROR(INDEX('01_Компании'!$B$4:$B$103,MATCH(A84,'01_Компании'!$A$4:$A$103,0)),"")</f>
        <v/>
      </c>
      <c r="C84" s="2"/>
      <c r="D84" s="2"/>
      <c r="E84" s="2"/>
      <c r="F84" s="2"/>
      <c r="G84" s="2"/>
      <c r="H84" s="5"/>
      <c r="I84" s="2"/>
      <c r="J84" s="2"/>
      <c r="K84" s="2"/>
      <c r="L84" s="2"/>
    </row>
    <row r="85" spans="1:12">
      <c r="A85" s="2"/>
      <c r="B85" s="2" t="str">
        <f>IFERROR(INDEX('01_Компании'!$B$4:$B$103,MATCH(A85,'01_Компании'!$A$4:$A$103,0)),"")</f>
        <v/>
      </c>
      <c r="C85" s="2"/>
      <c r="D85" s="2"/>
      <c r="E85" s="2"/>
      <c r="F85" s="2"/>
      <c r="G85" s="2"/>
      <c r="H85" s="5"/>
      <c r="I85" s="2"/>
      <c r="J85" s="2"/>
      <c r="K85" s="2"/>
      <c r="L85" s="2"/>
    </row>
    <row r="86" spans="1:12">
      <c r="A86" s="2"/>
      <c r="B86" s="2" t="str">
        <f>IFERROR(INDEX('01_Компании'!$B$4:$B$103,MATCH(A86,'01_Компании'!$A$4:$A$103,0)),"")</f>
        <v/>
      </c>
      <c r="C86" s="2"/>
      <c r="D86" s="2"/>
      <c r="E86" s="2"/>
      <c r="F86" s="2"/>
      <c r="G86" s="2"/>
      <c r="H86" s="5"/>
      <c r="I86" s="2"/>
      <c r="J86" s="2"/>
      <c r="K86" s="2"/>
      <c r="L86" s="2"/>
    </row>
    <row r="87" spans="1:12">
      <c r="A87" s="2"/>
      <c r="B87" s="2" t="str">
        <f>IFERROR(INDEX('01_Компании'!$B$4:$B$103,MATCH(A87,'01_Компании'!$A$4:$A$103,0)),"")</f>
        <v/>
      </c>
      <c r="C87" s="2"/>
      <c r="D87" s="2"/>
      <c r="E87" s="2"/>
      <c r="F87" s="2"/>
      <c r="G87" s="2"/>
      <c r="H87" s="5"/>
      <c r="I87" s="2"/>
      <c r="J87" s="2"/>
      <c r="K87" s="2"/>
      <c r="L87" s="2"/>
    </row>
    <row r="88" spans="1:12">
      <c r="A88" s="2"/>
      <c r="B88" s="2" t="str">
        <f>IFERROR(INDEX('01_Компании'!$B$4:$B$103,MATCH(A88,'01_Компании'!$A$4:$A$103,0)),"")</f>
        <v/>
      </c>
      <c r="C88" s="2"/>
      <c r="D88" s="2"/>
      <c r="E88" s="2"/>
      <c r="F88" s="2"/>
      <c r="G88" s="2"/>
      <c r="H88" s="5"/>
      <c r="I88" s="2"/>
      <c r="J88" s="2"/>
      <c r="K88" s="2"/>
      <c r="L88" s="2"/>
    </row>
    <row r="89" spans="1:12">
      <c r="A89" s="2"/>
      <c r="B89" s="2" t="str">
        <f>IFERROR(INDEX('01_Компании'!$B$4:$B$103,MATCH(A89,'01_Компании'!$A$4:$A$103,0)),"")</f>
        <v/>
      </c>
      <c r="C89" s="2"/>
      <c r="D89" s="2"/>
      <c r="E89" s="2"/>
      <c r="F89" s="2"/>
      <c r="G89" s="2"/>
      <c r="H89" s="5"/>
      <c r="I89" s="2"/>
      <c r="J89" s="2"/>
      <c r="K89" s="2"/>
      <c r="L89" s="2"/>
    </row>
    <row r="90" spans="1:12">
      <c r="A90" s="2"/>
      <c r="B90" s="2" t="str">
        <f>IFERROR(INDEX('01_Компании'!$B$4:$B$103,MATCH(A90,'01_Компании'!$A$4:$A$103,0)),"")</f>
        <v/>
      </c>
      <c r="C90" s="2"/>
      <c r="D90" s="2"/>
      <c r="E90" s="2"/>
      <c r="F90" s="2"/>
      <c r="G90" s="2"/>
      <c r="H90" s="5"/>
      <c r="I90" s="2"/>
      <c r="J90" s="2"/>
      <c r="K90" s="2"/>
      <c r="L90" s="2"/>
    </row>
    <row r="91" spans="1:12">
      <c r="A91" s="2"/>
      <c r="B91" s="2" t="str">
        <f>IFERROR(INDEX('01_Компании'!$B$4:$B$103,MATCH(A91,'01_Компании'!$A$4:$A$103,0)),"")</f>
        <v/>
      </c>
      <c r="C91" s="2"/>
      <c r="D91" s="2"/>
      <c r="E91" s="2"/>
      <c r="F91" s="2"/>
      <c r="G91" s="2"/>
      <c r="H91" s="5"/>
      <c r="I91" s="2"/>
      <c r="J91" s="2"/>
      <c r="K91" s="2"/>
      <c r="L91" s="2"/>
    </row>
    <row r="92" spans="1:12">
      <c r="A92" s="2"/>
      <c r="B92" s="2" t="str">
        <f>IFERROR(INDEX('01_Компании'!$B$4:$B$103,MATCH(A92,'01_Компании'!$A$4:$A$103,0)),"")</f>
        <v/>
      </c>
      <c r="C92" s="2"/>
      <c r="D92" s="2"/>
      <c r="E92" s="2"/>
      <c r="F92" s="2"/>
      <c r="G92" s="2"/>
      <c r="H92" s="5"/>
      <c r="I92" s="2"/>
      <c r="J92" s="2"/>
      <c r="K92" s="2"/>
      <c r="L92" s="2"/>
    </row>
    <row r="93" spans="1:12">
      <c r="A93" s="2"/>
      <c r="B93" s="2" t="str">
        <f>IFERROR(INDEX('01_Компании'!$B$4:$B$103,MATCH(A93,'01_Компании'!$A$4:$A$103,0)),"")</f>
        <v/>
      </c>
      <c r="C93" s="2"/>
      <c r="D93" s="2"/>
      <c r="E93" s="2"/>
      <c r="F93" s="2"/>
      <c r="G93" s="2"/>
      <c r="H93" s="5"/>
      <c r="I93" s="2"/>
      <c r="J93" s="2"/>
      <c r="K93" s="2"/>
      <c r="L93" s="2"/>
    </row>
    <row r="94" spans="1:12">
      <c r="A94" s="2"/>
      <c r="B94" s="2" t="str">
        <f>IFERROR(INDEX('01_Компании'!$B$4:$B$103,MATCH(A94,'01_Компании'!$A$4:$A$103,0)),"")</f>
        <v/>
      </c>
      <c r="C94" s="2"/>
      <c r="D94" s="2"/>
      <c r="E94" s="2"/>
      <c r="F94" s="2"/>
      <c r="G94" s="2"/>
      <c r="H94" s="5"/>
      <c r="I94" s="2"/>
      <c r="J94" s="2"/>
      <c r="K94" s="2"/>
      <c r="L94" s="2"/>
    </row>
    <row r="95" spans="1:12">
      <c r="A95" s="2"/>
      <c r="B95" s="2" t="str">
        <f>IFERROR(INDEX('01_Компании'!$B$4:$B$103,MATCH(A95,'01_Компании'!$A$4:$A$103,0)),"")</f>
        <v/>
      </c>
      <c r="C95" s="2"/>
      <c r="D95" s="2"/>
      <c r="E95" s="2"/>
      <c r="F95" s="2"/>
      <c r="G95" s="2"/>
      <c r="H95" s="5"/>
      <c r="I95" s="2"/>
      <c r="J95" s="2"/>
      <c r="K95" s="2"/>
      <c r="L95" s="2"/>
    </row>
    <row r="96" spans="1:12">
      <c r="A96" s="2"/>
      <c r="B96" s="2" t="str">
        <f>IFERROR(INDEX('01_Компании'!$B$4:$B$103,MATCH(A96,'01_Компании'!$A$4:$A$103,0)),"")</f>
        <v/>
      </c>
      <c r="C96" s="2"/>
      <c r="D96" s="2"/>
      <c r="E96" s="2"/>
      <c r="F96" s="2"/>
      <c r="G96" s="2"/>
      <c r="H96" s="5"/>
      <c r="I96" s="2"/>
      <c r="J96" s="2"/>
      <c r="K96" s="2"/>
      <c r="L96" s="2"/>
    </row>
    <row r="97" spans="1:12">
      <c r="A97" s="2"/>
      <c r="B97" s="2" t="str">
        <f>IFERROR(INDEX('01_Компании'!$B$4:$B$103,MATCH(A97,'01_Компании'!$A$4:$A$103,0)),"")</f>
        <v/>
      </c>
      <c r="C97" s="2"/>
      <c r="D97" s="2"/>
      <c r="E97" s="2"/>
      <c r="F97" s="2"/>
      <c r="G97" s="2"/>
      <c r="H97" s="5"/>
      <c r="I97" s="2"/>
      <c r="J97" s="2"/>
      <c r="K97" s="2"/>
      <c r="L97" s="2"/>
    </row>
    <row r="98" spans="1:12">
      <c r="A98" s="2"/>
      <c r="B98" s="2" t="str">
        <f>IFERROR(INDEX('01_Компании'!$B$4:$B$103,MATCH(A98,'01_Компании'!$A$4:$A$103,0)),"")</f>
        <v/>
      </c>
      <c r="C98" s="2"/>
      <c r="D98" s="2"/>
      <c r="E98" s="2"/>
      <c r="F98" s="2"/>
      <c r="G98" s="2"/>
      <c r="H98" s="5"/>
      <c r="I98" s="2"/>
      <c r="J98" s="2"/>
      <c r="K98" s="2"/>
      <c r="L98" s="2"/>
    </row>
    <row r="99" spans="1:12">
      <c r="A99" s="2"/>
      <c r="B99" s="2" t="str">
        <f>IFERROR(INDEX('01_Компании'!$B$4:$B$103,MATCH(A99,'01_Компании'!$A$4:$A$103,0)),"")</f>
        <v/>
      </c>
      <c r="C99" s="2"/>
      <c r="D99" s="2"/>
      <c r="E99" s="2"/>
      <c r="F99" s="2"/>
      <c r="G99" s="2"/>
      <c r="H99" s="5"/>
      <c r="I99" s="2"/>
      <c r="J99" s="2"/>
      <c r="K99" s="2"/>
      <c r="L99" s="2"/>
    </row>
    <row r="100" spans="1:12">
      <c r="A100" s="2"/>
      <c r="B100" s="2" t="str">
        <f>IFERROR(INDEX('01_Компании'!$B$4:$B$103,MATCH(A100,'01_Компании'!$A$4:$A$103,0)),"")</f>
        <v/>
      </c>
      <c r="C100" s="2"/>
      <c r="D100" s="2"/>
      <c r="E100" s="2"/>
      <c r="F100" s="2"/>
      <c r="G100" s="2"/>
      <c r="H100" s="5"/>
      <c r="I100" s="2"/>
      <c r="J100" s="2"/>
      <c r="K100" s="2"/>
      <c r="L100" s="2"/>
    </row>
    <row r="101" spans="1:12">
      <c r="A101" s="2"/>
      <c r="B101" s="2" t="str">
        <f>IFERROR(INDEX('01_Компании'!$B$4:$B$103,MATCH(A101,'01_Компании'!$A$4:$A$103,0)),"")</f>
        <v/>
      </c>
      <c r="C101" s="2"/>
      <c r="D101" s="2"/>
      <c r="E101" s="2"/>
      <c r="F101" s="2"/>
      <c r="G101" s="2"/>
      <c r="H101" s="5"/>
      <c r="I101" s="2"/>
      <c r="J101" s="2"/>
      <c r="K101" s="2"/>
      <c r="L101" s="2"/>
    </row>
    <row r="102" spans="1:12">
      <c r="A102" s="2"/>
      <c r="B102" s="2" t="str">
        <f>IFERROR(INDEX('01_Компании'!$B$4:$B$103,MATCH(A102,'01_Компании'!$A$4:$A$103,0)),"")</f>
        <v/>
      </c>
      <c r="C102" s="2"/>
      <c r="D102" s="2"/>
      <c r="E102" s="2"/>
      <c r="F102" s="2"/>
      <c r="G102" s="2"/>
      <c r="H102" s="5"/>
      <c r="I102" s="2"/>
      <c r="J102" s="2"/>
      <c r="K102" s="2"/>
      <c r="L102" s="2"/>
    </row>
    <row r="103" spans="1:12">
      <c r="A103" s="2"/>
      <c r="B103" s="2" t="str">
        <f>IFERROR(INDEX('01_Компании'!$B$4:$B$103,MATCH(A103,'01_Компании'!$A$4:$A$103,0)),"")</f>
        <v/>
      </c>
      <c r="C103" s="2"/>
      <c r="D103" s="2"/>
      <c r="E103" s="2"/>
      <c r="F103" s="2"/>
      <c r="G103" s="2"/>
      <c r="H103" s="5"/>
      <c r="I103" s="2"/>
      <c r="J103" s="2"/>
      <c r="K103" s="2"/>
      <c r="L103" s="2"/>
    </row>
    <row r="104" spans="1:12">
      <c r="A104" s="2"/>
      <c r="B104" s="2" t="str">
        <f>IFERROR(INDEX('01_Компании'!$B$4:$B$103,MATCH(A104,'01_Компании'!$A$4:$A$103,0)),"")</f>
        <v/>
      </c>
      <c r="C104" s="2"/>
      <c r="D104" s="2"/>
      <c r="E104" s="2"/>
      <c r="F104" s="2"/>
      <c r="G104" s="2"/>
      <c r="H104" s="5"/>
      <c r="I104" s="2"/>
      <c r="J104" s="2"/>
      <c r="K104" s="2"/>
      <c r="L104" s="2"/>
    </row>
    <row r="105" spans="1:12">
      <c r="A105" s="2"/>
      <c r="B105" s="2" t="str">
        <f>IFERROR(INDEX('01_Компании'!$B$4:$B$103,MATCH(A105,'01_Компании'!$A$4:$A$103,0)),"")</f>
        <v/>
      </c>
      <c r="C105" s="2"/>
      <c r="D105" s="2"/>
      <c r="E105" s="2"/>
      <c r="F105" s="2"/>
      <c r="G105" s="2"/>
      <c r="H105" s="5"/>
      <c r="I105" s="2"/>
      <c r="J105" s="2"/>
      <c r="K105" s="2"/>
      <c r="L105" s="2"/>
    </row>
    <row r="106" spans="1:12">
      <c r="A106" s="2"/>
      <c r="B106" s="2" t="str">
        <f>IFERROR(INDEX('01_Компании'!$B$4:$B$103,MATCH(A106,'01_Компании'!$A$4:$A$103,0)),"")</f>
        <v/>
      </c>
      <c r="C106" s="2"/>
      <c r="D106" s="2"/>
      <c r="E106" s="2"/>
      <c r="F106" s="2"/>
      <c r="G106" s="2"/>
      <c r="H106" s="5"/>
      <c r="I106" s="2"/>
      <c r="J106" s="2"/>
      <c r="K106" s="2"/>
      <c r="L106" s="2"/>
    </row>
    <row r="107" spans="1:12">
      <c r="A107" s="2"/>
      <c r="B107" s="2" t="str">
        <f>IFERROR(INDEX('01_Компании'!$B$4:$B$103,MATCH(A107,'01_Компании'!$A$4:$A$103,0)),"")</f>
        <v/>
      </c>
      <c r="C107" s="2"/>
      <c r="D107" s="2"/>
      <c r="E107" s="2"/>
      <c r="F107" s="2"/>
      <c r="G107" s="2"/>
      <c r="H107" s="5"/>
      <c r="I107" s="2"/>
      <c r="J107" s="2"/>
      <c r="K107" s="2"/>
      <c r="L107" s="2"/>
    </row>
    <row r="108" spans="1:12">
      <c r="A108" s="2"/>
      <c r="B108" s="2" t="str">
        <f>IFERROR(INDEX('01_Компании'!$B$4:$B$103,MATCH(A108,'01_Компании'!$A$4:$A$103,0)),"")</f>
        <v/>
      </c>
      <c r="C108" s="2"/>
      <c r="D108" s="2"/>
      <c r="E108" s="2"/>
      <c r="F108" s="2"/>
      <c r="G108" s="2"/>
      <c r="H108" s="5"/>
      <c r="I108" s="2"/>
      <c r="J108" s="2"/>
      <c r="K108" s="2"/>
      <c r="L108" s="2"/>
    </row>
    <row r="109" spans="1:12">
      <c r="A109" s="2"/>
      <c r="B109" s="2" t="str">
        <f>IFERROR(INDEX('01_Компании'!$B$4:$B$103,MATCH(A109,'01_Компании'!$A$4:$A$103,0)),"")</f>
        <v/>
      </c>
      <c r="C109" s="2"/>
      <c r="D109" s="2"/>
      <c r="E109" s="2"/>
      <c r="F109" s="2"/>
      <c r="G109" s="2"/>
      <c r="H109" s="5"/>
      <c r="I109" s="2"/>
      <c r="J109" s="2"/>
      <c r="K109" s="2"/>
      <c r="L109" s="2"/>
    </row>
    <row r="110" spans="1:12">
      <c r="A110" s="2"/>
      <c r="B110" s="2" t="str">
        <f>IFERROR(INDEX('01_Компании'!$B$4:$B$103,MATCH(A110,'01_Компании'!$A$4:$A$103,0)),"")</f>
        <v/>
      </c>
      <c r="C110" s="2"/>
      <c r="D110" s="2"/>
      <c r="E110" s="2"/>
      <c r="F110" s="2"/>
      <c r="G110" s="2"/>
      <c r="H110" s="5"/>
      <c r="I110" s="2"/>
      <c r="J110" s="2"/>
      <c r="K110" s="2"/>
      <c r="L110" s="2"/>
    </row>
    <row r="111" spans="1:12">
      <c r="A111" s="2"/>
      <c r="B111" s="2" t="str">
        <f>IFERROR(INDEX('01_Компании'!$B$4:$B$103,MATCH(A111,'01_Компании'!$A$4:$A$103,0)),"")</f>
        <v/>
      </c>
      <c r="C111" s="2"/>
      <c r="D111" s="2"/>
      <c r="E111" s="2"/>
      <c r="F111" s="2"/>
      <c r="G111" s="2"/>
      <c r="H111" s="5"/>
      <c r="I111" s="2"/>
      <c r="J111" s="2"/>
      <c r="K111" s="2"/>
      <c r="L111" s="2"/>
    </row>
    <row r="112" spans="1:12">
      <c r="A112" s="2"/>
      <c r="B112" s="2" t="str">
        <f>IFERROR(INDEX('01_Компании'!$B$4:$B$103,MATCH(A112,'01_Компании'!$A$4:$A$103,0)),"")</f>
        <v/>
      </c>
      <c r="C112" s="2"/>
      <c r="D112" s="2"/>
      <c r="E112" s="2"/>
      <c r="F112" s="2"/>
      <c r="G112" s="2"/>
      <c r="H112" s="5"/>
      <c r="I112" s="2"/>
      <c r="J112" s="2"/>
      <c r="K112" s="2"/>
      <c r="L112" s="2"/>
    </row>
    <row r="113" spans="1:12">
      <c r="A113" s="2"/>
      <c r="B113" s="2" t="str">
        <f>IFERROR(INDEX('01_Компании'!$B$4:$B$103,MATCH(A113,'01_Компании'!$A$4:$A$103,0)),"")</f>
        <v/>
      </c>
      <c r="C113" s="2"/>
      <c r="D113" s="2"/>
      <c r="E113" s="2"/>
      <c r="F113" s="2"/>
      <c r="G113" s="2"/>
      <c r="H113" s="5"/>
      <c r="I113" s="2"/>
      <c r="J113" s="2"/>
      <c r="K113" s="2"/>
      <c r="L113" s="2"/>
    </row>
    <row r="114" spans="1:12">
      <c r="A114" s="2"/>
      <c r="B114" s="2" t="str">
        <f>IFERROR(INDEX('01_Компании'!$B$4:$B$103,MATCH(A114,'01_Компании'!$A$4:$A$103,0)),"")</f>
        <v/>
      </c>
      <c r="C114" s="2"/>
      <c r="D114" s="2"/>
      <c r="E114" s="2"/>
      <c r="F114" s="2"/>
      <c r="G114" s="2"/>
      <c r="H114" s="5"/>
      <c r="I114" s="2"/>
      <c r="J114" s="2"/>
      <c r="K114" s="2"/>
      <c r="L114" s="2"/>
    </row>
    <row r="115" spans="1:12">
      <c r="A115" s="2"/>
      <c r="B115" s="2" t="str">
        <f>IFERROR(INDEX('01_Компании'!$B$4:$B$103,MATCH(A115,'01_Компании'!$A$4:$A$103,0)),"")</f>
        <v/>
      </c>
      <c r="C115" s="2"/>
      <c r="D115" s="2"/>
      <c r="E115" s="2"/>
      <c r="F115" s="2"/>
      <c r="G115" s="2"/>
      <c r="H115" s="5"/>
      <c r="I115" s="2"/>
      <c r="J115" s="2"/>
      <c r="K115" s="2"/>
      <c r="L115" s="2"/>
    </row>
    <row r="116" spans="1:12">
      <c r="A116" s="2"/>
      <c r="B116" s="2" t="str">
        <f>IFERROR(INDEX('01_Компании'!$B$4:$B$103,MATCH(A116,'01_Компании'!$A$4:$A$103,0)),"")</f>
        <v/>
      </c>
      <c r="C116" s="2"/>
      <c r="D116" s="2"/>
      <c r="E116" s="2"/>
      <c r="F116" s="2"/>
      <c r="G116" s="2"/>
      <c r="H116" s="5"/>
      <c r="I116" s="2"/>
      <c r="J116" s="2"/>
      <c r="K116" s="2"/>
      <c r="L116" s="2"/>
    </row>
    <row r="117" spans="1:12">
      <c r="A117" s="2"/>
      <c r="B117" s="2" t="str">
        <f>IFERROR(INDEX('01_Компании'!$B$4:$B$103,MATCH(A117,'01_Компании'!$A$4:$A$103,0)),"")</f>
        <v/>
      </c>
      <c r="C117" s="2"/>
      <c r="D117" s="2"/>
      <c r="E117" s="2"/>
      <c r="F117" s="2"/>
      <c r="G117" s="2"/>
      <c r="H117" s="5"/>
      <c r="I117" s="2"/>
      <c r="J117" s="2"/>
      <c r="K117" s="2"/>
      <c r="L117" s="2"/>
    </row>
    <row r="118" spans="1:12">
      <c r="A118" s="2"/>
      <c r="B118" s="2" t="str">
        <f>IFERROR(INDEX('01_Компании'!$B$4:$B$103,MATCH(A118,'01_Компании'!$A$4:$A$103,0)),"")</f>
        <v/>
      </c>
      <c r="C118" s="2"/>
      <c r="D118" s="2"/>
      <c r="E118" s="2"/>
      <c r="F118" s="2"/>
      <c r="G118" s="2"/>
      <c r="H118" s="5"/>
      <c r="I118" s="2"/>
      <c r="J118" s="2"/>
      <c r="K118" s="2"/>
      <c r="L118" s="2"/>
    </row>
    <row r="119" spans="1:12">
      <c r="A119" s="2"/>
      <c r="B119" s="2" t="str">
        <f>IFERROR(INDEX('01_Компании'!$B$4:$B$103,MATCH(A119,'01_Компании'!$A$4:$A$103,0)),"")</f>
        <v/>
      </c>
      <c r="C119" s="2"/>
      <c r="D119" s="2"/>
      <c r="E119" s="2"/>
      <c r="F119" s="2"/>
      <c r="G119" s="2"/>
      <c r="H119" s="5"/>
      <c r="I119" s="2"/>
      <c r="J119" s="2"/>
      <c r="K119" s="2"/>
      <c r="L119" s="2"/>
    </row>
    <row r="120" spans="1:12">
      <c r="A120" s="2"/>
      <c r="B120" s="2" t="str">
        <f>IFERROR(INDEX('01_Компании'!$B$4:$B$103,MATCH(A120,'01_Компании'!$A$4:$A$103,0)),"")</f>
        <v/>
      </c>
      <c r="C120" s="2"/>
      <c r="D120" s="2"/>
      <c r="E120" s="2"/>
      <c r="F120" s="2"/>
      <c r="G120" s="2"/>
      <c r="H120" s="5"/>
      <c r="I120" s="2"/>
      <c r="J120" s="2"/>
      <c r="K120" s="2"/>
      <c r="L120" s="2"/>
    </row>
    <row r="121" spans="1:12">
      <c r="A121" s="2"/>
      <c r="B121" s="2" t="str">
        <f>IFERROR(INDEX('01_Компании'!$B$4:$B$103,MATCH(A121,'01_Компании'!$A$4:$A$103,0)),"")</f>
        <v/>
      </c>
      <c r="C121" s="2"/>
      <c r="D121" s="2"/>
      <c r="E121" s="2"/>
      <c r="F121" s="2"/>
      <c r="G121" s="2"/>
      <c r="H121" s="5"/>
      <c r="I121" s="2"/>
      <c r="J121" s="2"/>
      <c r="K121" s="2"/>
      <c r="L121" s="2"/>
    </row>
    <row r="122" spans="1:12">
      <c r="A122" s="2"/>
      <c r="B122" s="2" t="str">
        <f>IFERROR(INDEX('01_Компании'!$B$4:$B$103,MATCH(A122,'01_Компании'!$A$4:$A$103,0)),"")</f>
        <v/>
      </c>
      <c r="C122" s="2"/>
      <c r="D122" s="2"/>
      <c r="E122" s="2"/>
      <c r="F122" s="2"/>
      <c r="G122" s="2"/>
      <c r="H122" s="5"/>
      <c r="I122" s="2"/>
      <c r="J122" s="2"/>
      <c r="K122" s="2"/>
      <c r="L122" s="2"/>
    </row>
    <row r="123" spans="1:12">
      <c r="A123" s="2"/>
      <c r="B123" s="2" t="str">
        <f>IFERROR(INDEX('01_Компании'!$B$4:$B$103,MATCH(A123,'01_Компании'!$A$4:$A$103,0)),"")</f>
        <v/>
      </c>
      <c r="C123" s="2"/>
      <c r="D123" s="2"/>
      <c r="E123" s="2"/>
      <c r="F123" s="2"/>
      <c r="G123" s="2"/>
      <c r="H123" s="5"/>
      <c r="I123" s="2"/>
      <c r="J123" s="2"/>
      <c r="K123" s="2"/>
      <c r="L123" s="2"/>
    </row>
    <row r="124" spans="1:12">
      <c r="A124" s="2"/>
      <c r="B124" s="2" t="str">
        <f>IFERROR(INDEX('01_Компании'!$B$4:$B$103,MATCH(A124,'01_Компании'!$A$4:$A$103,0)),"")</f>
        <v/>
      </c>
      <c r="C124" s="2"/>
      <c r="D124" s="2"/>
      <c r="E124" s="2"/>
      <c r="F124" s="2"/>
      <c r="G124" s="2"/>
      <c r="H124" s="5"/>
      <c r="I124" s="2"/>
      <c r="J124" s="2"/>
      <c r="K124" s="2"/>
      <c r="L124" s="2"/>
    </row>
    <row r="125" spans="1:12">
      <c r="A125" s="2"/>
      <c r="B125" s="2" t="str">
        <f>IFERROR(INDEX('01_Компании'!$B$4:$B$103,MATCH(A125,'01_Компании'!$A$4:$A$103,0)),"")</f>
        <v/>
      </c>
      <c r="C125" s="2"/>
      <c r="D125" s="2"/>
      <c r="E125" s="2"/>
      <c r="F125" s="2"/>
      <c r="G125" s="2"/>
      <c r="H125" s="5"/>
      <c r="I125" s="2"/>
      <c r="J125" s="2"/>
      <c r="K125" s="2"/>
      <c r="L125" s="2"/>
    </row>
    <row r="126" spans="1:12">
      <c r="A126" s="2"/>
      <c r="B126" s="2" t="str">
        <f>IFERROR(INDEX('01_Компании'!$B$4:$B$103,MATCH(A126,'01_Компании'!$A$4:$A$103,0)),"")</f>
        <v/>
      </c>
      <c r="C126" s="2"/>
      <c r="D126" s="2"/>
      <c r="E126" s="2"/>
      <c r="F126" s="2"/>
      <c r="G126" s="2"/>
      <c r="H126" s="5"/>
      <c r="I126" s="2"/>
      <c r="J126" s="2"/>
      <c r="K126" s="2"/>
      <c r="L126" s="2"/>
    </row>
    <row r="127" spans="1:12">
      <c r="A127" s="2"/>
      <c r="B127" s="2" t="str">
        <f>IFERROR(INDEX('01_Компании'!$B$4:$B$103,MATCH(A127,'01_Компании'!$A$4:$A$103,0)),"")</f>
        <v/>
      </c>
      <c r="C127" s="2"/>
      <c r="D127" s="2"/>
      <c r="E127" s="2"/>
      <c r="F127" s="2"/>
      <c r="G127" s="2"/>
      <c r="H127" s="5"/>
      <c r="I127" s="2"/>
      <c r="J127" s="2"/>
      <c r="K127" s="2"/>
      <c r="L127" s="2"/>
    </row>
    <row r="128" spans="1:12">
      <c r="A128" s="2"/>
      <c r="B128" s="2" t="str">
        <f>IFERROR(INDEX('01_Компании'!$B$4:$B$103,MATCH(A128,'01_Компании'!$A$4:$A$103,0)),"")</f>
        <v/>
      </c>
      <c r="C128" s="2"/>
      <c r="D128" s="2"/>
      <c r="E128" s="2"/>
      <c r="F128" s="2"/>
      <c r="G128" s="2"/>
      <c r="H128" s="5"/>
      <c r="I128" s="2"/>
      <c r="J128" s="2"/>
      <c r="K128" s="2"/>
      <c r="L128" s="2"/>
    </row>
    <row r="129" spans="1:12">
      <c r="A129" s="2"/>
      <c r="B129" s="2" t="str">
        <f>IFERROR(INDEX('01_Компании'!$B$4:$B$103,MATCH(A129,'01_Компании'!$A$4:$A$103,0)),"")</f>
        <v/>
      </c>
      <c r="C129" s="2"/>
      <c r="D129" s="2"/>
      <c r="E129" s="2"/>
      <c r="F129" s="2"/>
      <c r="G129" s="2"/>
      <c r="H129" s="5"/>
      <c r="I129" s="2"/>
      <c r="J129" s="2"/>
      <c r="K129" s="2"/>
      <c r="L129" s="2"/>
    </row>
    <row r="130" spans="1:12">
      <c r="A130" s="2"/>
      <c r="B130" s="2" t="str">
        <f>IFERROR(INDEX('01_Компании'!$B$4:$B$103,MATCH(A130,'01_Компании'!$A$4:$A$103,0)),"")</f>
        <v/>
      </c>
      <c r="C130" s="2"/>
      <c r="D130" s="2"/>
      <c r="E130" s="2"/>
      <c r="F130" s="2"/>
      <c r="G130" s="2"/>
      <c r="H130" s="5"/>
      <c r="I130" s="2"/>
      <c r="J130" s="2"/>
      <c r="K130" s="2"/>
      <c r="L130" s="2"/>
    </row>
    <row r="131" spans="1:12">
      <c r="A131" s="2"/>
      <c r="B131" s="2" t="str">
        <f>IFERROR(INDEX('01_Компании'!$B$4:$B$103,MATCH(A131,'01_Компании'!$A$4:$A$103,0)),"")</f>
        <v/>
      </c>
      <c r="C131" s="2"/>
      <c r="D131" s="2"/>
      <c r="E131" s="2"/>
      <c r="F131" s="2"/>
      <c r="G131" s="2"/>
      <c r="H131" s="5"/>
      <c r="I131" s="2"/>
      <c r="J131" s="2"/>
      <c r="K131" s="2"/>
      <c r="L131" s="2"/>
    </row>
    <row r="132" spans="1:12">
      <c r="A132" s="2"/>
      <c r="B132" s="2" t="str">
        <f>IFERROR(INDEX('01_Компании'!$B$4:$B$103,MATCH(A132,'01_Компании'!$A$4:$A$103,0)),"")</f>
        <v/>
      </c>
      <c r="C132" s="2"/>
      <c r="D132" s="2"/>
      <c r="E132" s="2"/>
      <c r="F132" s="2"/>
      <c r="G132" s="2"/>
      <c r="H132" s="5"/>
      <c r="I132" s="2"/>
      <c r="J132" s="2"/>
      <c r="K132" s="2"/>
      <c r="L132" s="2"/>
    </row>
    <row r="133" spans="1:12">
      <c r="A133" s="2"/>
      <c r="B133" s="2" t="str">
        <f>IFERROR(INDEX('01_Компании'!$B$4:$B$103,MATCH(A133,'01_Компании'!$A$4:$A$103,0)),"")</f>
        <v/>
      </c>
      <c r="C133" s="2"/>
      <c r="D133" s="2"/>
      <c r="E133" s="2"/>
      <c r="F133" s="2"/>
      <c r="G133" s="2"/>
      <c r="H133" s="5"/>
      <c r="I133" s="2"/>
      <c r="J133" s="2"/>
      <c r="K133" s="2"/>
      <c r="L133" s="2"/>
    </row>
    <row r="134" spans="1:12">
      <c r="A134" s="2"/>
      <c r="B134" s="2" t="str">
        <f>IFERROR(INDEX('01_Компании'!$B$4:$B$103,MATCH(A134,'01_Компании'!$A$4:$A$103,0)),"")</f>
        <v/>
      </c>
      <c r="C134" s="2"/>
      <c r="D134" s="2"/>
      <c r="E134" s="2"/>
      <c r="F134" s="2"/>
      <c r="G134" s="2"/>
      <c r="H134" s="5"/>
      <c r="I134" s="2"/>
      <c r="J134" s="2"/>
      <c r="K134" s="2"/>
      <c r="L134" s="2"/>
    </row>
    <row r="135" spans="1:12">
      <c r="A135" s="2"/>
      <c r="B135" s="2" t="str">
        <f>IFERROR(INDEX('01_Компании'!$B$4:$B$103,MATCH(A135,'01_Компании'!$A$4:$A$103,0)),"")</f>
        <v/>
      </c>
      <c r="C135" s="2"/>
      <c r="D135" s="2"/>
      <c r="E135" s="2"/>
      <c r="F135" s="2"/>
      <c r="G135" s="2"/>
      <c r="H135" s="5"/>
      <c r="I135" s="2"/>
      <c r="J135" s="2"/>
      <c r="K135" s="2"/>
      <c r="L135" s="2"/>
    </row>
    <row r="136" spans="1:12">
      <c r="A136" s="2"/>
      <c r="B136" s="2" t="str">
        <f>IFERROR(INDEX('01_Компании'!$B$4:$B$103,MATCH(A136,'01_Компании'!$A$4:$A$103,0)),"")</f>
        <v/>
      </c>
      <c r="C136" s="2"/>
      <c r="D136" s="2"/>
      <c r="E136" s="2"/>
      <c r="F136" s="2"/>
      <c r="G136" s="2"/>
      <c r="H136" s="5"/>
      <c r="I136" s="2"/>
      <c r="J136" s="2"/>
      <c r="K136" s="2"/>
      <c r="L136" s="2"/>
    </row>
    <row r="137" spans="1:12">
      <c r="A137" s="2"/>
      <c r="B137" s="2" t="str">
        <f>IFERROR(INDEX('01_Компании'!$B$4:$B$103,MATCH(A137,'01_Компании'!$A$4:$A$103,0)),"")</f>
        <v/>
      </c>
      <c r="C137" s="2"/>
      <c r="D137" s="2"/>
      <c r="E137" s="2"/>
      <c r="F137" s="2"/>
      <c r="G137" s="2"/>
      <c r="H137" s="5"/>
      <c r="I137" s="2"/>
      <c r="J137" s="2"/>
      <c r="K137" s="2"/>
      <c r="L137" s="2"/>
    </row>
    <row r="138" spans="1:12">
      <c r="A138" s="2"/>
      <c r="B138" s="2" t="str">
        <f>IFERROR(INDEX('01_Компании'!$B$4:$B$103,MATCH(A138,'01_Компании'!$A$4:$A$103,0)),"")</f>
        <v/>
      </c>
      <c r="C138" s="2"/>
      <c r="D138" s="2"/>
      <c r="E138" s="2"/>
      <c r="F138" s="2"/>
      <c r="G138" s="2"/>
      <c r="H138" s="5"/>
      <c r="I138" s="2"/>
      <c r="J138" s="2"/>
      <c r="K138" s="2"/>
      <c r="L138" s="2"/>
    </row>
    <row r="139" spans="1:12">
      <c r="A139" s="2"/>
      <c r="B139" s="2" t="str">
        <f>IFERROR(INDEX('01_Компании'!$B$4:$B$103,MATCH(A139,'01_Компании'!$A$4:$A$103,0)),"")</f>
        <v/>
      </c>
      <c r="C139" s="2"/>
      <c r="D139" s="2"/>
      <c r="E139" s="2"/>
      <c r="F139" s="2"/>
      <c r="G139" s="2"/>
      <c r="H139" s="5"/>
      <c r="I139" s="2"/>
      <c r="J139" s="2"/>
      <c r="K139" s="2"/>
      <c r="L139" s="2"/>
    </row>
    <row r="140" spans="1:12">
      <c r="A140" s="2"/>
      <c r="B140" s="2" t="str">
        <f>IFERROR(INDEX('01_Компании'!$B$4:$B$103,MATCH(A140,'01_Компании'!$A$4:$A$103,0)),"")</f>
        <v/>
      </c>
      <c r="C140" s="2"/>
      <c r="D140" s="2"/>
      <c r="E140" s="2"/>
      <c r="F140" s="2"/>
      <c r="G140" s="2"/>
      <c r="H140" s="5"/>
      <c r="I140" s="2"/>
      <c r="J140" s="2"/>
      <c r="K140" s="2"/>
      <c r="L140" s="2"/>
    </row>
    <row r="141" spans="1:12">
      <c r="A141" s="2"/>
      <c r="B141" s="2" t="str">
        <f>IFERROR(INDEX('01_Компании'!$B$4:$B$103,MATCH(A141,'01_Компании'!$A$4:$A$103,0)),"")</f>
        <v/>
      </c>
      <c r="C141" s="2"/>
      <c r="D141" s="2"/>
      <c r="E141" s="2"/>
      <c r="F141" s="2"/>
      <c r="G141" s="2"/>
      <c r="H141" s="5"/>
      <c r="I141" s="2"/>
      <c r="J141" s="2"/>
      <c r="K141" s="2"/>
      <c r="L141" s="2"/>
    </row>
    <row r="142" spans="1:12">
      <c r="A142" s="2"/>
      <c r="B142" s="2" t="str">
        <f>IFERROR(INDEX('01_Компании'!$B$4:$B$103,MATCH(A142,'01_Компании'!$A$4:$A$103,0)),"")</f>
        <v/>
      </c>
      <c r="C142" s="2"/>
      <c r="D142" s="2"/>
      <c r="E142" s="2"/>
      <c r="F142" s="2"/>
      <c r="G142" s="2"/>
      <c r="H142" s="5"/>
      <c r="I142" s="2"/>
      <c r="J142" s="2"/>
      <c r="K142" s="2"/>
      <c r="L142" s="2"/>
    </row>
    <row r="143" spans="1:12">
      <c r="A143" s="2"/>
      <c r="B143" s="2" t="str">
        <f>IFERROR(INDEX('01_Компании'!$B$4:$B$103,MATCH(A143,'01_Компании'!$A$4:$A$103,0)),"")</f>
        <v/>
      </c>
      <c r="C143" s="2"/>
      <c r="D143" s="2"/>
      <c r="E143" s="2"/>
      <c r="F143" s="2"/>
      <c r="G143" s="2"/>
      <c r="H143" s="5"/>
      <c r="I143" s="2"/>
      <c r="J143" s="2"/>
      <c r="K143" s="2"/>
      <c r="L143" s="2"/>
    </row>
    <row r="144" spans="1:12">
      <c r="A144" s="2"/>
      <c r="B144" s="2" t="str">
        <f>IFERROR(INDEX('01_Компании'!$B$4:$B$103,MATCH(A144,'01_Компании'!$A$4:$A$103,0)),"")</f>
        <v/>
      </c>
      <c r="C144" s="2"/>
      <c r="D144" s="2"/>
      <c r="E144" s="2"/>
      <c r="F144" s="2"/>
      <c r="G144" s="2"/>
      <c r="H144" s="5"/>
      <c r="I144" s="2"/>
      <c r="J144" s="2"/>
      <c r="K144" s="2"/>
      <c r="L144" s="2"/>
    </row>
    <row r="145" spans="1:12">
      <c r="A145" s="2"/>
      <c r="B145" s="2" t="str">
        <f>IFERROR(INDEX('01_Компании'!$B$4:$B$103,MATCH(A145,'01_Компании'!$A$4:$A$103,0)),"")</f>
        <v/>
      </c>
      <c r="C145" s="2"/>
      <c r="D145" s="2"/>
      <c r="E145" s="2"/>
      <c r="F145" s="2"/>
      <c r="G145" s="2"/>
      <c r="H145" s="5"/>
      <c r="I145" s="2"/>
      <c r="J145" s="2"/>
      <c r="K145" s="2"/>
      <c r="L145" s="2"/>
    </row>
    <row r="146" spans="1:12">
      <c r="A146" s="2"/>
      <c r="B146" s="2" t="str">
        <f>IFERROR(INDEX('01_Компании'!$B$4:$B$103,MATCH(A146,'01_Компании'!$A$4:$A$103,0)),"")</f>
        <v/>
      </c>
      <c r="C146" s="2"/>
      <c r="D146" s="2"/>
      <c r="E146" s="2"/>
      <c r="F146" s="2"/>
      <c r="G146" s="2"/>
      <c r="H146" s="5"/>
      <c r="I146" s="2"/>
      <c r="J146" s="2"/>
      <c r="K146" s="2"/>
      <c r="L146" s="2"/>
    </row>
    <row r="147" spans="1:12">
      <c r="A147" s="2"/>
      <c r="B147" s="2" t="str">
        <f>IFERROR(INDEX('01_Компании'!$B$4:$B$103,MATCH(A147,'01_Компании'!$A$4:$A$103,0)),"")</f>
        <v/>
      </c>
      <c r="C147" s="2"/>
      <c r="D147" s="2"/>
      <c r="E147" s="2"/>
      <c r="F147" s="2"/>
      <c r="G147" s="2"/>
      <c r="H147" s="5"/>
      <c r="I147" s="2"/>
      <c r="J147" s="2"/>
      <c r="K147" s="2"/>
      <c r="L147" s="2"/>
    </row>
    <row r="148" spans="1:12">
      <c r="A148" s="2"/>
      <c r="B148" s="2" t="str">
        <f>IFERROR(INDEX('01_Компании'!$B$4:$B$103,MATCH(A148,'01_Компании'!$A$4:$A$103,0)),"")</f>
        <v/>
      </c>
      <c r="C148" s="2"/>
      <c r="D148" s="2"/>
      <c r="E148" s="2"/>
      <c r="F148" s="2"/>
      <c r="G148" s="2"/>
      <c r="H148" s="5"/>
      <c r="I148" s="2"/>
      <c r="J148" s="2"/>
      <c r="K148" s="2"/>
      <c r="L148" s="2"/>
    </row>
    <row r="149" spans="1:12">
      <c r="A149" s="2"/>
      <c r="B149" s="2" t="str">
        <f>IFERROR(INDEX('01_Компании'!$B$4:$B$103,MATCH(A149,'01_Компании'!$A$4:$A$103,0)),"")</f>
        <v/>
      </c>
      <c r="C149" s="2"/>
      <c r="D149" s="2"/>
      <c r="E149" s="2"/>
      <c r="F149" s="2"/>
      <c r="G149" s="2"/>
      <c r="H149" s="5"/>
      <c r="I149" s="2"/>
      <c r="J149" s="2"/>
      <c r="K149" s="2"/>
      <c r="L149" s="2"/>
    </row>
    <row r="150" spans="1:12">
      <c r="A150" s="2"/>
      <c r="B150" s="2" t="str">
        <f>IFERROR(INDEX('01_Компании'!$B$4:$B$103,MATCH(A150,'01_Компании'!$A$4:$A$103,0)),"")</f>
        <v/>
      </c>
      <c r="C150" s="2"/>
      <c r="D150" s="2"/>
      <c r="E150" s="2"/>
      <c r="F150" s="2"/>
      <c r="G150" s="2"/>
      <c r="H150" s="5"/>
      <c r="I150" s="2"/>
      <c r="J150" s="2"/>
      <c r="K150" s="2"/>
      <c r="L150" s="2"/>
    </row>
    <row r="151" spans="1:12">
      <c r="A151" s="2"/>
      <c r="B151" s="2" t="str">
        <f>IFERROR(INDEX('01_Компании'!$B$4:$B$103,MATCH(A151,'01_Компании'!$A$4:$A$103,0)),"")</f>
        <v/>
      </c>
      <c r="C151" s="2"/>
      <c r="D151" s="2"/>
      <c r="E151" s="2"/>
      <c r="F151" s="2"/>
      <c r="G151" s="2"/>
      <c r="H151" s="5"/>
      <c r="I151" s="2"/>
      <c r="J151" s="2"/>
      <c r="K151" s="2"/>
      <c r="L151" s="2"/>
    </row>
    <row r="152" spans="1:12">
      <c r="A152" s="2"/>
      <c r="B152" s="2" t="str">
        <f>IFERROR(INDEX('01_Компании'!$B$4:$B$103,MATCH(A152,'01_Компании'!$A$4:$A$103,0)),"")</f>
        <v/>
      </c>
      <c r="C152" s="2"/>
      <c r="D152" s="2"/>
      <c r="E152" s="2"/>
      <c r="F152" s="2"/>
      <c r="G152" s="2"/>
      <c r="H152" s="5"/>
      <c r="I152" s="2"/>
      <c r="J152" s="2"/>
      <c r="K152" s="2"/>
      <c r="L152" s="2"/>
    </row>
    <row r="153" spans="1:12">
      <c r="A153" s="2"/>
      <c r="B153" s="2" t="str">
        <f>IFERROR(INDEX('01_Компании'!$B$4:$B$103,MATCH(A153,'01_Компании'!$A$4:$A$103,0)),"")</f>
        <v/>
      </c>
      <c r="C153" s="2"/>
      <c r="D153" s="2"/>
      <c r="E153" s="2"/>
      <c r="F153" s="2"/>
      <c r="G153" s="2"/>
      <c r="H153" s="5"/>
      <c r="I153" s="2"/>
      <c r="J153" s="2"/>
      <c r="K153" s="2"/>
      <c r="L153" s="2"/>
    </row>
    <row r="154" spans="1:12">
      <c r="A154" s="2"/>
      <c r="B154" s="2" t="str">
        <f>IFERROR(INDEX('01_Компании'!$B$4:$B$103,MATCH(A154,'01_Компании'!$A$4:$A$103,0)),"")</f>
        <v/>
      </c>
      <c r="C154" s="2"/>
      <c r="D154" s="2"/>
      <c r="E154" s="2"/>
      <c r="F154" s="2"/>
      <c r="G154" s="2"/>
      <c r="H154" s="5"/>
      <c r="I154" s="2"/>
      <c r="J154" s="2"/>
      <c r="K154" s="2"/>
      <c r="L154" s="2"/>
    </row>
    <row r="155" spans="1:12">
      <c r="A155" s="2"/>
      <c r="B155" s="2" t="str">
        <f>IFERROR(INDEX('01_Компании'!$B$4:$B$103,MATCH(A155,'01_Компании'!$A$4:$A$103,0)),"")</f>
        <v/>
      </c>
      <c r="C155" s="2"/>
      <c r="D155" s="2"/>
      <c r="E155" s="2"/>
      <c r="F155" s="2"/>
      <c r="G155" s="2"/>
      <c r="H155" s="5"/>
      <c r="I155" s="2"/>
      <c r="J155" s="2"/>
      <c r="K155" s="2"/>
      <c r="L155" s="2"/>
    </row>
    <row r="156" spans="1:12">
      <c r="A156" s="2"/>
      <c r="B156" s="2" t="str">
        <f>IFERROR(INDEX('01_Компании'!$B$4:$B$103,MATCH(A156,'01_Компании'!$A$4:$A$103,0)),"")</f>
        <v/>
      </c>
      <c r="C156" s="2"/>
      <c r="D156" s="2"/>
      <c r="E156" s="2"/>
      <c r="F156" s="2"/>
      <c r="G156" s="2"/>
      <c r="H156" s="5"/>
      <c r="I156" s="2"/>
      <c r="J156" s="2"/>
      <c r="K156" s="2"/>
      <c r="L156" s="2"/>
    </row>
    <row r="157" spans="1:12">
      <c r="A157" s="2"/>
      <c r="B157" s="2" t="str">
        <f>IFERROR(INDEX('01_Компании'!$B$4:$B$103,MATCH(A157,'01_Компании'!$A$4:$A$103,0)),"")</f>
        <v/>
      </c>
      <c r="C157" s="2"/>
      <c r="D157" s="2"/>
      <c r="E157" s="2"/>
      <c r="F157" s="2"/>
      <c r="G157" s="2"/>
      <c r="H157" s="5"/>
      <c r="I157" s="2"/>
      <c r="J157" s="2"/>
      <c r="K157" s="2"/>
      <c r="L157" s="2"/>
    </row>
    <row r="158" spans="1:12">
      <c r="A158" s="2"/>
      <c r="B158" s="2" t="str">
        <f>IFERROR(INDEX('01_Компании'!$B$4:$B$103,MATCH(A158,'01_Компании'!$A$4:$A$103,0)),"")</f>
        <v/>
      </c>
      <c r="C158" s="2"/>
      <c r="D158" s="2"/>
      <c r="E158" s="2"/>
      <c r="F158" s="2"/>
      <c r="G158" s="2"/>
      <c r="H158" s="5"/>
      <c r="I158" s="2"/>
      <c r="J158" s="2"/>
      <c r="K158" s="2"/>
      <c r="L158" s="2"/>
    </row>
    <row r="159" spans="1:12">
      <c r="A159" s="2"/>
      <c r="B159" s="2" t="str">
        <f>IFERROR(INDEX('01_Компании'!$B$4:$B$103,MATCH(A159,'01_Компании'!$A$4:$A$103,0)),"")</f>
        <v/>
      </c>
      <c r="C159" s="2"/>
      <c r="D159" s="2"/>
      <c r="E159" s="2"/>
      <c r="F159" s="2"/>
      <c r="G159" s="2"/>
      <c r="H159" s="5"/>
      <c r="I159" s="2"/>
      <c r="J159" s="2"/>
      <c r="K159" s="2"/>
      <c r="L159" s="2"/>
    </row>
    <row r="160" spans="1:12">
      <c r="A160" s="2"/>
      <c r="B160" s="2" t="str">
        <f>IFERROR(INDEX('01_Компании'!$B$4:$B$103,MATCH(A160,'01_Компании'!$A$4:$A$103,0)),"")</f>
        <v/>
      </c>
      <c r="C160" s="2"/>
      <c r="D160" s="2"/>
      <c r="E160" s="2"/>
      <c r="F160" s="2"/>
      <c r="G160" s="2"/>
      <c r="H160" s="5"/>
      <c r="I160" s="2"/>
      <c r="J160" s="2"/>
      <c r="K160" s="2"/>
      <c r="L160" s="2"/>
    </row>
    <row r="161" spans="1:12">
      <c r="A161" s="2"/>
      <c r="B161" s="2" t="str">
        <f>IFERROR(INDEX('01_Компании'!$B$4:$B$103,MATCH(A161,'01_Компании'!$A$4:$A$103,0)),"")</f>
        <v/>
      </c>
      <c r="C161" s="2"/>
      <c r="D161" s="2"/>
      <c r="E161" s="2"/>
      <c r="F161" s="2"/>
      <c r="G161" s="2"/>
      <c r="H161" s="5"/>
      <c r="I161" s="2"/>
      <c r="J161" s="2"/>
      <c r="K161" s="2"/>
      <c r="L161" s="2"/>
    </row>
    <row r="162" spans="1:12">
      <c r="A162" s="2"/>
      <c r="B162" s="2" t="str">
        <f>IFERROR(INDEX('01_Компании'!$B$4:$B$103,MATCH(A162,'01_Компании'!$A$4:$A$103,0)),"")</f>
        <v/>
      </c>
      <c r="C162" s="2"/>
      <c r="D162" s="2"/>
      <c r="E162" s="2"/>
      <c r="F162" s="2"/>
      <c r="G162" s="2"/>
      <c r="H162" s="5"/>
      <c r="I162" s="2"/>
      <c r="J162" s="2"/>
      <c r="K162" s="2"/>
      <c r="L162" s="2"/>
    </row>
    <row r="163" spans="1:12">
      <c r="A163" s="2"/>
      <c r="B163" s="2" t="str">
        <f>IFERROR(INDEX('01_Компании'!$B$4:$B$103,MATCH(A163,'01_Компании'!$A$4:$A$103,0)),"")</f>
        <v/>
      </c>
      <c r="C163" s="2"/>
      <c r="D163" s="2"/>
      <c r="E163" s="2"/>
      <c r="F163" s="2"/>
      <c r="G163" s="2"/>
      <c r="H163" s="5"/>
      <c r="I163" s="2"/>
      <c r="J163" s="2"/>
      <c r="K163" s="2"/>
      <c r="L163" s="2"/>
    </row>
    <row r="164" spans="1:12">
      <c r="A164" s="2"/>
      <c r="B164" s="2" t="str">
        <f>IFERROR(INDEX('01_Компании'!$B$4:$B$103,MATCH(A164,'01_Компании'!$A$4:$A$103,0)),"")</f>
        <v/>
      </c>
      <c r="C164" s="2"/>
      <c r="D164" s="2"/>
      <c r="E164" s="2"/>
      <c r="F164" s="2"/>
      <c r="G164" s="2"/>
      <c r="H164" s="5"/>
      <c r="I164" s="2"/>
      <c r="J164" s="2"/>
      <c r="K164" s="2"/>
      <c r="L164" s="2"/>
    </row>
    <row r="165" spans="1:12">
      <c r="A165" s="2"/>
      <c r="B165" s="2" t="str">
        <f>IFERROR(INDEX('01_Компании'!$B$4:$B$103,MATCH(A165,'01_Компании'!$A$4:$A$103,0)),"")</f>
        <v/>
      </c>
      <c r="C165" s="2"/>
      <c r="D165" s="2"/>
      <c r="E165" s="2"/>
      <c r="F165" s="2"/>
      <c r="G165" s="2"/>
      <c r="H165" s="5"/>
      <c r="I165" s="2"/>
      <c r="J165" s="2"/>
      <c r="K165" s="2"/>
      <c r="L165" s="2"/>
    </row>
    <row r="166" spans="1:12">
      <c r="A166" s="2"/>
      <c r="B166" s="2" t="str">
        <f>IFERROR(INDEX('01_Компании'!$B$4:$B$103,MATCH(A166,'01_Компании'!$A$4:$A$103,0)),"")</f>
        <v/>
      </c>
      <c r="C166" s="2"/>
      <c r="D166" s="2"/>
      <c r="E166" s="2"/>
      <c r="F166" s="2"/>
      <c r="G166" s="2"/>
      <c r="H166" s="5"/>
      <c r="I166" s="2"/>
      <c r="J166" s="2"/>
      <c r="K166" s="2"/>
      <c r="L166" s="2"/>
    </row>
    <row r="167" spans="1:12">
      <c r="A167" s="2"/>
      <c r="B167" s="2" t="str">
        <f>IFERROR(INDEX('01_Компании'!$B$4:$B$103,MATCH(A167,'01_Компании'!$A$4:$A$103,0)),"")</f>
        <v/>
      </c>
      <c r="C167" s="2"/>
      <c r="D167" s="2"/>
      <c r="E167" s="2"/>
      <c r="F167" s="2"/>
      <c r="G167" s="2"/>
      <c r="H167" s="5"/>
      <c r="I167" s="2"/>
      <c r="J167" s="2"/>
      <c r="K167" s="2"/>
      <c r="L167" s="2"/>
    </row>
    <row r="168" spans="1:12">
      <c r="A168" s="2"/>
      <c r="B168" s="2" t="str">
        <f>IFERROR(INDEX('01_Компании'!$B$4:$B$103,MATCH(A168,'01_Компании'!$A$4:$A$103,0)),"")</f>
        <v/>
      </c>
      <c r="C168" s="2"/>
      <c r="D168" s="2"/>
      <c r="E168" s="2"/>
      <c r="F168" s="2"/>
      <c r="G168" s="2"/>
      <c r="H168" s="5"/>
      <c r="I168" s="2"/>
      <c r="J168" s="2"/>
      <c r="K168" s="2"/>
      <c r="L168" s="2"/>
    </row>
    <row r="169" spans="1:12">
      <c r="A169" s="2"/>
      <c r="B169" s="2" t="str">
        <f>IFERROR(INDEX('01_Компании'!$B$4:$B$103,MATCH(A169,'01_Компании'!$A$4:$A$103,0)),"")</f>
        <v/>
      </c>
      <c r="C169" s="2"/>
      <c r="D169" s="2"/>
      <c r="E169" s="2"/>
      <c r="F169" s="2"/>
      <c r="G169" s="2"/>
      <c r="H169" s="5"/>
      <c r="I169" s="2"/>
      <c r="J169" s="2"/>
      <c r="K169" s="2"/>
      <c r="L169" s="2"/>
    </row>
    <row r="170" spans="1:12">
      <c r="A170" s="2"/>
      <c r="B170" s="2" t="str">
        <f>IFERROR(INDEX('01_Компании'!$B$4:$B$103,MATCH(A170,'01_Компании'!$A$4:$A$103,0)),"")</f>
        <v/>
      </c>
      <c r="C170" s="2"/>
      <c r="D170" s="2"/>
      <c r="E170" s="2"/>
      <c r="F170" s="2"/>
      <c r="G170" s="2"/>
      <c r="H170" s="5"/>
      <c r="I170" s="2"/>
      <c r="J170" s="2"/>
      <c r="K170" s="2"/>
      <c r="L170" s="2"/>
    </row>
    <row r="171" spans="1:12">
      <c r="A171" s="2"/>
      <c r="B171" s="2" t="str">
        <f>IFERROR(INDEX('01_Компании'!$B$4:$B$103,MATCH(A171,'01_Компании'!$A$4:$A$103,0)),"")</f>
        <v/>
      </c>
      <c r="C171" s="2"/>
      <c r="D171" s="2"/>
      <c r="E171" s="2"/>
      <c r="F171" s="2"/>
      <c r="G171" s="2"/>
      <c r="H171" s="5"/>
      <c r="I171" s="2"/>
      <c r="J171" s="2"/>
      <c r="K171" s="2"/>
      <c r="L171" s="2"/>
    </row>
    <row r="172" spans="1:12">
      <c r="A172" s="2"/>
      <c r="B172" s="2" t="str">
        <f>IFERROR(INDEX('01_Компании'!$B$4:$B$103,MATCH(A172,'01_Компании'!$A$4:$A$103,0)),"")</f>
        <v/>
      </c>
      <c r="C172" s="2"/>
      <c r="D172" s="2"/>
      <c r="E172" s="2"/>
      <c r="F172" s="2"/>
      <c r="G172" s="2"/>
      <c r="H172" s="5"/>
      <c r="I172" s="2"/>
      <c r="J172" s="2"/>
      <c r="K172" s="2"/>
      <c r="L172" s="2"/>
    </row>
    <row r="173" spans="1:12">
      <c r="A173" s="2"/>
      <c r="B173" s="2" t="str">
        <f>IFERROR(INDEX('01_Компании'!$B$4:$B$103,MATCH(A173,'01_Компании'!$A$4:$A$103,0)),"")</f>
        <v/>
      </c>
      <c r="C173" s="2"/>
      <c r="D173" s="2"/>
      <c r="E173" s="2"/>
      <c r="F173" s="2"/>
      <c r="G173" s="2"/>
      <c r="H173" s="5"/>
      <c r="I173" s="2"/>
      <c r="J173" s="2"/>
      <c r="K173" s="2"/>
      <c r="L173" s="2"/>
    </row>
    <row r="174" spans="1:12">
      <c r="A174" s="2"/>
      <c r="B174" s="2" t="str">
        <f>IFERROR(INDEX('01_Компании'!$B$4:$B$103,MATCH(A174,'01_Компании'!$A$4:$A$103,0)),"")</f>
        <v/>
      </c>
      <c r="C174" s="2"/>
      <c r="D174" s="2"/>
      <c r="E174" s="2"/>
      <c r="F174" s="2"/>
      <c r="G174" s="2"/>
      <c r="H174" s="5"/>
      <c r="I174" s="2"/>
      <c r="J174" s="2"/>
      <c r="K174" s="2"/>
      <c r="L174" s="2"/>
    </row>
    <row r="175" spans="1:12">
      <c r="A175" s="2"/>
      <c r="B175" s="2" t="str">
        <f>IFERROR(INDEX('01_Компании'!$B$4:$B$103,MATCH(A175,'01_Компании'!$A$4:$A$103,0)),"")</f>
        <v/>
      </c>
      <c r="C175" s="2"/>
      <c r="D175" s="2"/>
      <c r="E175" s="2"/>
      <c r="F175" s="2"/>
      <c r="G175" s="2"/>
      <c r="H175" s="5"/>
      <c r="I175" s="2"/>
      <c r="J175" s="2"/>
      <c r="K175" s="2"/>
      <c r="L175" s="2"/>
    </row>
    <row r="176" spans="1:12">
      <c r="A176" s="2"/>
      <c r="B176" s="2" t="str">
        <f>IFERROR(INDEX('01_Компании'!$B$4:$B$103,MATCH(A176,'01_Компании'!$A$4:$A$103,0)),"")</f>
        <v/>
      </c>
      <c r="C176" s="2"/>
      <c r="D176" s="2"/>
      <c r="E176" s="2"/>
      <c r="F176" s="2"/>
      <c r="G176" s="2"/>
      <c r="H176" s="5"/>
      <c r="I176" s="2"/>
      <c r="J176" s="2"/>
      <c r="K176" s="2"/>
      <c r="L176" s="2"/>
    </row>
    <row r="177" spans="1:12">
      <c r="A177" s="2"/>
      <c r="B177" s="2" t="str">
        <f>IFERROR(INDEX('01_Компании'!$B$4:$B$103,MATCH(A177,'01_Компании'!$A$4:$A$103,0)),"")</f>
        <v/>
      </c>
      <c r="C177" s="2"/>
      <c r="D177" s="2"/>
      <c r="E177" s="2"/>
      <c r="F177" s="2"/>
      <c r="G177" s="2"/>
      <c r="H177" s="5"/>
      <c r="I177" s="2"/>
      <c r="J177" s="2"/>
      <c r="K177" s="2"/>
      <c r="L177" s="2"/>
    </row>
    <row r="178" spans="1:12">
      <c r="A178" s="2"/>
      <c r="B178" s="2" t="str">
        <f>IFERROR(INDEX('01_Компании'!$B$4:$B$103,MATCH(A178,'01_Компании'!$A$4:$A$103,0)),"")</f>
        <v/>
      </c>
      <c r="C178" s="2"/>
      <c r="D178" s="2"/>
      <c r="E178" s="2"/>
      <c r="F178" s="2"/>
      <c r="G178" s="2"/>
      <c r="H178" s="5"/>
      <c r="I178" s="2"/>
      <c r="J178" s="2"/>
      <c r="K178" s="2"/>
      <c r="L178" s="2"/>
    </row>
    <row r="179" spans="1:12">
      <c r="A179" s="2"/>
      <c r="B179" s="2" t="str">
        <f>IFERROR(INDEX('01_Компании'!$B$4:$B$103,MATCH(A179,'01_Компании'!$A$4:$A$103,0)),"")</f>
        <v/>
      </c>
      <c r="C179" s="2"/>
      <c r="D179" s="2"/>
      <c r="E179" s="2"/>
      <c r="F179" s="2"/>
      <c r="G179" s="2"/>
      <c r="H179" s="5"/>
      <c r="I179" s="2"/>
      <c r="J179" s="2"/>
      <c r="K179" s="2"/>
      <c r="L179" s="2"/>
    </row>
    <row r="180" spans="1:12">
      <c r="A180" s="2"/>
      <c r="B180" s="2" t="str">
        <f>IFERROR(INDEX('01_Компании'!$B$4:$B$103,MATCH(A180,'01_Компании'!$A$4:$A$103,0)),"")</f>
        <v/>
      </c>
      <c r="C180" s="2"/>
      <c r="D180" s="2"/>
      <c r="E180" s="2"/>
      <c r="F180" s="2"/>
      <c r="G180" s="2"/>
      <c r="H180" s="5"/>
      <c r="I180" s="2"/>
      <c r="J180" s="2"/>
      <c r="K180" s="2"/>
      <c r="L180" s="2"/>
    </row>
    <row r="181" spans="1:12">
      <c r="A181" s="2"/>
      <c r="B181" s="2" t="str">
        <f>IFERROR(INDEX('01_Компании'!$B$4:$B$103,MATCH(A181,'01_Компании'!$A$4:$A$103,0)),"")</f>
        <v/>
      </c>
      <c r="C181" s="2"/>
      <c r="D181" s="2"/>
      <c r="E181" s="2"/>
      <c r="F181" s="2"/>
      <c r="G181" s="2"/>
      <c r="H181" s="5"/>
      <c r="I181" s="2"/>
      <c r="J181" s="2"/>
      <c r="K181" s="2"/>
      <c r="L181" s="2"/>
    </row>
    <row r="182" spans="1:12">
      <c r="A182" s="2"/>
      <c r="B182" s="2" t="str">
        <f>IFERROR(INDEX('01_Компании'!$B$4:$B$103,MATCH(A182,'01_Компании'!$A$4:$A$103,0)),"")</f>
        <v/>
      </c>
      <c r="C182" s="2"/>
      <c r="D182" s="2"/>
      <c r="E182" s="2"/>
      <c r="F182" s="2"/>
      <c r="G182" s="2"/>
      <c r="H182" s="5"/>
      <c r="I182" s="2"/>
      <c r="J182" s="2"/>
      <c r="K182" s="2"/>
      <c r="L182" s="2"/>
    </row>
    <row r="183" spans="1:12">
      <c r="A183" s="2"/>
      <c r="B183" s="2" t="str">
        <f>IFERROR(INDEX('01_Компании'!$B$4:$B$103,MATCH(A183,'01_Компании'!$A$4:$A$103,0)),"")</f>
        <v/>
      </c>
      <c r="C183" s="2"/>
      <c r="D183" s="2"/>
      <c r="E183" s="2"/>
      <c r="F183" s="2"/>
      <c r="G183" s="2"/>
      <c r="H183" s="5"/>
      <c r="I183" s="2"/>
      <c r="J183" s="2"/>
      <c r="K183" s="2"/>
      <c r="L183" s="2"/>
    </row>
    <row r="184" spans="1:12">
      <c r="A184" s="2"/>
      <c r="B184" s="2" t="str">
        <f>IFERROR(INDEX('01_Компании'!$B$4:$B$103,MATCH(A184,'01_Компании'!$A$4:$A$103,0)),"")</f>
        <v/>
      </c>
      <c r="C184" s="2"/>
      <c r="D184" s="2"/>
      <c r="E184" s="2"/>
      <c r="F184" s="2"/>
      <c r="G184" s="2"/>
      <c r="H184" s="5"/>
      <c r="I184" s="2"/>
      <c r="J184" s="2"/>
      <c r="K184" s="2"/>
      <c r="L184" s="2"/>
    </row>
    <row r="185" spans="1:12">
      <c r="A185" s="2"/>
      <c r="B185" s="2" t="str">
        <f>IFERROR(INDEX('01_Компании'!$B$4:$B$103,MATCH(A185,'01_Компании'!$A$4:$A$103,0)),"")</f>
        <v/>
      </c>
      <c r="C185" s="2"/>
      <c r="D185" s="2"/>
      <c r="E185" s="2"/>
      <c r="F185" s="2"/>
      <c r="G185" s="2"/>
      <c r="H185" s="5"/>
      <c r="I185" s="2"/>
      <c r="J185" s="2"/>
      <c r="K185" s="2"/>
      <c r="L185" s="2"/>
    </row>
    <row r="186" spans="1:12">
      <c r="A186" s="2"/>
      <c r="B186" s="2" t="str">
        <f>IFERROR(INDEX('01_Компании'!$B$4:$B$103,MATCH(A186,'01_Компании'!$A$4:$A$103,0)),"")</f>
        <v/>
      </c>
      <c r="C186" s="2"/>
      <c r="D186" s="2"/>
      <c r="E186" s="2"/>
      <c r="F186" s="2"/>
      <c r="G186" s="2"/>
      <c r="H186" s="5"/>
      <c r="I186" s="2"/>
      <c r="J186" s="2"/>
      <c r="K186" s="2"/>
      <c r="L186" s="2"/>
    </row>
    <row r="187" spans="1:12">
      <c r="A187" s="2"/>
      <c r="B187" s="2" t="str">
        <f>IFERROR(INDEX('01_Компании'!$B$4:$B$103,MATCH(A187,'01_Компании'!$A$4:$A$103,0)),"")</f>
        <v/>
      </c>
      <c r="C187" s="2"/>
      <c r="D187" s="2"/>
      <c r="E187" s="2"/>
      <c r="F187" s="2"/>
      <c r="G187" s="2"/>
      <c r="H187" s="5"/>
      <c r="I187" s="2"/>
      <c r="J187" s="2"/>
      <c r="K187" s="2"/>
      <c r="L187" s="2"/>
    </row>
    <row r="188" spans="1:12">
      <c r="A188" s="2"/>
      <c r="B188" s="2" t="str">
        <f>IFERROR(INDEX('01_Компании'!$B$4:$B$103,MATCH(A188,'01_Компании'!$A$4:$A$103,0)),"")</f>
        <v/>
      </c>
      <c r="C188" s="2"/>
      <c r="D188" s="2"/>
      <c r="E188" s="2"/>
      <c r="F188" s="2"/>
      <c r="G188" s="2"/>
      <c r="H188" s="5"/>
      <c r="I188" s="2"/>
      <c r="J188" s="2"/>
      <c r="K188" s="2"/>
      <c r="L188" s="2"/>
    </row>
    <row r="189" spans="1:12">
      <c r="A189" s="2"/>
      <c r="B189" s="2" t="str">
        <f>IFERROR(INDEX('01_Компании'!$B$4:$B$103,MATCH(A189,'01_Компании'!$A$4:$A$103,0)),"")</f>
        <v/>
      </c>
      <c r="C189" s="2"/>
      <c r="D189" s="2"/>
      <c r="E189" s="2"/>
      <c r="F189" s="2"/>
      <c r="G189" s="2"/>
      <c r="H189" s="5"/>
      <c r="I189" s="2"/>
      <c r="J189" s="2"/>
      <c r="K189" s="2"/>
      <c r="L189" s="2"/>
    </row>
    <row r="190" spans="1:12">
      <c r="A190" s="2"/>
      <c r="B190" s="2" t="str">
        <f>IFERROR(INDEX('01_Компании'!$B$4:$B$103,MATCH(A190,'01_Компании'!$A$4:$A$103,0)),"")</f>
        <v/>
      </c>
      <c r="C190" s="2"/>
      <c r="D190" s="2"/>
      <c r="E190" s="2"/>
      <c r="F190" s="2"/>
      <c r="G190" s="2"/>
      <c r="H190" s="5"/>
      <c r="I190" s="2"/>
      <c r="J190" s="2"/>
      <c r="K190" s="2"/>
      <c r="L190" s="2"/>
    </row>
    <row r="191" spans="1:12">
      <c r="A191" s="2"/>
      <c r="B191" s="2" t="str">
        <f>IFERROR(INDEX('01_Компании'!$B$4:$B$103,MATCH(A191,'01_Компании'!$A$4:$A$103,0)),"")</f>
        <v/>
      </c>
      <c r="C191" s="2"/>
      <c r="D191" s="2"/>
      <c r="E191" s="2"/>
      <c r="F191" s="2"/>
      <c r="G191" s="2"/>
      <c r="H191" s="5"/>
      <c r="I191" s="2"/>
      <c r="J191" s="2"/>
      <c r="K191" s="2"/>
      <c r="L191" s="2"/>
    </row>
    <row r="192" spans="1:12">
      <c r="A192" s="2"/>
      <c r="B192" s="2" t="str">
        <f>IFERROR(INDEX('01_Компании'!$B$4:$B$103,MATCH(A192,'01_Компании'!$A$4:$A$103,0)),"")</f>
        <v/>
      </c>
      <c r="C192" s="2"/>
      <c r="D192" s="2"/>
      <c r="E192" s="2"/>
      <c r="F192" s="2"/>
      <c r="G192" s="2"/>
      <c r="H192" s="5"/>
      <c r="I192" s="2"/>
      <c r="J192" s="2"/>
      <c r="K192" s="2"/>
      <c r="L192" s="2"/>
    </row>
    <row r="193" spans="1:12">
      <c r="A193" s="2"/>
      <c r="B193" s="2" t="str">
        <f>IFERROR(INDEX('01_Компании'!$B$4:$B$103,MATCH(A193,'01_Компании'!$A$4:$A$103,0)),"")</f>
        <v/>
      </c>
      <c r="C193" s="2"/>
      <c r="D193" s="2"/>
      <c r="E193" s="2"/>
      <c r="F193" s="2"/>
      <c r="G193" s="2"/>
      <c r="H193" s="5"/>
      <c r="I193" s="2"/>
      <c r="J193" s="2"/>
      <c r="K193" s="2"/>
      <c r="L193" s="2"/>
    </row>
    <row r="194" spans="1:12">
      <c r="A194" s="2"/>
      <c r="B194" s="2" t="str">
        <f>IFERROR(INDEX('01_Компании'!$B$4:$B$103,MATCH(A194,'01_Компании'!$A$4:$A$103,0)),"")</f>
        <v/>
      </c>
      <c r="C194" s="2"/>
      <c r="D194" s="2"/>
      <c r="E194" s="2"/>
      <c r="F194" s="2"/>
      <c r="G194" s="2"/>
      <c r="H194" s="5"/>
      <c r="I194" s="2"/>
      <c r="J194" s="2"/>
      <c r="K194" s="2"/>
      <c r="L194" s="2"/>
    </row>
    <row r="195" spans="1:12">
      <c r="A195" s="2"/>
      <c r="B195" s="2" t="str">
        <f>IFERROR(INDEX('01_Компании'!$B$4:$B$103,MATCH(A195,'01_Компании'!$A$4:$A$103,0)),"")</f>
        <v/>
      </c>
      <c r="C195" s="2"/>
      <c r="D195" s="2"/>
      <c r="E195" s="2"/>
      <c r="F195" s="2"/>
      <c r="G195" s="2"/>
      <c r="H195" s="5"/>
      <c r="I195" s="2"/>
      <c r="J195" s="2"/>
      <c r="K195" s="2"/>
      <c r="L195" s="2"/>
    </row>
    <row r="196" spans="1:12">
      <c r="A196" s="2"/>
      <c r="B196" s="2" t="str">
        <f>IFERROR(INDEX('01_Компании'!$B$4:$B$103,MATCH(A196,'01_Компании'!$A$4:$A$103,0)),"")</f>
        <v/>
      </c>
      <c r="C196" s="2"/>
      <c r="D196" s="2"/>
      <c r="E196" s="2"/>
      <c r="F196" s="2"/>
      <c r="G196" s="2"/>
      <c r="H196" s="5"/>
      <c r="I196" s="2"/>
      <c r="J196" s="2"/>
      <c r="K196" s="2"/>
      <c r="L196" s="2"/>
    </row>
    <row r="197" spans="1:12">
      <c r="A197" s="2"/>
      <c r="B197" s="2" t="str">
        <f>IFERROR(INDEX('01_Компании'!$B$4:$B$103,MATCH(A197,'01_Компании'!$A$4:$A$103,0)),"")</f>
        <v/>
      </c>
      <c r="C197" s="2"/>
      <c r="D197" s="2"/>
      <c r="E197" s="2"/>
      <c r="F197" s="2"/>
      <c r="G197" s="2"/>
      <c r="H197" s="5"/>
      <c r="I197" s="2"/>
      <c r="J197" s="2"/>
      <c r="K197" s="2"/>
      <c r="L197" s="2"/>
    </row>
    <row r="198" spans="1:12">
      <c r="A198" s="2"/>
      <c r="B198" s="2" t="str">
        <f>IFERROR(INDEX('01_Компании'!$B$4:$B$103,MATCH(A198,'01_Компании'!$A$4:$A$103,0)),"")</f>
        <v/>
      </c>
      <c r="C198" s="2"/>
      <c r="D198" s="2"/>
      <c r="E198" s="2"/>
      <c r="F198" s="2"/>
      <c r="G198" s="2"/>
      <c r="H198" s="5"/>
      <c r="I198" s="2"/>
      <c r="J198" s="2"/>
      <c r="K198" s="2"/>
      <c r="L198" s="2"/>
    </row>
    <row r="199" spans="1:12">
      <c r="A199" s="2"/>
      <c r="B199" s="2" t="str">
        <f>IFERROR(INDEX('01_Компании'!$B$4:$B$103,MATCH(A199,'01_Компании'!$A$4:$A$103,0)),"")</f>
        <v/>
      </c>
      <c r="C199" s="2"/>
      <c r="D199" s="2"/>
      <c r="E199" s="2"/>
      <c r="F199" s="2"/>
      <c r="G199" s="2"/>
      <c r="H199" s="5"/>
      <c r="I199" s="2"/>
      <c r="J199" s="2"/>
      <c r="K199" s="2"/>
      <c r="L199" s="2"/>
    </row>
    <row r="200" spans="1:12">
      <c r="A200" s="2"/>
      <c r="B200" s="2" t="str">
        <f>IFERROR(INDEX('01_Компании'!$B$4:$B$103,MATCH(A200,'01_Компании'!$A$4:$A$103,0)),"")</f>
        <v/>
      </c>
      <c r="C200" s="2"/>
      <c r="D200" s="2"/>
      <c r="E200" s="2"/>
      <c r="F200" s="2"/>
      <c r="G200" s="2"/>
      <c r="H200" s="5"/>
      <c r="I200" s="2"/>
      <c r="J200" s="2"/>
      <c r="K200" s="2"/>
      <c r="L200" s="2"/>
    </row>
    <row r="201" spans="1:12">
      <c r="A201" s="2"/>
      <c r="B201" s="2" t="str">
        <f>IFERROR(INDEX('01_Компании'!$B$4:$B$103,MATCH(A201,'01_Компании'!$A$4:$A$103,0)),"")</f>
        <v/>
      </c>
      <c r="C201" s="2"/>
      <c r="D201" s="2"/>
      <c r="E201" s="2"/>
      <c r="F201" s="2"/>
      <c r="G201" s="2"/>
      <c r="H201" s="5"/>
      <c r="I201" s="2"/>
      <c r="J201" s="2"/>
      <c r="K201" s="2"/>
      <c r="L201" s="2"/>
    </row>
    <row r="202" spans="1:12">
      <c r="A202" s="2"/>
      <c r="B202" s="2" t="str">
        <f>IFERROR(INDEX('01_Компании'!$B$4:$B$103,MATCH(A202,'01_Компании'!$A$4:$A$103,0)),"")</f>
        <v/>
      </c>
      <c r="C202" s="2"/>
      <c r="D202" s="2"/>
      <c r="E202" s="2"/>
      <c r="F202" s="2"/>
      <c r="G202" s="2"/>
      <c r="H202" s="5"/>
      <c r="I202" s="2"/>
      <c r="J202" s="2"/>
      <c r="K202" s="2"/>
      <c r="L202" s="2"/>
    </row>
    <row r="203" spans="1:12">
      <c r="A203" s="2"/>
      <c r="B203" s="2" t="str">
        <f>IFERROR(INDEX('01_Компании'!$B$4:$B$103,MATCH(A203,'01_Компании'!$A$4:$A$103,0)),"")</f>
        <v/>
      </c>
      <c r="C203" s="2"/>
      <c r="D203" s="2"/>
      <c r="E203" s="2"/>
      <c r="F203" s="2"/>
      <c r="G203" s="2"/>
      <c r="H203" s="5"/>
      <c r="I203" s="2"/>
      <c r="J203" s="2"/>
      <c r="K203" s="2"/>
      <c r="L203" s="2"/>
    </row>
    <row r="204" spans="1:12">
      <c r="A204" s="2"/>
      <c r="B204" s="2" t="str">
        <f>IFERROR(INDEX('01_Компании'!$B$4:$B$103,MATCH(A204,'01_Компании'!$A$4:$A$103,0)),"")</f>
        <v/>
      </c>
      <c r="C204" s="2"/>
      <c r="D204" s="2"/>
      <c r="E204" s="2"/>
      <c r="F204" s="2"/>
      <c r="G204" s="2"/>
      <c r="H204" s="5"/>
      <c r="I204" s="2"/>
      <c r="J204" s="2"/>
      <c r="K204" s="2"/>
      <c r="L204" s="2"/>
    </row>
    <row r="205" spans="1:12">
      <c r="A205" s="2"/>
      <c r="B205" s="2" t="str">
        <f>IFERROR(INDEX('01_Компании'!$B$4:$B$103,MATCH(A205,'01_Компании'!$A$4:$A$103,0)),"")</f>
        <v/>
      </c>
      <c r="C205" s="2"/>
      <c r="D205" s="2"/>
      <c r="E205" s="2"/>
      <c r="F205" s="2"/>
      <c r="G205" s="2"/>
      <c r="H205" s="5"/>
      <c r="I205" s="2"/>
      <c r="J205" s="2"/>
      <c r="K205" s="2"/>
      <c r="L205" s="2"/>
    </row>
    <row r="206" spans="1:12">
      <c r="A206" s="2"/>
      <c r="B206" s="2" t="str">
        <f>IFERROR(INDEX('01_Компании'!$B$4:$B$103,MATCH(A206,'01_Компании'!$A$4:$A$103,0)),"")</f>
        <v/>
      </c>
      <c r="C206" s="2"/>
      <c r="D206" s="2"/>
      <c r="E206" s="2"/>
      <c r="F206" s="2"/>
      <c r="G206" s="2"/>
      <c r="H206" s="5"/>
      <c r="I206" s="2"/>
      <c r="J206" s="2"/>
      <c r="K206" s="2"/>
      <c r="L206" s="2"/>
    </row>
    <row r="207" spans="1:12">
      <c r="A207" s="2"/>
      <c r="B207" s="2" t="str">
        <f>IFERROR(INDEX('01_Компании'!$B$4:$B$103,MATCH(A207,'01_Компании'!$A$4:$A$103,0)),"")</f>
        <v/>
      </c>
      <c r="C207" s="2"/>
      <c r="D207" s="2"/>
      <c r="E207" s="2"/>
      <c r="F207" s="2"/>
      <c r="G207" s="2"/>
      <c r="H207" s="5"/>
      <c r="I207" s="2"/>
      <c r="J207" s="2"/>
      <c r="K207" s="2"/>
      <c r="L207" s="2"/>
    </row>
    <row r="208" spans="1:12">
      <c r="A208" s="2"/>
      <c r="B208" s="2" t="str">
        <f>IFERROR(INDEX('01_Компании'!$B$4:$B$103,MATCH(A208,'01_Компании'!$A$4:$A$103,0)),"")</f>
        <v/>
      </c>
      <c r="C208" s="2"/>
      <c r="D208" s="2"/>
      <c r="E208" s="2"/>
      <c r="F208" s="2"/>
      <c r="G208" s="2"/>
      <c r="H208" s="5"/>
      <c r="I208" s="2"/>
      <c r="J208" s="2"/>
      <c r="K208" s="2"/>
      <c r="L208" s="2"/>
    </row>
    <row r="209" spans="1:12">
      <c r="A209" s="2"/>
      <c r="B209" s="2" t="str">
        <f>IFERROR(INDEX('01_Компании'!$B$4:$B$103,MATCH(A209,'01_Компании'!$A$4:$A$103,0)),"")</f>
        <v/>
      </c>
      <c r="C209" s="2"/>
      <c r="D209" s="2"/>
      <c r="E209" s="2"/>
      <c r="F209" s="2"/>
      <c r="G209" s="2"/>
      <c r="H209" s="5"/>
      <c r="I209" s="2"/>
      <c r="J209" s="2"/>
      <c r="K209" s="2"/>
      <c r="L209" s="2"/>
    </row>
    <row r="210" spans="1:12">
      <c r="A210" s="2"/>
      <c r="B210" s="2" t="str">
        <f>IFERROR(INDEX('01_Компании'!$B$4:$B$103,MATCH(A210,'01_Компании'!$A$4:$A$103,0)),"")</f>
        <v/>
      </c>
      <c r="C210" s="2"/>
      <c r="D210" s="2"/>
      <c r="E210" s="2"/>
      <c r="F210" s="2"/>
      <c r="G210" s="2"/>
      <c r="H210" s="5"/>
      <c r="I210" s="2"/>
      <c r="J210" s="2"/>
      <c r="K210" s="2"/>
      <c r="L210" s="2"/>
    </row>
    <row r="211" spans="1:12">
      <c r="A211" s="2"/>
      <c r="B211" s="2" t="str">
        <f>IFERROR(INDEX('01_Компании'!$B$4:$B$103,MATCH(A211,'01_Компании'!$A$4:$A$103,0)),"")</f>
        <v/>
      </c>
      <c r="C211" s="2"/>
      <c r="D211" s="2"/>
      <c r="E211" s="2"/>
      <c r="F211" s="2"/>
      <c r="G211" s="2"/>
      <c r="H211" s="5"/>
      <c r="I211" s="2"/>
      <c r="J211" s="2"/>
      <c r="K211" s="2"/>
      <c r="L211" s="2"/>
    </row>
    <row r="212" spans="1:12">
      <c r="A212" s="2"/>
      <c r="B212" s="2" t="str">
        <f>IFERROR(INDEX('01_Компании'!$B$4:$B$103,MATCH(A212,'01_Компании'!$A$4:$A$103,0)),"")</f>
        <v/>
      </c>
      <c r="C212" s="2"/>
      <c r="D212" s="2"/>
      <c r="E212" s="2"/>
      <c r="F212" s="2"/>
      <c r="G212" s="2"/>
      <c r="H212" s="5"/>
      <c r="I212" s="2"/>
      <c r="J212" s="2"/>
      <c r="K212" s="2"/>
      <c r="L212" s="2"/>
    </row>
    <row r="213" spans="1:12">
      <c r="A213" s="2"/>
      <c r="B213" s="2" t="str">
        <f>IFERROR(INDEX('01_Компании'!$B$4:$B$103,MATCH(A213,'01_Компании'!$A$4:$A$103,0)),"")</f>
        <v/>
      </c>
      <c r="C213" s="2"/>
      <c r="D213" s="2"/>
      <c r="E213" s="2"/>
      <c r="F213" s="2"/>
      <c r="G213" s="2"/>
      <c r="H213" s="5"/>
      <c r="I213" s="2"/>
      <c r="J213" s="2"/>
      <c r="K213" s="2"/>
      <c r="L213" s="2"/>
    </row>
    <row r="214" spans="1:12">
      <c r="A214" s="2"/>
      <c r="B214" s="2" t="str">
        <f>IFERROR(INDEX('01_Компании'!$B$4:$B$103,MATCH(A214,'01_Компании'!$A$4:$A$103,0)),"")</f>
        <v/>
      </c>
      <c r="C214" s="2"/>
      <c r="D214" s="2"/>
      <c r="E214" s="2"/>
      <c r="F214" s="2"/>
      <c r="G214" s="2"/>
      <c r="H214" s="5"/>
      <c r="I214" s="2"/>
      <c r="J214" s="2"/>
      <c r="K214" s="2"/>
      <c r="L214" s="2"/>
    </row>
    <row r="215" spans="1:12">
      <c r="A215" s="2"/>
      <c r="B215" s="2" t="str">
        <f>IFERROR(INDEX('01_Компании'!$B$4:$B$103,MATCH(A215,'01_Компании'!$A$4:$A$103,0)),"")</f>
        <v/>
      </c>
      <c r="C215" s="2"/>
      <c r="D215" s="2"/>
      <c r="E215" s="2"/>
      <c r="F215" s="2"/>
      <c r="G215" s="2"/>
      <c r="H215" s="5"/>
      <c r="I215" s="2"/>
      <c r="J215" s="2"/>
      <c r="K215" s="2"/>
      <c r="L215" s="2"/>
    </row>
    <row r="216" spans="1:12">
      <c r="A216" s="2"/>
      <c r="B216" s="2" t="str">
        <f>IFERROR(INDEX('01_Компании'!$B$4:$B$103,MATCH(A216,'01_Компании'!$A$4:$A$103,0)),"")</f>
        <v/>
      </c>
      <c r="C216" s="2"/>
      <c r="D216" s="2"/>
      <c r="E216" s="2"/>
      <c r="F216" s="2"/>
      <c r="G216" s="2"/>
      <c r="H216" s="5"/>
      <c r="I216" s="2"/>
      <c r="J216" s="2"/>
      <c r="K216" s="2"/>
      <c r="L216" s="2"/>
    </row>
    <row r="217" spans="1:12">
      <c r="A217" s="2"/>
      <c r="B217" s="2" t="str">
        <f>IFERROR(INDEX('01_Компании'!$B$4:$B$103,MATCH(A217,'01_Компании'!$A$4:$A$103,0)),"")</f>
        <v/>
      </c>
      <c r="C217" s="2"/>
      <c r="D217" s="2"/>
      <c r="E217" s="2"/>
      <c r="F217" s="2"/>
      <c r="G217" s="2"/>
      <c r="H217" s="5"/>
      <c r="I217" s="2"/>
      <c r="J217" s="2"/>
      <c r="K217" s="2"/>
      <c r="L217" s="2"/>
    </row>
    <row r="218" spans="1:12">
      <c r="A218" s="2"/>
      <c r="B218" s="2" t="str">
        <f>IFERROR(INDEX('01_Компании'!$B$4:$B$103,MATCH(A218,'01_Компании'!$A$4:$A$103,0)),"")</f>
        <v/>
      </c>
      <c r="C218" s="2"/>
      <c r="D218" s="2"/>
      <c r="E218" s="2"/>
      <c r="F218" s="2"/>
      <c r="G218" s="2"/>
      <c r="H218" s="5"/>
      <c r="I218" s="2"/>
      <c r="J218" s="2"/>
      <c r="K218" s="2"/>
      <c r="L218" s="2"/>
    </row>
    <row r="219" spans="1:12">
      <c r="A219" s="2"/>
      <c r="B219" s="2" t="str">
        <f>IFERROR(INDEX('01_Компании'!$B$4:$B$103,MATCH(A219,'01_Компании'!$A$4:$A$103,0)),"")</f>
        <v/>
      </c>
      <c r="C219" s="2"/>
      <c r="D219" s="2"/>
      <c r="E219" s="2"/>
      <c r="F219" s="2"/>
      <c r="G219" s="2"/>
      <c r="H219" s="5"/>
      <c r="I219" s="2"/>
      <c r="J219" s="2"/>
      <c r="K219" s="2"/>
      <c r="L219" s="2"/>
    </row>
    <row r="220" spans="1:12">
      <c r="A220" s="2"/>
      <c r="B220" s="2" t="str">
        <f>IFERROR(INDEX('01_Компании'!$B$4:$B$103,MATCH(A220,'01_Компании'!$A$4:$A$103,0)),"")</f>
        <v/>
      </c>
      <c r="C220" s="2"/>
      <c r="D220" s="2"/>
      <c r="E220" s="2"/>
      <c r="F220" s="2"/>
      <c r="G220" s="2"/>
      <c r="H220" s="5"/>
      <c r="I220" s="2"/>
      <c r="J220" s="2"/>
      <c r="K220" s="2"/>
      <c r="L220" s="2"/>
    </row>
    <row r="221" spans="1:12">
      <c r="A221" s="2"/>
      <c r="B221" s="2" t="str">
        <f>IFERROR(INDEX('01_Компании'!$B$4:$B$103,MATCH(A221,'01_Компании'!$A$4:$A$103,0)),"")</f>
        <v/>
      </c>
      <c r="C221" s="2"/>
      <c r="D221" s="2"/>
      <c r="E221" s="2"/>
      <c r="F221" s="2"/>
      <c r="G221" s="2"/>
      <c r="H221" s="5"/>
      <c r="I221" s="2"/>
      <c r="J221" s="2"/>
      <c r="K221" s="2"/>
      <c r="L221" s="2"/>
    </row>
    <row r="222" spans="1:12">
      <c r="A222" s="2"/>
      <c r="B222" s="2" t="str">
        <f>IFERROR(INDEX('01_Компании'!$B$4:$B$103,MATCH(A222,'01_Компании'!$A$4:$A$103,0)),"")</f>
        <v/>
      </c>
      <c r="C222" s="2"/>
      <c r="D222" s="2"/>
      <c r="E222" s="2"/>
      <c r="F222" s="2"/>
      <c r="G222" s="2"/>
      <c r="H222" s="5"/>
      <c r="I222" s="2"/>
      <c r="J222" s="2"/>
      <c r="K222" s="2"/>
      <c r="L222" s="2"/>
    </row>
    <row r="223" spans="1:12">
      <c r="A223" s="2"/>
      <c r="B223" s="2" t="str">
        <f>IFERROR(INDEX('01_Компании'!$B$4:$B$103,MATCH(A223,'01_Компании'!$A$4:$A$103,0)),"")</f>
        <v/>
      </c>
      <c r="C223" s="2"/>
      <c r="D223" s="2"/>
      <c r="E223" s="2"/>
      <c r="F223" s="2"/>
      <c r="G223" s="2"/>
      <c r="H223" s="5"/>
      <c r="I223" s="2"/>
      <c r="J223" s="2"/>
      <c r="K223" s="2"/>
      <c r="L223" s="2"/>
    </row>
    <row r="224" spans="1:12">
      <c r="A224" s="2"/>
      <c r="B224" s="2" t="str">
        <f>IFERROR(INDEX('01_Компании'!$B$4:$B$103,MATCH(A224,'01_Компании'!$A$4:$A$103,0)),"")</f>
        <v/>
      </c>
      <c r="C224" s="2"/>
      <c r="D224" s="2"/>
      <c r="E224" s="2"/>
      <c r="F224" s="2"/>
      <c r="G224" s="2"/>
      <c r="H224" s="5"/>
      <c r="I224" s="2"/>
      <c r="J224" s="2"/>
      <c r="K224" s="2"/>
      <c r="L224" s="2"/>
    </row>
    <row r="225" spans="1:12">
      <c r="A225" s="2"/>
      <c r="B225" s="2" t="str">
        <f>IFERROR(INDEX('01_Компании'!$B$4:$B$103,MATCH(A225,'01_Компании'!$A$4:$A$103,0)),"")</f>
        <v/>
      </c>
      <c r="C225" s="2"/>
      <c r="D225" s="2"/>
      <c r="E225" s="2"/>
      <c r="F225" s="2"/>
      <c r="G225" s="2"/>
      <c r="H225" s="5"/>
      <c r="I225" s="2"/>
      <c r="J225" s="2"/>
      <c r="K225" s="2"/>
      <c r="L225" s="2"/>
    </row>
    <row r="226" spans="1:12">
      <c r="A226" s="2"/>
      <c r="B226" s="2" t="str">
        <f>IFERROR(INDEX('01_Компании'!$B$4:$B$103,MATCH(A226,'01_Компании'!$A$4:$A$103,0)),"")</f>
        <v/>
      </c>
      <c r="C226" s="2"/>
      <c r="D226" s="2"/>
      <c r="E226" s="2"/>
      <c r="F226" s="2"/>
      <c r="G226" s="2"/>
      <c r="H226" s="5"/>
      <c r="I226" s="2"/>
      <c r="J226" s="2"/>
      <c r="K226" s="2"/>
      <c r="L226" s="2"/>
    </row>
    <row r="227" spans="1:12">
      <c r="A227" s="2"/>
      <c r="B227" s="2" t="str">
        <f>IFERROR(INDEX('01_Компании'!$B$4:$B$103,MATCH(A227,'01_Компании'!$A$4:$A$103,0)),"")</f>
        <v/>
      </c>
      <c r="C227" s="2"/>
      <c r="D227" s="2"/>
      <c r="E227" s="2"/>
      <c r="F227" s="2"/>
      <c r="G227" s="2"/>
      <c r="H227" s="5"/>
      <c r="I227" s="2"/>
      <c r="J227" s="2"/>
      <c r="K227" s="2"/>
      <c r="L227" s="2"/>
    </row>
    <row r="228" spans="1:12">
      <c r="A228" s="2"/>
      <c r="B228" s="2" t="str">
        <f>IFERROR(INDEX('01_Компании'!$B$4:$B$103,MATCH(A228,'01_Компании'!$A$4:$A$103,0)),"")</f>
        <v/>
      </c>
      <c r="C228" s="2"/>
      <c r="D228" s="2"/>
      <c r="E228" s="2"/>
      <c r="F228" s="2"/>
      <c r="G228" s="2"/>
      <c r="H228" s="5"/>
      <c r="I228" s="2"/>
      <c r="J228" s="2"/>
      <c r="K228" s="2"/>
      <c r="L228" s="2"/>
    </row>
    <row r="229" spans="1:12">
      <c r="A229" s="2"/>
      <c r="B229" s="2" t="str">
        <f>IFERROR(INDEX('01_Компании'!$B$4:$B$103,MATCH(A229,'01_Компании'!$A$4:$A$103,0)),"")</f>
        <v/>
      </c>
      <c r="C229" s="2"/>
      <c r="D229" s="2"/>
      <c r="E229" s="2"/>
      <c r="F229" s="2"/>
      <c r="G229" s="2"/>
      <c r="H229" s="5"/>
      <c r="I229" s="2"/>
      <c r="J229" s="2"/>
      <c r="K229" s="2"/>
      <c r="L229" s="2"/>
    </row>
    <row r="230" spans="1:12">
      <c r="A230" s="2"/>
      <c r="B230" s="2" t="str">
        <f>IFERROR(INDEX('01_Компании'!$B$4:$B$103,MATCH(A230,'01_Компании'!$A$4:$A$103,0)),"")</f>
        <v/>
      </c>
      <c r="C230" s="2"/>
      <c r="D230" s="2"/>
      <c r="E230" s="2"/>
      <c r="F230" s="2"/>
      <c r="G230" s="2"/>
      <c r="H230" s="5"/>
      <c r="I230" s="2"/>
      <c r="J230" s="2"/>
      <c r="K230" s="2"/>
      <c r="L230" s="2"/>
    </row>
    <row r="231" spans="1:12">
      <c r="A231" s="2"/>
      <c r="B231" s="2" t="str">
        <f>IFERROR(INDEX('01_Компании'!$B$4:$B$103,MATCH(A231,'01_Компании'!$A$4:$A$103,0)),"")</f>
        <v/>
      </c>
      <c r="C231" s="2"/>
      <c r="D231" s="2"/>
      <c r="E231" s="2"/>
      <c r="F231" s="2"/>
      <c r="G231" s="2"/>
      <c r="H231" s="5"/>
      <c r="I231" s="2"/>
      <c r="J231" s="2"/>
      <c r="K231" s="2"/>
      <c r="L231" s="2"/>
    </row>
    <row r="232" spans="1:12">
      <c r="A232" s="2"/>
      <c r="B232" s="2" t="str">
        <f>IFERROR(INDEX('01_Компании'!$B$4:$B$103,MATCH(A232,'01_Компании'!$A$4:$A$103,0)),"")</f>
        <v/>
      </c>
      <c r="C232" s="2"/>
      <c r="D232" s="2"/>
      <c r="E232" s="2"/>
      <c r="F232" s="2"/>
      <c r="G232" s="2"/>
      <c r="H232" s="5"/>
      <c r="I232" s="2"/>
      <c r="J232" s="2"/>
      <c r="K232" s="2"/>
      <c r="L232" s="2"/>
    </row>
    <row r="233" spans="1:12">
      <c r="A233" s="2"/>
      <c r="B233" s="2" t="str">
        <f>IFERROR(INDEX('01_Компании'!$B$4:$B$103,MATCH(A233,'01_Компании'!$A$4:$A$103,0)),"")</f>
        <v/>
      </c>
      <c r="C233" s="2"/>
      <c r="D233" s="2"/>
      <c r="E233" s="2"/>
      <c r="F233" s="2"/>
      <c r="G233" s="2"/>
      <c r="H233" s="5"/>
      <c r="I233" s="2"/>
      <c r="J233" s="2"/>
      <c r="K233" s="2"/>
      <c r="L233" s="2"/>
    </row>
    <row r="234" spans="1:12">
      <c r="A234" s="2"/>
      <c r="B234" s="2" t="str">
        <f>IFERROR(INDEX('01_Компании'!$B$4:$B$103,MATCH(A234,'01_Компании'!$A$4:$A$103,0)),"")</f>
        <v/>
      </c>
      <c r="C234" s="2"/>
      <c r="D234" s="2"/>
      <c r="E234" s="2"/>
      <c r="F234" s="2"/>
      <c r="G234" s="2"/>
      <c r="H234" s="5"/>
      <c r="I234" s="2"/>
      <c r="J234" s="2"/>
      <c r="K234" s="2"/>
      <c r="L234" s="2"/>
    </row>
    <row r="235" spans="1:12">
      <c r="A235" s="2"/>
      <c r="B235" s="2" t="str">
        <f>IFERROR(INDEX('01_Компании'!$B$4:$B$103,MATCH(A235,'01_Компании'!$A$4:$A$103,0)),"")</f>
        <v/>
      </c>
      <c r="C235" s="2"/>
      <c r="D235" s="2"/>
      <c r="E235" s="2"/>
      <c r="F235" s="2"/>
      <c r="G235" s="2"/>
      <c r="H235" s="5"/>
      <c r="I235" s="2"/>
      <c r="J235" s="2"/>
      <c r="K235" s="2"/>
      <c r="L235" s="2"/>
    </row>
    <row r="236" spans="1:12">
      <c r="A236" s="2"/>
      <c r="B236" s="2" t="str">
        <f>IFERROR(INDEX('01_Компании'!$B$4:$B$103,MATCH(A236,'01_Компании'!$A$4:$A$103,0)),"")</f>
        <v/>
      </c>
      <c r="C236" s="2"/>
      <c r="D236" s="2"/>
      <c r="E236" s="2"/>
      <c r="F236" s="2"/>
      <c r="G236" s="2"/>
      <c r="H236" s="5"/>
      <c r="I236" s="2"/>
      <c r="J236" s="2"/>
      <c r="K236" s="2"/>
      <c r="L236" s="2"/>
    </row>
    <row r="237" spans="1:12">
      <c r="A237" s="2"/>
      <c r="B237" s="2" t="str">
        <f>IFERROR(INDEX('01_Компании'!$B$4:$B$103,MATCH(A237,'01_Компании'!$A$4:$A$103,0)),"")</f>
        <v/>
      </c>
      <c r="C237" s="2"/>
      <c r="D237" s="2"/>
      <c r="E237" s="2"/>
      <c r="F237" s="2"/>
      <c r="G237" s="2"/>
      <c r="H237" s="5"/>
      <c r="I237" s="2"/>
      <c r="J237" s="2"/>
      <c r="K237" s="2"/>
      <c r="L237" s="2"/>
    </row>
    <row r="238" spans="1:12">
      <c r="A238" s="2"/>
      <c r="B238" s="2" t="str">
        <f>IFERROR(INDEX('01_Компании'!$B$4:$B$103,MATCH(A238,'01_Компании'!$A$4:$A$103,0)),"")</f>
        <v/>
      </c>
      <c r="C238" s="2"/>
      <c r="D238" s="2"/>
      <c r="E238" s="2"/>
      <c r="F238" s="2"/>
      <c r="G238" s="2"/>
      <c r="H238" s="5"/>
      <c r="I238" s="2"/>
      <c r="J238" s="2"/>
      <c r="K238" s="2"/>
      <c r="L238" s="2"/>
    </row>
    <row r="239" spans="1:12">
      <c r="A239" s="2"/>
      <c r="B239" s="2" t="str">
        <f>IFERROR(INDEX('01_Компании'!$B$4:$B$103,MATCH(A239,'01_Компании'!$A$4:$A$103,0)),"")</f>
        <v/>
      </c>
      <c r="C239" s="2"/>
      <c r="D239" s="2"/>
      <c r="E239" s="2"/>
      <c r="F239" s="2"/>
      <c r="G239" s="2"/>
      <c r="H239" s="5"/>
      <c r="I239" s="2"/>
      <c r="J239" s="2"/>
      <c r="K239" s="2"/>
      <c r="L239" s="2"/>
    </row>
    <row r="240" spans="1:12">
      <c r="A240" s="2"/>
      <c r="B240" s="2" t="str">
        <f>IFERROR(INDEX('01_Компании'!$B$4:$B$103,MATCH(A240,'01_Компании'!$A$4:$A$103,0)),"")</f>
        <v/>
      </c>
      <c r="C240" s="2"/>
      <c r="D240" s="2"/>
      <c r="E240" s="2"/>
      <c r="F240" s="2"/>
      <c r="G240" s="2"/>
      <c r="H240" s="5"/>
      <c r="I240" s="2"/>
      <c r="J240" s="2"/>
      <c r="K240" s="2"/>
      <c r="L240" s="2"/>
    </row>
    <row r="241" spans="1:12">
      <c r="A241" s="2"/>
      <c r="B241" s="2" t="str">
        <f>IFERROR(INDEX('01_Компании'!$B$4:$B$103,MATCH(A241,'01_Компании'!$A$4:$A$103,0)),"")</f>
        <v/>
      </c>
      <c r="C241" s="2"/>
      <c r="D241" s="2"/>
      <c r="E241" s="2"/>
      <c r="F241" s="2"/>
      <c r="G241" s="2"/>
      <c r="H241" s="5"/>
      <c r="I241" s="2"/>
      <c r="J241" s="2"/>
      <c r="K241" s="2"/>
      <c r="L241" s="2"/>
    </row>
    <row r="242" spans="1:12">
      <c r="A242" s="2"/>
      <c r="B242" s="2" t="str">
        <f>IFERROR(INDEX('01_Компании'!$B$4:$B$103,MATCH(A242,'01_Компании'!$A$4:$A$103,0)),"")</f>
        <v/>
      </c>
      <c r="C242" s="2"/>
      <c r="D242" s="2"/>
      <c r="E242" s="2"/>
      <c r="F242" s="2"/>
      <c r="G242" s="2"/>
      <c r="H242" s="5"/>
      <c r="I242" s="2"/>
      <c r="J242" s="2"/>
      <c r="K242" s="2"/>
      <c r="L242" s="2"/>
    </row>
    <row r="243" spans="1:12">
      <c r="A243" s="2"/>
      <c r="B243" s="2" t="str">
        <f>IFERROR(INDEX('01_Компании'!$B$4:$B$103,MATCH(A243,'01_Компании'!$A$4:$A$103,0)),"")</f>
        <v/>
      </c>
      <c r="C243" s="2"/>
      <c r="D243" s="2"/>
      <c r="E243" s="2"/>
      <c r="F243" s="2"/>
      <c r="G243" s="2"/>
      <c r="H243" s="5"/>
      <c r="I243" s="2"/>
      <c r="J243" s="2"/>
      <c r="K243" s="2"/>
      <c r="L243" s="2"/>
    </row>
    <row r="244" spans="1:12">
      <c r="A244" s="2"/>
      <c r="B244" s="2" t="str">
        <f>IFERROR(INDEX('01_Компании'!$B$4:$B$103,MATCH(A244,'01_Компании'!$A$4:$A$103,0)),"")</f>
        <v/>
      </c>
      <c r="C244" s="2"/>
      <c r="D244" s="2"/>
      <c r="E244" s="2"/>
      <c r="F244" s="2"/>
      <c r="G244" s="2"/>
      <c r="H244" s="5"/>
      <c r="I244" s="2"/>
      <c r="J244" s="2"/>
      <c r="K244" s="2"/>
      <c r="L244" s="2"/>
    </row>
    <row r="245" spans="1:12">
      <c r="A245" s="2"/>
      <c r="B245" s="2" t="str">
        <f>IFERROR(INDEX('01_Компании'!$B$4:$B$103,MATCH(A245,'01_Компании'!$A$4:$A$103,0)),"")</f>
        <v/>
      </c>
      <c r="C245" s="2"/>
      <c r="D245" s="2"/>
      <c r="E245" s="2"/>
      <c r="F245" s="2"/>
      <c r="G245" s="2"/>
      <c r="H245" s="5"/>
      <c r="I245" s="2"/>
      <c r="J245" s="2"/>
      <c r="K245" s="2"/>
      <c r="L245" s="2"/>
    </row>
    <row r="246" spans="1:12">
      <c r="A246" s="2"/>
      <c r="B246" s="2" t="str">
        <f>IFERROR(INDEX('01_Компании'!$B$4:$B$103,MATCH(A246,'01_Компании'!$A$4:$A$103,0)),"")</f>
        <v/>
      </c>
      <c r="C246" s="2"/>
      <c r="D246" s="2"/>
      <c r="E246" s="2"/>
      <c r="F246" s="2"/>
      <c r="G246" s="2"/>
      <c r="H246" s="5"/>
      <c r="I246" s="2"/>
      <c r="J246" s="2"/>
      <c r="K246" s="2"/>
      <c r="L246" s="2"/>
    </row>
    <row r="247" spans="1:12">
      <c r="A247" s="2"/>
      <c r="B247" s="2" t="str">
        <f>IFERROR(INDEX('01_Компании'!$B$4:$B$103,MATCH(A247,'01_Компании'!$A$4:$A$103,0)),"")</f>
        <v/>
      </c>
      <c r="C247" s="2"/>
      <c r="D247" s="2"/>
      <c r="E247" s="2"/>
      <c r="F247" s="2"/>
      <c r="G247" s="2"/>
      <c r="H247" s="5"/>
      <c r="I247" s="2"/>
      <c r="J247" s="2"/>
      <c r="K247" s="2"/>
      <c r="L247" s="2"/>
    </row>
    <row r="248" spans="1:12">
      <c r="A248" s="2"/>
      <c r="B248" s="2" t="str">
        <f>IFERROR(INDEX('01_Компании'!$B$4:$B$103,MATCH(A248,'01_Компании'!$A$4:$A$103,0)),"")</f>
        <v/>
      </c>
      <c r="C248" s="2"/>
      <c r="D248" s="2"/>
      <c r="E248" s="2"/>
      <c r="F248" s="2"/>
      <c r="G248" s="2"/>
      <c r="H248" s="5"/>
      <c r="I248" s="2"/>
      <c r="J248" s="2"/>
      <c r="K248" s="2"/>
      <c r="L248" s="2"/>
    </row>
    <row r="249" spans="1:12">
      <c r="A249" s="2"/>
      <c r="B249" s="2" t="str">
        <f>IFERROR(INDEX('01_Компании'!$B$4:$B$103,MATCH(A249,'01_Компании'!$A$4:$A$103,0)),"")</f>
        <v/>
      </c>
      <c r="C249" s="2"/>
      <c r="D249" s="2"/>
      <c r="E249" s="2"/>
      <c r="F249" s="2"/>
      <c r="G249" s="2"/>
      <c r="H249" s="5"/>
      <c r="I249" s="2"/>
      <c r="J249" s="2"/>
      <c r="K249" s="2"/>
      <c r="L249" s="2"/>
    </row>
    <row r="250" spans="1:12">
      <c r="A250" s="2"/>
      <c r="B250" s="2" t="str">
        <f>IFERROR(INDEX('01_Компании'!$B$4:$B$103,MATCH(A250,'01_Компании'!$A$4:$A$103,0)),"")</f>
        <v/>
      </c>
      <c r="C250" s="2"/>
      <c r="D250" s="2"/>
      <c r="E250" s="2"/>
      <c r="F250" s="2"/>
      <c r="G250" s="2"/>
      <c r="H250" s="5"/>
      <c r="I250" s="2"/>
      <c r="J250" s="2"/>
      <c r="K250" s="2"/>
      <c r="L250" s="2"/>
    </row>
    <row r="251" spans="1:12">
      <c r="A251" s="2"/>
      <c r="B251" s="2" t="str">
        <f>IFERROR(INDEX('01_Компании'!$B$4:$B$103,MATCH(A251,'01_Компании'!$A$4:$A$103,0)),"")</f>
        <v/>
      </c>
      <c r="C251" s="2"/>
      <c r="D251" s="2"/>
      <c r="E251" s="2"/>
      <c r="F251" s="2"/>
      <c r="G251" s="2"/>
      <c r="H251" s="5"/>
      <c r="I251" s="2"/>
      <c r="J251" s="2"/>
      <c r="K251" s="2"/>
      <c r="L251" s="2"/>
    </row>
    <row r="252" spans="1:12">
      <c r="A252" s="2"/>
      <c r="B252" s="2" t="str">
        <f>IFERROR(INDEX('01_Компании'!$B$4:$B$103,MATCH(A252,'01_Компании'!$A$4:$A$103,0)),"")</f>
        <v/>
      </c>
      <c r="C252" s="2"/>
      <c r="D252" s="2"/>
      <c r="E252" s="2"/>
      <c r="F252" s="2"/>
      <c r="G252" s="2"/>
      <c r="H252" s="5"/>
      <c r="I252" s="2"/>
      <c r="J252" s="2"/>
      <c r="K252" s="2"/>
      <c r="L252" s="2"/>
    </row>
    <row r="253" spans="1:12">
      <c r="A253" s="2"/>
      <c r="B253" s="2" t="str">
        <f>IFERROR(INDEX('01_Компании'!$B$4:$B$103,MATCH(A253,'01_Компании'!$A$4:$A$103,0)),"")</f>
        <v/>
      </c>
      <c r="C253" s="2"/>
      <c r="D253" s="2"/>
      <c r="E253" s="2"/>
      <c r="F253" s="2"/>
      <c r="G253" s="2"/>
      <c r="H253" s="5"/>
      <c r="I253" s="2"/>
      <c r="J253" s="2"/>
      <c r="K253" s="2"/>
      <c r="L253" s="2"/>
    </row>
    <row r="254" spans="1:12">
      <c r="A254" s="2"/>
      <c r="B254" s="2" t="str">
        <f>IFERROR(INDEX('01_Компании'!$B$4:$B$103,MATCH(A254,'01_Компании'!$A$4:$A$103,0)),"")</f>
        <v/>
      </c>
      <c r="C254" s="2"/>
      <c r="D254" s="2"/>
      <c r="E254" s="2"/>
      <c r="F254" s="2"/>
      <c r="G254" s="2"/>
      <c r="H254" s="5"/>
      <c r="I254" s="2"/>
      <c r="J254" s="2"/>
      <c r="K254" s="2"/>
      <c r="L254" s="2"/>
    </row>
    <row r="255" spans="1:12">
      <c r="A255" s="2"/>
      <c r="B255" s="2" t="str">
        <f>IFERROR(INDEX('01_Компании'!$B$4:$B$103,MATCH(A255,'01_Компании'!$A$4:$A$103,0)),"")</f>
        <v/>
      </c>
      <c r="C255" s="2"/>
      <c r="D255" s="2"/>
      <c r="E255" s="2"/>
      <c r="F255" s="2"/>
      <c r="G255" s="2"/>
      <c r="H255" s="5"/>
      <c r="I255" s="2"/>
      <c r="J255" s="2"/>
      <c r="K255" s="2"/>
      <c r="L255" s="2"/>
    </row>
    <row r="256" spans="1:12">
      <c r="A256" s="2"/>
      <c r="B256" s="2" t="str">
        <f>IFERROR(INDEX('01_Компании'!$B$4:$B$103,MATCH(A256,'01_Компании'!$A$4:$A$103,0)),"")</f>
        <v/>
      </c>
      <c r="C256" s="2"/>
      <c r="D256" s="2"/>
      <c r="E256" s="2"/>
      <c r="F256" s="2"/>
      <c r="G256" s="2"/>
      <c r="H256" s="5"/>
      <c r="I256" s="2"/>
      <c r="J256" s="2"/>
      <c r="K256" s="2"/>
      <c r="L256" s="2"/>
    </row>
    <row r="257" spans="1:12">
      <c r="A257" s="2"/>
      <c r="B257" s="2" t="str">
        <f>IFERROR(INDEX('01_Компании'!$B$4:$B$103,MATCH(A257,'01_Компании'!$A$4:$A$103,0)),"")</f>
        <v/>
      </c>
      <c r="C257" s="2"/>
      <c r="D257" s="2"/>
      <c r="E257" s="2"/>
      <c r="F257" s="2"/>
      <c r="G257" s="2"/>
      <c r="H257" s="5"/>
      <c r="I257" s="2"/>
      <c r="J257" s="2"/>
      <c r="K257" s="2"/>
      <c r="L257" s="2"/>
    </row>
    <row r="258" spans="1:12">
      <c r="A258" s="2"/>
      <c r="B258" s="2" t="str">
        <f>IFERROR(INDEX('01_Компании'!$B$4:$B$103,MATCH(A258,'01_Компании'!$A$4:$A$103,0)),"")</f>
        <v/>
      </c>
      <c r="C258" s="2"/>
      <c r="D258" s="2"/>
      <c r="E258" s="2"/>
      <c r="F258" s="2"/>
      <c r="G258" s="2"/>
      <c r="H258" s="5"/>
      <c r="I258" s="2"/>
      <c r="J258" s="2"/>
      <c r="K258" s="2"/>
      <c r="L258" s="2"/>
    </row>
    <row r="259" spans="1:12">
      <c r="A259" s="2"/>
      <c r="B259" s="2" t="str">
        <f>IFERROR(INDEX('01_Компании'!$B$4:$B$103,MATCH(A259,'01_Компании'!$A$4:$A$103,0)),"")</f>
        <v/>
      </c>
      <c r="C259" s="2"/>
      <c r="D259" s="2"/>
      <c r="E259" s="2"/>
      <c r="F259" s="2"/>
      <c r="G259" s="2"/>
      <c r="H259" s="5"/>
      <c r="I259" s="2"/>
      <c r="J259" s="2"/>
      <c r="K259" s="2"/>
      <c r="L259" s="2"/>
    </row>
    <row r="260" spans="1:12">
      <c r="A260" s="2"/>
      <c r="B260" s="2" t="str">
        <f>IFERROR(INDEX('01_Компании'!$B$4:$B$103,MATCH(A260,'01_Компании'!$A$4:$A$103,0)),"")</f>
        <v/>
      </c>
      <c r="C260" s="2"/>
      <c r="D260" s="2"/>
      <c r="E260" s="2"/>
      <c r="F260" s="2"/>
      <c r="G260" s="2"/>
      <c r="H260" s="5"/>
      <c r="I260" s="2"/>
      <c r="J260" s="2"/>
      <c r="K260" s="2"/>
      <c r="L260" s="2"/>
    </row>
    <row r="261" spans="1:12">
      <c r="A261" s="2"/>
      <c r="B261" s="2" t="str">
        <f>IFERROR(INDEX('01_Компании'!$B$4:$B$103,MATCH(A261,'01_Компании'!$A$4:$A$103,0)),"")</f>
        <v/>
      </c>
      <c r="C261" s="2"/>
      <c r="D261" s="2"/>
      <c r="E261" s="2"/>
      <c r="F261" s="2"/>
      <c r="G261" s="2"/>
      <c r="H261" s="5"/>
      <c r="I261" s="2"/>
      <c r="J261" s="2"/>
      <c r="K261" s="2"/>
      <c r="L261" s="2"/>
    </row>
    <row r="262" spans="1:12">
      <c r="A262" s="2"/>
      <c r="B262" s="2" t="str">
        <f>IFERROR(INDEX('01_Компании'!$B$4:$B$103,MATCH(A262,'01_Компании'!$A$4:$A$103,0)),"")</f>
        <v/>
      </c>
      <c r="C262" s="2"/>
      <c r="D262" s="2"/>
      <c r="E262" s="2"/>
      <c r="F262" s="2"/>
      <c r="G262" s="2"/>
      <c r="H262" s="5"/>
      <c r="I262" s="2"/>
      <c r="J262" s="2"/>
      <c r="K262" s="2"/>
      <c r="L262" s="2"/>
    </row>
    <row r="263" spans="1:12">
      <c r="A263" s="2"/>
      <c r="B263" s="2" t="str">
        <f>IFERROR(INDEX('01_Компании'!$B$4:$B$103,MATCH(A263,'01_Компании'!$A$4:$A$103,0)),"")</f>
        <v/>
      </c>
      <c r="C263" s="2"/>
      <c r="D263" s="2"/>
      <c r="E263" s="2"/>
      <c r="F263" s="2"/>
      <c r="G263" s="2"/>
      <c r="H263" s="5"/>
      <c r="I263" s="2"/>
      <c r="J263" s="2"/>
      <c r="K263" s="2"/>
      <c r="L263" s="2"/>
    </row>
    <row r="264" spans="1:12">
      <c r="A264" s="2"/>
      <c r="B264" s="2" t="str">
        <f>IFERROR(INDEX('01_Компании'!$B$4:$B$103,MATCH(A264,'01_Компании'!$A$4:$A$103,0)),"")</f>
        <v/>
      </c>
      <c r="C264" s="2"/>
      <c r="D264" s="2"/>
      <c r="E264" s="2"/>
      <c r="F264" s="2"/>
      <c r="G264" s="2"/>
      <c r="H264" s="5"/>
      <c r="I264" s="2"/>
      <c r="J264" s="2"/>
      <c r="K264" s="2"/>
      <c r="L264" s="2"/>
    </row>
    <row r="265" spans="1:12">
      <c r="A265" s="2"/>
      <c r="B265" s="2" t="str">
        <f>IFERROR(INDEX('01_Компании'!$B$4:$B$103,MATCH(A265,'01_Компании'!$A$4:$A$103,0)),"")</f>
        <v/>
      </c>
      <c r="C265" s="2"/>
      <c r="D265" s="2"/>
      <c r="E265" s="2"/>
      <c r="F265" s="2"/>
      <c r="G265" s="2"/>
      <c r="H265" s="5"/>
      <c r="I265" s="2"/>
      <c r="J265" s="2"/>
      <c r="K265" s="2"/>
      <c r="L265" s="2"/>
    </row>
    <row r="266" spans="1:12">
      <c r="A266" s="2"/>
      <c r="B266" s="2" t="str">
        <f>IFERROR(INDEX('01_Компании'!$B$4:$B$103,MATCH(A266,'01_Компании'!$A$4:$A$103,0)),"")</f>
        <v/>
      </c>
      <c r="C266" s="2"/>
      <c r="D266" s="2"/>
      <c r="E266" s="2"/>
      <c r="F266" s="2"/>
      <c r="G266" s="2"/>
      <c r="H266" s="5"/>
      <c r="I266" s="2"/>
      <c r="J266" s="2"/>
      <c r="K266" s="2"/>
      <c r="L266" s="2"/>
    </row>
    <row r="267" spans="1:12">
      <c r="A267" s="2"/>
      <c r="B267" s="2" t="str">
        <f>IFERROR(INDEX('01_Компании'!$B$4:$B$103,MATCH(A267,'01_Компании'!$A$4:$A$103,0)),"")</f>
        <v/>
      </c>
      <c r="C267" s="2"/>
      <c r="D267" s="2"/>
      <c r="E267" s="2"/>
      <c r="F267" s="2"/>
      <c r="G267" s="2"/>
      <c r="H267" s="5"/>
      <c r="I267" s="2"/>
      <c r="J267" s="2"/>
      <c r="K267" s="2"/>
      <c r="L267" s="2"/>
    </row>
    <row r="268" spans="1:12">
      <c r="A268" s="2"/>
      <c r="B268" s="2" t="str">
        <f>IFERROR(INDEX('01_Компании'!$B$4:$B$103,MATCH(A268,'01_Компании'!$A$4:$A$103,0)),"")</f>
        <v/>
      </c>
      <c r="C268" s="2"/>
      <c r="D268" s="2"/>
      <c r="E268" s="2"/>
      <c r="F268" s="2"/>
      <c r="G268" s="2"/>
      <c r="H268" s="5"/>
      <c r="I268" s="2"/>
      <c r="J268" s="2"/>
      <c r="K268" s="2"/>
      <c r="L268" s="2"/>
    </row>
    <row r="269" spans="1:12">
      <c r="A269" s="2"/>
      <c r="B269" s="2" t="str">
        <f>IFERROR(INDEX('01_Компании'!$B$4:$B$103,MATCH(A269,'01_Компании'!$A$4:$A$103,0)),"")</f>
        <v/>
      </c>
      <c r="C269" s="2"/>
      <c r="D269" s="2"/>
      <c r="E269" s="2"/>
      <c r="F269" s="2"/>
      <c r="G269" s="2"/>
      <c r="H269" s="5"/>
      <c r="I269" s="2"/>
      <c r="J269" s="2"/>
      <c r="K269" s="2"/>
      <c r="L269" s="2"/>
    </row>
    <row r="270" spans="1:12">
      <c r="A270" s="2"/>
      <c r="B270" s="2" t="str">
        <f>IFERROR(INDEX('01_Компании'!$B$4:$B$103,MATCH(A270,'01_Компании'!$A$4:$A$103,0)),"")</f>
        <v/>
      </c>
      <c r="C270" s="2"/>
      <c r="D270" s="2"/>
      <c r="E270" s="2"/>
      <c r="F270" s="2"/>
      <c r="G270" s="2"/>
      <c r="H270" s="5"/>
      <c r="I270" s="2"/>
      <c r="J270" s="2"/>
      <c r="K270" s="2"/>
      <c r="L270" s="2"/>
    </row>
    <row r="271" spans="1:12">
      <c r="A271" s="2"/>
      <c r="B271" s="2" t="str">
        <f>IFERROR(INDEX('01_Компании'!$B$4:$B$103,MATCH(A271,'01_Компании'!$A$4:$A$103,0)),"")</f>
        <v/>
      </c>
      <c r="C271" s="2"/>
      <c r="D271" s="2"/>
      <c r="E271" s="2"/>
      <c r="F271" s="2"/>
      <c r="G271" s="2"/>
      <c r="H271" s="5"/>
      <c r="I271" s="2"/>
      <c r="J271" s="2"/>
      <c r="K271" s="2"/>
      <c r="L271" s="2"/>
    </row>
    <row r="272" spans="1:12">
      <c r="A272" s="2"/>
      <c r="B272" s="2" t="str">
        <f>IFERROR(INDEX('01_Компании'!$B$4:$B$103,MATCH(A272,'01_Компании'!$A$4:$A$103,0)),"")</f>
        <v/>
      </c>
      <c r="C272" s="2"/>
      <c r="D272" s="2"/>
      <c r="E272" s="2"/>
      <c r="F272" s="2"/>
      <c r="G272" s="2"/>
      <c r="H272" s="5"/>
      <c r="I272" s="2"/>
      <c r="J272" s="2"/>
      <c r="K272" s="2"/>
      <c r="L272" s="2"/>
    </row>
    <row r="273" spans="1:12">
      <c r="A273" s="2"/>
      <c r="B273" s="2" t="str">
        <f>IFERROR(INDEX('01_Компании'!$B$4:$B$103,MATCH(A273,'01_Компании'!$A$4:$A$103,0)),"")</f>
        <v/>
      </c>
      <c r="C273" s="2"/>
      <c r="D273" s="2"/>
      <c r="E273" s="2"/>
      <c r="F273" s="2"/>
      <c r="G273" s="2"/>
      <c r="H273" s="5"/>
      <c r="I273" s="2"/>
      <c r="J273" s="2"/>
      <c r="K273" s="2"/>
      <c r="L273" s="2"/>
    </row>
    <row r="274" spans="1:12">
      <c r="A274" s="2"/>
      <c r="B274" s="2" t="str">
        <f>IFERROR(INDEX('01_Компании'!$B$4:$B$103,MATCH(A274,'01_Компании'!$A$4:$A$103,0)),"")</f>
        <v/>
      </c>
      <c r="C274" s="2"/>
      <c r="D274" s="2"/>
      <c r="E274" s="2"/>
      <c r="F274" s="2"/>
      <c r="G274" s="2"/>
      <c r="H274" s="5"/>
      <c r="I274" s="2"/>
      <c r="J274" s="2"/>
      <c r="K274" s="2"/>
      <c r="L274" s="2"/>
    </row>
    <row r="275" spans="1:12">
      <c r="A275" s="2"/>
      <c r="B275" s="2" t="str">
        <f>IFERROR(INDEX('01_Компании'!$B$4:$B$103,MATCH(A275,'01_Компании'!$A$4:$A$103,0)),"")</f>
        <v/>
      </c>
      <c r="C275" s="2"/>
      <c r="D275" s="2"/>
      <c r="E275" s="2"/>
      <c r="F275" s="2"/>
      <c r="G275" s="2"/>
      <c r="H275" s="5"/>
      <c r="I275" s="2"/>
      <c r="J275" s="2"/>
      <c r="K275" s="2"/>
      <c r="L275" s="2"/>
    </row>
    <row r="276" spans="1:12">
      <c r="A276" s="2"/>
      <c r="B276" s="2" t="str">
        <f>IFERROR(INDEX('01_Компании'!$B$4:$B$103,MATCH(A276,'01_Компании'!$A$4:$A$103,0)),"")</f>
        <v/>
      </c>
      <c r="C276" s="2"/>
      <c r="D276" s="2"/>
      <c r="E276" s="2"/>
      <c r="F276" s="2"/>
      <c r="G276" s="2"/>
      <c r="H276" s="5"/>
      <c r="I276" s="2"/>
      <c r="J276" s="2"/>
      <c r="K276" s="2"/>
      <c r="L276" s="2"/>
    </row>
    <row r="277" spans="1:12">
      <c r="A277" s="2"/>
      <c r="B277" s="2" t="str">
        <f>IFERROR(INDEX('01_Компании'!$B$4:$B$103,MATCH(A277,'01_Компании'!$A$4:$A$103,0)),"")</f>
        <v/>
      </c>
      <c r="C277" s="2"/>
      <c r="D277" s="2"/>
      <c r="E277" s="2"/>
      <c r="F277" s="2"/>
      <c r="G277" s="2"/>
      <c r="H277" s="5"/>
      <c r="I277" s="2"/>
      <c r="J277" s="2"/>
      <c r="K277" s="2"/>
      <c r="L277" s="2"/>
    </row>
    <row r="278" spans="1:12">
      <c r="A278" s="2"/>
      <c r="B278" s="2" t="str">
        <f>IFERROR(INDEX('01_Компании'!$B$4:$B$103,MATCH(A278,'01_Компании'!$A$4:$A$103,0)),"")</f>
        <v/>
      </c>
      <c r="C278" s="2"/>
      <c r="D278" s="2"/>
      <c r="E278" s="2"/>
      <c r="F278" s="2"/>
      <c r="G278" s="2"/>
      <c r="H278" s="5"/>
      <c r="I278" s="2"/>
      <c r="J278" s="2"/>
      <c r="K278" s="2"/>
      <c r="L278" s="2"/>
    </row>
    <row r="279" spans="1:12">
      <c r="A279" s="2"/>
      <c r="B279" s="2" t="str">
        <f>IFERROR(INDEX('01_Компании'!$B$4:$B$103,MATCH(A279,'01_Компании'!$A$4:$A$103,0)),"")</f>
        <v/>
      </c>
      <c r="C279" s="2"/>
      <c r="D279" s="2"/>
      <c r="E279" s="2"/>
      <c r="F279" s="2"/>
      <c r="G279" s="2"/>
      <c r="H279" s="5"/>
      <c r="I279" s="2"/>
      <c r="J279" s="2"/>
      <c r="K279" s="2"/>
      <c r="L279" s="2"/>
    </row>
    <row r="280" spans="1:12">
      <c r="A280" s="2"/>
      <c r="B280" s="2" t="str">
        <f>IFERROR(INDEX('01_Компании'!$B$4:$B$103,MATCH(A280,'01_Компании'!$A$4:$A$103,0)),"")</f>
        <v/>
      </c>
      <c r="C280" s="2"/>
      <c r="D280" s="2"/>
      <c r="E280" s="2"/>
      <c r="F280" s="2"/>
      <c r="G280" s="2"/>
      <c r="H280" s="5"/>
      <c r="I280" s="2"/>
      <c r="J280" s="2"/>
      <c r="K280" s="2"/>
      <c r="L280" s="2"/>
    </row>
    <row r="281" spans="1:12">
      <c r="A281" s="2"/>
      <c r="B281" s="2" t="str">
        <f>IFERROR(INDEX('01_Компании'!$B$4:$B$103,MATCH(A281,'01_Компании'!$A$4:$A$103,0)),"")</f>
        <v/>
      </c>
      <c r="C281" s="2"/>
      <c r="D281" s="2"/>
      <c r="E281" s="2"/>
      <c r="F281" s="2"/>
      <c r="G281" s="2"/>
      <c r="H281" s="5"/>
      <c r="I281" s="2"/>
      <c r="J281" s="2"/>
      <c r="K281" s="2"/>
      <c r="L281" s="2"/>
    </row>
    <row r="282" spans="1:12">
      <c r="A282" s="2"/>
      <c r="B282" s="2" t="str">
        <f>IFERROR(INDEX('01_Компании'!$B$4:$B$103,MATCH(A282,'01_Компании'!$A$4:$A$103,0)),"")</f>
        <v/>
      </c>
      <c r="C282" s="2"/>
      <c r="D282" s="2"/>
      <c r="E282" s="2"/>
      <c r="F282" s="2"/>
      <c r="G282" s="2"/>
      <c r="H282" s="5"/>
      <c r="I282" s="2"/>
      <c r="J282" s="2"/>
      <c r="K282" s="2"/>
      <c r="L282" s="2"/>
    </row>
    <row r="283" spans="1:12">
      <c r="A283" s="2"/>
      <c r="B283" s="2" t="str">
        <f>IFERROR(INDEX('01_Компании'!$B$4:$B$103,MATCH(A283,'01_Компании'!$A$4:$A$103,0)),"")</f>
        <v/>
      </c>
      <c r="C283" s="2"/>
      <c r="D283" s="2"/>
      <c r="E283" s="2"/>
      <c r="F283" s="2"/>
      <c r="G283" s="2"/>
      <c r="H283" s="5"/>
      <c r="I283" s="2"/>
      <c r="J283" s="2"/>
      <c r="K283" s="2"/>
      <c r="L283" s="2"/>
    </row>
    <row r="284" spans="1:12">
      <c r="A284" s="2"/>
      <c r="B284" s="2" t="str">
        <f>IFERROR(INDEX('01_Компании'!$B$4:$B$103,MATCH(A284,'01_Компании'!$A$4:$A$103,0)),"")</f>
        <v/>
      </c>
      <c r="C284" s="2"/>
      <c r="D284" s="2"/>
      <c r="E284" s="2"/>
      <c r="F284" s="2"/>
      <c r="G284" s="2"/>
      <c r="H284" s="5"/>
      <c r="I284" s="2"/>
      <c r="J284" s="2"/>
      <c r="K284" s="2"/>
      <c r="L284" s="2"/>
    </row>
    <row r="285" spans="1:12">
      <c r="A285" s="2"/>
      <c r="B285" s="2" t="str">
        <f>IFERROR(INDEX('01_Компании'!$B$4:$B$103,MATCH(A285,'01_Компании'!$A$4:$A$103,0)),"")</f>
        <v/>
      </c>
      <c r="C285" s="2"/>
      <c r="D285" s="2"/>
      <c r="E285" s="2"/>
      <c r="F285" s="2"/>
      <c r="G285" s="2"/>
      <c r="H285" s="5"/>
      <c r="I285" s="2"/>
      <c r="J285" s="2"/>
      <c r="K285" s="2"/>
      <c r="L285" s="2"/>
    </row>
    <row r="286" spans="1:12">
      <c r="A286" s="2"/>
      <c r="B286" s="2" t="str">
        <f>IFERROR(INDEX('01_Компании'!$B$4:$B$103,MATCH(A286,'01_Компании'!$A$4:$A$103,0)),"")</f>
        <v/>
      </c>
      <c r="C286" s="2"/>
      <c r="D286" s="2"/>
      <c r="E286" s="2"/>
      <c r="F286" s="2"/>
      <c r="G286" s="2"/>
      <c r="H286" s="5"/>
      <c r="I286" s="2"/>
      <c r="J286" s="2"/>
      <c r="K286" s="2"/>
      <c r="L286" s="2"/>
    </row>
    <row r="287" spans="1:12">
      <c r="A287" s="2"/>
      <c r="B287" s="2" t="str">
        <f>IFERROR(INDEX('01_Компании'!$B$4:$B$103,MATCH(A287,'01_Компании'!$A$4:$A$103,0)),"")</f>
        <v/>
      </c>
      <c r="C287" s="2"/>
      <c r="D287" s="2"/>
      <c r="E287" s="2"/>
      <c r="F287" s="2"/>
      <c r="G287" s="2"/>
      <c r="H287" s="5"/>
      <c r="I287" s="2"/>
      <c r="J287" s="2"/>
      <c r="K287" s="2"/>
      <c r="L287" s="2"/>
    </row>
    <row r="288" spans="1:12">
      <c r="A288" s="2"/>
      <c r="B288" s="2" t="str">
        <f>IFERROR(INDEX('01_Компании'!$B$4:$B$103,MATCH(A288,'01_Компании'!$A$4:$A$103,0)),"")</f>
        <v/>
      </c>
      <c r="C288" s="2"/>
      <c r="D288" s="2"/>
      <c r="E288" s="2"/>
      <c r="F288" s="2"/>
      <c r="G288" s="2"/>
      <c r="H288" s="5"/>
      <c r="I288" s="2"/>
      <c r="J288" s="2"/>
      <c r="K288" s="2"/>
      <c r="L288" s="2"/>
    </row>
    <row r="289" spans="1:12">
      <c r="A289" s="2"/>
      <c r="B289" s="2" t="str">
        <f>IFERROR(INDEX('01_Компании'!$B$4:$B$103,MATCH(A289,'01_Компании'!$A$4:$A$103,0)),"")</f>
        <v/>
      </c>
      <c r="C289" s="2"/>
      <c r="D289" s="2"/>
      <c r="E289" s="2"/>
      <c r="F289" s="2"/>
      <c r="G289" s="2"/>
      <c r="H289" s="5"/>
      <c r="I289" s="2"/>
      <c r="J289" s="2"/>
      <c r="K289" s="2"/>
      <c r="L289" s="2"/>
    </row>
    <row r="290" spans="1:12">
      <c r="A290" s="2"/>
      <c r="B290" s="2" t="str">
        <f>IFERROR(INDEX('01_Компании'!$B$4:$B$103,MATCH(A290,'01_Компании'!$A$4:$A$103,0)),"")</f>
        <v/>
      </c>
      <c r="C290" s="2"/>
      <c r="D290" s="2"/>
      <c r="E290" s="2"/>
      <c r="F290" s="2"/>
      <c r="G290" s="2"/>
      <c r="H290" s="5"/>
      <c r="I290" s="2"/>
      <c r="J290" s="2"/>
      <c r="K290" s="2"/>
      <c r="L290" s="2"/>
    </row>
    <row r="291" spans="1:12">
      <c r="A291" s="2"/>
      <c r="B291" s="2" t="str">
        <f>IFERROR(INDEX('01_Компании'!$B$4:$B$103,MATCH(A291,'01_Компании'!$A$4:$A$103,0)),"")</f>
        <v/>
      </c>
      <c r="C291" s="2"/>
      <c r="D291" s="2"/>
      <c r="E291" s="2"/>
      <c r="F291" s="2"/>
      <c r="G291" s="2"/>
      <c r="H291" s="5"/>
      <c r="I291" s="2"/>
      <c r="J291" s="2"/>
      <c r="K291" s="2"/>
      <c r="L291" s="2"/>
    </row>
    <row r="292" spans="1:12">
      <c r="A292" s="2"/>
      <c r="B292" s="2" t="str">
        <f>IFERROR(INDEX('01_Компании'!$B$4:$B$103,MATCH(A292,'01_Компании'!$A$4:$A$103,0)),"")</f>
        <v/>
      </c>
      <c r="C292" s="2"/>
      <c r="D292" s="2"/>
      <c r="E292" s="2"/>
      <c r="F292" s="2"/>
      <c r="G292" s="2"/>
      <c r="H292" s="5"/>
      <c r="I292" s="2"/>
      <c r="J292" s="2"/>
      <c r="K292" s="2"/>
      <c r="L292" s="2"/>
    </row>
    <row r="293" spans="1:12">
      <c r="A293" s="2"/>
      <c r="B293" s="2" t="str">
        <f>IFERROR(INDEX('01_Компании'!$B$4:$B$103,MATCH(A293,'01_Компании'!$A$4:$A$103,0)),"")</f>
        <v/>
      </c>
      <c r="C293" s="2"/>
      <c r="D293" s="2"/>
      <c r="E293" s="2"/>
      <c r="F293" s="2"/>
      <c r="G293" s="2"/>
      <c r="H293" s="5"/>
      <c r="I293" s="2"/>
      <c r="J293" s="2"/>
      <c r="K293" s="2"/>
      <c r="L293" s="2"/>
    </row>
    <row r="294" spans="1:12">
      <c r="A294" s="2"/>
      <c r="B294" s="2" t="str">
        <f>IFERROR(INDEX('01_Компании'!$B$4:$B$103,MATCH(A294,'01_Компании'!$A$4:$A$103,0)),"")</f>
        <v/>
      </c>
      <c r="C294" s="2"/>
      <c r="D294" s="2"/>
      <c r="E294" s="2"/>
      <c r="F294" s="2"/>
      <c r="G294" s="2"/>
      <c r="H294" s="5"/>
      <c r="I294" s="2"/>
      <c r="J294" s="2"/>
      <c r="K294" s="2"/>
      <c r="L294" s="2"/>
    </row>
    <row r="295" spans="1:12">
      <c r="A295" s="2"/>
      <c r="B295" s="2" t="str">
        <f>IFERROR(INDEX('01_Компании'!$B$4:$B$103,MATCH(A295,'01_Компании'!$A$4:$A$103,0)),"")</f>
        <v/>
      </c>
      <c r="C295" s="2"/>
      <c r="D295" s="2"/>
      <c r="E295" s="2"/>
      <c r="F295" s="2"/>
      <c r="G295" s="2"/>
      <c r="H295" s="5"/>
      <c r="I295" s="2"/>
      <c r="J295" s="2"/>
      <c r="K295" s="2"/>
      <c r="L295" s="2"/>
    </row>
    <row r="296" spans="1:12">
      <c r="A296" s="2"/>
      <c r="B296" s="2" t="str">
        <f>IFERROR(INDEX('01_Компании'!$B$4:$B$103,MATCH(A296,'01_Компании'!$A$4:$A$103,0)),"")</f>
        <v/>
      </c>
      <c r="C296" s="2"/>
      <c r="D296" s="2"/>
      <c r="E296" s="2"/>
      <c r="F296" s="2"/>
      <c r="G296" s="2"/>
      <c r="H296" s="5"/>
      <c r="I296" s="2"/>
      <c r="J296" s="2"/>
      <c r="K296" s="2"/>
      <c r="L296" s="2"/>
    </row>
    <row r="297" spans="1:12">
      <c r="A297" s="2"/>
      <c r="B297" s="2" t="str">
        <f>IFERROR(INDEX('01_Компании'!$B$4:$B$103,MATCH(A297,'01_Компании'!$A$4:$A$103,0)),"")</f>
        <v/>
      </c>
      <c r="C297" s="2"/>
      <c r="D297" s="2"/>
      <c r="E297" s="2"/>
      <c r="F297" s="2"/>
      <c r="G297" s="2"/>
      <c r="H297" s="5"/>
      <c r="I297" s="2"/>
      <c r="J297" s="2"/>
      <c r="K297" s="2"/>
      <c r="L297" s="2"/>
    </row>
    <row r="298" spans="1:12">
      <c r="A298" s="2"/>
      <c r="B298" s="2" t="str">
        <f>IFERROR(INDEX('01_Компании'!$B$4:$B$103,MATCH(A298,'01_Компании'!$A$4:$A$103,0)),"")</f>
        <v/>
      </c>
      <c r="C298" s="2"/>
      <c r="D298" s="2"/>
      <c r="E298" s="2"/>
      <c r="F298" s="2"/>
      <c r="G298" s="2"/>
      <c r="H298" s="5"/>
      <c r="I298" s="2"/>
      <c r="J298" s="2"/>
      <c r="K298" s="2"/>
      <c r="L298" s="2"/>
    </row>
    <row r="299" spans="1:12">
      <c r="A299" s="2"/>
      <c r="B299" s="2" t="str">
        <f>IFERROR(INDEX('01_Компании'!$B$4:$B$103,MATCH(A299,'01_Компании'!$A$4:$A$103,0)),"")</f>
        <v/>
      </c>
      <c r="C299" s="2"/>
      <c r="D299" s="2"/>
      <c r="E299" s="2"/>
      <c r="F299" s="2"/>
      <c r="G299" s="2"/>
      <c r="H299" s="5"/>
      <c r="I299" s="2"/>
      <c r="J299" s="2"/>
      <c r="K299" s="2"/>
      <c r="L299" s="2"/>
    </row>
    <row r="300" spans="1:12">
      <c r="A300" s="2"/>
      <c r="B300" s="2" t="str">
        <f>IFERROR(INDEX('01_Компании'!$B$4:$B$103,MATCH(A300,'01_Компании'!$A$4:$A$103,0)),"")</f>
        <v/>
      </c>
      <c r="C300" s="2"/>
      <c r="D300" s="2"/>
      <c r="E300" s="2"/>
      <c r="F300" s="2"/>
      <c r="G300" s="2"/>
      <c r="H300" s="5"/>
      <c r="I300" s="2"/>
      <c r="J300" s="2"/>
      <c r="K300" s="2"/>
      <c r="L300" s="2"/>
    </row>
    <row r="301" spans="1:12">
      <c r="A301" s="2"/>
      <c r="B301" s="2" t="str">
        <f>IFERROR(INDEX('01_Компании'!$B$4:$B$103,MATCH(A301,'01_Компании'!$A$4:$A$103,0)),"")</f>
        <v/>
      </c>
      <c r="C301" s="2"/>
      <c r="D301" s="2"/>
      <c r="E301" s="2"/>
      <c r="F301" s="2"/>
      <c r="G301" s="2"/>
      <c r="H301" s="5"/>
      <c r="I301" s="2"/>
      <c r="J301" s="2"/>
      <c r="K301" s="2"/>
      <c r="L301" s="2"/>
    </row>
    <row r="302" spans="1:12">
      <c r="A302" s="2"/>
      <c r="B302" s="2" t="str">
        <f>IFERROR(INDEX('01_Компании'!$B$4:$B$103,MATCH(A302,'01_Компании'!$A$4:$A$103,0)),"")</f>
        <v/>
      </c>
      <c r="C302" s="2"/>
      <c r="D302" s="2"/>
      <c r="E302" s="2"/>
      <c r="F302" s="2"/>
      <c r="G302" s="2"/>
      <c r="H302" s="5"/>
      <c r="I302" s="2"/>
      <c r="J302" s="2"/>
      <c r="K302" s="2"/>
      <c r="L302" s="2"/>
    </row>
    <row r="303" spans="1:12">
      <c r="A303" s="2"/>
      <c r="B303" s="2" t="str">
        <f>IFERROR(INDEX('01_Компании'!$B$4:$B$103,MATCH(A303,'01_Компании'!$A$4:$A$103,0)),"")</f>
        <v/>
      </c>
      <c r="C303" s="2"/>
      <c r="D303" s="2"/>
      <c r="E303" s="2"/>
      <c r="F303" s="2"/>
      <c r="G303" s="2"/>
      <c r="H303" s="5"/>
      <c r="I303" s="2"/>
      <c r="J303" s="2"/>
      <c r="K303" s="2"/>
      <c r="L303" s="2"/>
    </row>
  </sheetData>
  <mergeCells count="1">
    <mergeCell ref="A1:L1"/>
  </mergeCells>
  <dataValidations count="1">
    <dataValidation sqref="G4:G303 J4:J303" xr:uid="{00000000-0002-0000-02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'08_Справочники'!$D$2:$D$11</xm:f>
          </x14:formula1>
          <xm:sqref>F4:F303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workbookViewId="0"/>
  </sheetViews>
  <sheetFormatPr defaultRowHeight="13.5"/>
  <cols>
    <col min="1" max="1" width="8" customWidth="1"/>
    <col min="2" max="2" width="26" customWidth="1"/>
    <col min="3" max="3" width="38" customWidth="1"/>
    <col min="4" max="4" width="45" customWidth="1"/>
    <col min="5" max="5" width="8" customWidth="1"/>
    <col min="6" max="7" width="25" customWidth="1"/>
    <col min="8" max="9" width="28" customWidth="1"/>
    <col min="10" max="10" width="20" customWidth="1"/>
  </cols>
  <sheetData>
    <row r="1" spans="1:26" ht="16.05" customHeight="1">
      <c r="A1" s="10" t="s">
        <v>192</v>
      </c>
      <c r="B1" s="11" t="s">
        <v>192</v>
      </c>
      <c r="C1" s="11" t="s">
        <v>192</v>
      </c>
      <c r="D1" s="11" t="s">
        <v>192</v>
      </c>
      <c r="E1" s="11" t="s">
        <v>192</v>
      </c>
      <c r="F1" s="11" t="s">
        <v>192</v>
      </c>
      <c r="G1" s="11" t="s">
        <v>192</v>
      </c>
      <c r="H1" s="11" t="s">
        <v>192</v>
      </c>
      <c r="I1" s="11" t="s">
        <v>192</v>
      </c>
      <c r="J1" s="11" t="s">
        <v>192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27.75">
      <c r="A3" s="1" t="s">
        <v>193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  <c r="G3" s="1" t="s">
        <v>199</v>
      </c>
      <c r="H3" s="1" t="s">
        <v>200</v>
      </c>
      <c r="I3" s="1" t="s">
        <v>201</v>
      </c>
      <c r="J3" s="1" t="s">
        <v>202</v>
      </c>
    </row>
    <row r="4" spans="1:26" ht="27">
      <c r="A4" s="2" t="s">
        <v>203</v>
      </c>
      <c r="B4" s="2" t="s">
        <v>204</v>
      </c>
      <c r="C4" s="2" t="s">
        <v>205</v>
      </c>
      <c r="D4" s="2" t="s">
        <v>206</v>
      </c>
      <c r="E4" s="3">
        <v>20</v>
      </c>
      <c r="F4" s="2" t="s">
        <v>207</v>
      </c>
      <c r="G4" s="2" t="s">
        <v>208</v>
      </c>
      <c r="H4" s="2" t="s">
        <v>209</v>
      </c>
      <c r="I4" s="2" t="s">
        <v>210</v>
      </c>
      <c r="J4" s="2" t="s">
        <v>211</v>
      </c>
    </row>
    <row r="5" spans="1:26" ht="27">
      <c r="A5" s="2" t="s">
        <v>212</v>
      </c>
      <c r="B5" s="2" t="s">
        <v>213</v>
      </c>
      <c r="C5" s="2" t="s">
        <v>214</v>
      </c>
      <c r="D5" s="2" t="s">
        <v>215</v>
      </c>
      <c r="E5" s="3">
        <v>15</v>
      </c>
      <c r="F5" s="2" t="s">
        <v>216</v>
      </c>
      <c r="G5" s="2" t="s">
        <v>217</v>
      </c>
      <c r="H5" s="2" t="s">
        <v>218</v>
      </c>
      <c r="I5" s="2" t="s">
        <v>219</v>
      </c>
      <c r="J5" s="2" t="s">
        <v>211</v>
      </c>
    </row>
    <row r="6" spans="1:26" ht="27">
      <c r="A6" s="2" t="s">
        <v>220</v>
      </c>
      <c r="B6" s="2" t="s">
        <v>221</v>
      </c>
      <c r="C6" s="2" t="s">
        <v>222</v>
      </c>
      <c r="D6" s="2" t="s">
        <v>223</v>
      </c>
      <c r="E6" s="3">
        <v>18</v>
      </c>
      <c r="F6" s="2" t="s">
        <v>224</v>
      </c>
      <c r="G6" s="2" t="s">
        <v>225</v>
      </c>
      <c r="H6" s="2" t="s">
        <v>226</v>
      </c>
      <c r="I6" s="2" t="s">
        <v>227</v>
      </c>
      <c r="J6" s="2" t="s">
        <v>211</v>
      </c>
    </row>
    <row r="7" spans="1:26" ht="27">
      <c r="A7" s="2" t="s">
        <v>228</v>
      </c>
      <c r="B7" s="2" t="s">
        <v>229</v>
      </c>
      <c r="C7" s="2" t="s">
        <v>230</v>
      </c>
      <c r="D7" s="2" t="s">
        <v>231</v>
      </c>
      <c r="E7" s="3">
        <v>10</v>
      </c>
      <c r="F7" s="2" t="s">
        <v>232</v>
      </c>
      <c r="G7" s="2" t="s">
        <v>233</v>
      </c>
      <c r="H7" s="2" t="s">
        <v>234</v>
      </c>
      <c r="I7" s="2" t="s">
        <v>235</v>
      </c>
      <c r="J7" s="2" t="s">
        <v>236</v>
      </c>
    </row>
    <row r="8" spans="1:26" ht="27">
      <c r="A8" s="2" t="s">
        <v>237</v>
      </c>
      <c r="B8" s="2" t="s">
        <v>238</v>
      </c>
      <c r="C8" s="2" t="s">
        <v>239</v>
      </c>
      <c r="D8" s="2" t="s">
        <v>240</v>
      </c>
      <c r="E8" s="3">
        <v>8</v>
      </c>
      <c r="F8" s="2" t="s">
        <v>241</v>
      </c>
      <c r="G8" s="2" t="s">
        <v>242</v>
      </c>
      <c r="H8" s="2" t="s">
        <v>243</v>
      </c>
      <c r="I8" s="2" t="s">
        <v>244</v>
      </c>
      <c r="J8" s="2" t="s">
        <v>236</v>
      </c>
    </row>
    <row r="9" spans="1:26" ht="27">
      <c r="A9" s="2" t="s">
        <v>245</v>
      </c>
      <c r="B9" s="2" t="s">
        <v>246</v>
      </c>
      <c r="C9" s="2" t="s">
        <v>247</v>
      </c>
      <c r="D9" s="2" t="s">
        <v>248</v>
      </c>
      <c r="E9" s="3">
        <v>8</v>
      </c>
      <c r="F9" s="2" t="s">
        <v>249</v>
      </c>
      <c r="G9" s="2" t="s">
        <v>250</v>
      </c>
      <c r="H9" s="2" t="s">
        <v>251</v>
      </c>
      <c r="I9" s="2" t="s">
        <v>252</v>
      </c>
      <c r="J9" s="2" t="s">
        <v>236</v>
      </c>
    </row>
    <row r="10" spans="1:26" ht="27">
      <c r="A10" s="2" t="s">
        <v>253</v>
      </c>
      <c r="B10" s="2" t="s">
        <v>254</v>
      </c>
      <c r="C10" s="2" t="s">
        <v>255</v>
      </c>
      <c r="D10" s="2" t="s">
        <v>256</v>
      </c>
      <c r="E10" s="3">
        <v>7</v>
      </c>
      <c r="F10" s="2" t="s">
        <v>257</v>
      </c>
      <c r="G10" s="2" t="s">
        <v>258</v>
      </c>
      <c r="H10" s="2" t="s">
        <v>259</v>
      </c>
      <c r="I10" s="2" t="s">
        <v>260</v>
      </c>
      <c r="J10" s="2" t="s">
        <v>236</v>
      </c>
    </row>
    <row r="11" spans="1:26" ht="27">
      <c r="A11" s="2" t="s">
        <v>261</v>
      </c>
      <c r="B11" s="2" t="s">
        <v>262</v>
      </c>
      <c r="C11" s="2" t="s">
        <v>263</v>
      </c>
      <c r="D11" s="2" t="s">
        <v>264</v>
      </c>
      <c r="E11" s="3">
        <v>7</v>
      </c>
      <c r="F11" s="2" t="s">
        <v>265</v>
      </c>
      <c r="G11" s="2" t="s">
        <v>266</v>
      </c>
      <c r="H11" s="2" t="s">
        <v>267</v>
      </c>
      <c r="I11" s="2" t="s">
        <v>268</v>
      </c>
      <c r="J11" s="2" t="s">
        <v>236</v>
      </c>
    </row>
    <row r="12" spans="1:26" ht="27">
      <c r="A12" s="2" t="s">
        <v>269</v>
      </c>
      <c r="B12" s="2" t="s">
        <v>270</v>
      </c>
      <c r="C12" s="2" t="s">
        <v>271</v>
      </c>
      <c r="D12" s="2" t="s">
        <v>272</v>
      </c>
      <c r="E12" s="3">
        <v>4</v>
      </c>
      <c r="F12" s="2" t="s">
        <v>273</v>
      </c>
      <c r="G12" s="2" t="s">
        <v>274</v>
      </c>
      <c r="H12" s="2" t="s">
        <v>275</v>
      </c>
      <c r="I12" s="2" t="s">
        <v>276</v>
      </c>
      <c r="J12" s="2" t="s">
        <v>236</v>
      </c>
    </row>
    <row r="13" spans="1:26" ht="27">
      <c r="A13" s="2" t="s">
        <v>277</v>
      </c>
      <c r="B13" s="2" t="s">
        <v>278</v>
      </c>
      <c r="C13" s="2" t="s">
        <v>279</v>
      </c>
      <c r="D13" s="2" t="s">
        <v>280</v>
      </c>
      <c r="E13" s="3">
        <v>3</v>
      </c>
      <c r="F13" s="2" t="s">
        <v>281</v>
      </c>
      <c r="G13" s="2" t="s">
        <v>282</v>
      </c>
      <c r="H13" s="2" t="s">
        <v>283</v>
      </c>
      <c r="I13" s="2" t="s">
        <v>284</v>
      </c>
      <c r="J13" s="2" t="s">
        <v>236</v>
      </c>
    </row>
    <row r="15" spans="1:26" ht="27.75">
      <c r="A15" s="4" t="s">
        <v>285</v>
      </c>
      <c r="B15" s="13" t="s">
        <v>286</v>
      </c>
      <c r="C15" s="13"/>
      <c r="D15" s="13"/>
      <c r="E15" s="13"/>
      <c r="F15" s="13"/>
      <c r="G15" s="13"/>
      <c r="H15" s="13"/>
      <c r="I15" s="13"/>
      <c r="J15" s="13"/>
    </row>
  </sheetData>
  <mergeCells count="2">
    <mergeCell ref="A1:J1"/>
    <mergeCell ref="B15:J1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3"/>
  <sheetViews>
    <sheetView workbookViewId="0"/>
  </sheetViews>
  <sheetFormatPr defaultRowHeight="13.5"/>
  <cols>
    <col min="1" max="1" width="8" customWidth="1"/>
    <col min="2" max="2" width="24" customWidth="1"/>
    <col min="3" max="3" width="30" customWidth="1"/>
    <col min="4" max="5" width="12" customWidth="1"/>
    <col min="6" max="6" width="14" customWidth="1"/>
    <col min="7" max="7" width="12" customWidth="1"/>
    <col min="8" max="8" width="10" customWidth="1"/>
    <col min="9" max="10" width="12" customWidth="1"/>
    <col min="11" max="11" width="14" customWidth="1"/>
    <col min="12" max="12" width="12" customWidth="1"/>
    <col min="13" max="14" width="14" customWidth="1"/>
    <col min="15" max="15" width="24" customWidth="1"/>
    <col min="16" max="18" width="32" customWidth="1"/>
    <col min="19" max="19" width="18" customWidth="1"/>
    <col min="20" max="20" width="42" customWidth="1"/>
    <col min="21" max="21" width="36" customWidth="1"/>
    <col min="22" max="22" width="14" customWidth="1"/>
  </cols>
  <sheetData>
    <row r="1" spans="1:26" ht="16.05" customHeight="1">
      <c r="A1" s="10" t="s">
        <v>287</v>
      </c>
      <c r="B1" s="11" t="s">
        <v>287</v>
      </c>
      <c r="C1" s="11" t="s">
        <v>287</v>
      </c>
      <c r="D1" s="11" t="s">
        <v>287</v>
      </c>
      <c r="E1" s="11" t="s">
        <v>287</v>
      </c>
      <c r="F1" s="11" t="s">
        <v>287</v>
      </c>
      <c r="G1" s="11" t="s">
        <v>287</v>
      </c>
      <c r="H1" s="11" t="s">
        <v>287</v>
      </c>
      <c r="I1" s="11" t="s">
        <v>287</v>
      </c>
      <c r="J1" s="11" t="s">
        <v>287</v>
      </c>
      <c r="K1" s="11" t="s">
        <v>287</v>
      </c>
      <c r="L1" s="11" t="s">
        <v>287</v>
      </c>
      <c r="M1" s="11" t="s">
        <v>287</v>
      </c>
      <c r="N1" s="11" t="s">
        <v>287</v>
      </c>
      <c r="O1" s="11" t="s">
        <v>287</v>
      </c>
      <c r="P1" s="11" t="s">
        <v>287</v>
      </c>
      <c r="Q1" s="11" t="s">
        <v>287</v>
      </c>
      <c r="R1" s="11" t="s">
        <v>287</v>
      </c>
      <c r="S1" s="11" t="s">
        <v>287</v>
      </c>
      <c r="T1" s="11" t="s">
        <v>287</v>
      </c>
      <c r="U1" s="11" t="s">
        <v>287</v>
      </c>
      <c r="V1" s="11" t="s">
        <v>287</v>
      </c>
      <c r="W1" s="9"/>
      <c r="X1" s="9"/>
      <c r="Y1" s="9"/>
      <c r="Z1" s="9"/>
    </row>
    <row r="3" spans="1:26" ht="27.75">
      <c r="A3" s="1" t="s">
        <v>68</v>
      </c>
      <c r="B3" s="1" t="s">
        <v>69</v>
      </c>
      <c r="C3" s="1" t="s">
        <v>70</v>
      </c>
      <c r="D3" s="1" t="s">
        <v>288</v>
      </c>
      <c r="E3" s="1" t="s">
        <v>289</v>
      </c>
      <c r="F3" s="1" t="s">
        <v>290</v>
      </c>
      <c r="G3" s="1" t="s">
        <v>291</v>
      </c>
      <c r="H3" s="1" t="s">
        <v>292</v>
      </c>
      <c r="I3" s="1" t="s">
        <v>293</v>
      </c>
      <c r="J3" s="1" t="s">
        <v>294</v>
      </c>
      <c r="K3" s="1" t="s">
        <v>295</v>
      </c>
      <c r="L3" s="1" t="s">
        <v>296</v>
      </c>
      <c r="M3" s="1" t="s">
        <v>297</v>
      </c>
      <c r="N3" s="1" t="s">
        <v>298</v>
      </c>
      <c r="O3" s="1" t="s">
        <v>299</v>
      </c>
      <c r="P3" s="1" t="s">
        <v>300</v>
      </c>
      <c r="Q3" s="1" t="s">
        <v>301</v>
      </c>
      <c r="R3" s="1" t="s">
        <v>42</v>
      </c>
      <c r="S3" s="1" t="s">
        <v>302</v>
      </c>
      <c r="T3" s="1" t="s">
        <v>303</v>
      </c>
      <c r="U3" s="1" t="s">
        <v>304</v>
      </c>
      <c r="V3" s="1" t="s">
        <v>305</v>
      </c>
    </row>
    <row r="4" spans="1:26">
      <c r="A4" s="2" t="s">
        <v>81</v>
      </c>
      <c r="B4" s="2" t="str">
        <f>IFERROR(INDEX('01_Компании'!$B$4:$B$103,MATCH(A4,'01_Компании'!$A$4:$A$103,0)),"")</f>
        <v>PerfectXL</v>
      </c>
      <c r="C4" s="2" t="str">
        <f>IFERROR(INDEX('01_Компании'!$C$4:$C$103,MATCH(A4,'01_Компании'!$A$4:$A$103,0)),"")</f>
        <v>perfectxl.com</v>
      </c>
      <c r="D4" s="2">
        <v>5</v>
      </c>
      <c r="E4" s="2">
        <v>4</v>
      </c>
      <c r="F4" s="2">
        <v>4</v>
      </c>
      <c r="G4" s="2">
        <v>5</v>
      </c>
      <c r="H4" s="2">
        <v>3</v>
      </c>
      <c r="I4" s="2">
        <v>3</v>
      </c>
      <c r="J4" s="2">
        <v>4</v>
      </c>
      <c r="K4" s="2">
        <v>4</v>
      </c>
      <c r="L4" s="2">
        <v>4</v>
      </c>
      <c r="M4" s="2">
        <v>3</v>
      </c>
      <c r="N4" s="6">
        <f>IF(COUNTA(D4:M4)=0,"",MMULT(D4:M4,'03_Критерии'!$E$4:$E$13)/SUM('03_Критерии'!$E$4:$E$13))</f>
        <v>4.1100000000000003</v>
      </c>
      <c r="O4" s="2" t="str">
        <f t="shared" ref="O4:O35" si="0">IF(N4="","",IF(COUNTA(D4:M4)&lt;6,"Недостаточно данных",IF(D4&lt;3,"Низкое совпадение задачи",IF(F4&lt;3,"Низкая товарная заменяемость","Нет"))))</f>
        <v>Нет</v>
      </c>
      <c r="P4" s="2" t="str">
        <f t="shared" ref="P4:P35" si="1"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f>
        <v>Близкий альтернативный конкурент</v>
      </c>
      <c r="Q4" s="2"/>
      <c r="R4" s="2" t="str">
        <f t="shared" ref="R4:R35" si="2">IF(Q4="",P4,Q4)</f>
        <v>Близкий альтернативный конкурент</v>
      </c>
      <c r="S4" s="2"/>
      <c r="T4" s="2"/>
      <c r="U4" s="2"/>
      <c r="V4" s="5"/>
    </row>
    <row r="5" spans="1:26">
      <c r="A5" s="2" t="s">
        <v>82</v>
      </c>
      <c r="B5" s="2" t="str">
        <f>IFERROR(INDEX('01_Компании'!$B$4:$B$103,MATCH(A5,'01_Компании'!$A$4:$A$103,0)),"")</f>
        <v>Arixcel</v>
      </c>
      <c r="C5" s="2" t="str">
        <f>IFERROR(INDEX('01_Компании'!$C$4:$C$103,MATCH(A5,'01_Компании'!$A$4:$A$103,0)),"")</f>
        <v>arixcel.com</v>
      </c>
      <c r="D5" s="2">
        <v>4</v>
      </c>
      <c r="E5" s="2">
        <v>4</v>
      </c>
      <c r="F5" s="2">
        <v>3</v>
      </c>
      <c r="G5" s="2">
        <v>4</v>
      </c>
      <c r="H5" s="2">
        <v>3</v>
      </c>
      <c r="I5" s="2">
        <v>2</v>
      </c>
      <c r="J5" s="2">
        <v>4</v>
      </c>
      <c r="K5" s="2">
        <v>3</v>
      </c>
      <c r="L5" s="2">
        <v>3</v>
      </c>
      <c r="M5" s="2">
        <v>3</v>
      </c>
      <c r="N5" s="6">
        <f>IF(COUNTA(D5:M5)=0,"",MMULT(D5:M5,'03_Критерии'!$E$4:$E$13)/SUM('03_Критерии'!$E$4:$E$13))</f>
        <v>3.44</v>
      </c>
      <c r="O5" s="2" t="str">
        <f t="shared" si="0"/>
        <v>Нет</v>
      </c>
      <c r="P5" s="2" t="str">
        <f t="shared" si="1"/>
        <v>Близкий альтернативный конкурент</v>
      </c>
      <c r="Q5" s="2"/>
      <c r="R5" s="2" t="str">
        <f t="shared" si="2"/>
        <v>Близкий альтернативный конкурент</v>
      </c>
      <c r="S5" s="2"/>
      <c r="T5" s="2"/>
      <c r="U5" s="2"/>
      <c r="V5" s="5"/>
    </row>
    <row r="6" spans="1:26">
      <c r="A6" s="2" t="s">
        <v>83</v>
      </c>
      <c r="B6" s="2" t="str">
        <f>IFERROR(INDEX('01_Компании'!$B$4:$B$103,MATCH(A6,'01_Компании'!$A$4:$A$103,0)),"")</f>
        <v>Operis</v>
      </c>
      <c r="C6" s="2" t="str">
        <f>IFERROR(INDEX('01_Компании'!$C$4:$C$103,MATCH(A6,'01_Компании'!$A$4:$A$103,0)),"")</f>
        <v>operis.com</v>
      </c>
      <c r="D6" s="2">
        <v>4</v>
      </c>
      <c r="E6" s="2">
        <v>3</v>
      </c>
      <c r="F6" s="2">
        <v>3</v>
      </c>
      <c r="G6" s="2">
        <v>3</v>
      </c>
      <c r="H6" s="2">
        <v>2</v>
      </c>
      <c r="I6" s="2">
        <v>2</v>
      </c>
      <c r="J6" s="2">
        <v>3</v>
      </c>
      <c r="K6" s="2">
        <v>3</v>
      </c>
      <c r="L6" s="2">
        <v>4</v>
      </c>
      <c r="M6" s="2">
        <v>2</v>
      </c>
      <c r="N6" s="6">
        <f>IF(COUNTA(D6:M6)=0,"",MMULT(D6:M6,'03_Критерии'!$E$4:$E$13)/SUM('03_Критерии'!$E$4:$E$13))</f>
        <v>3.05</v>
      </c>
      <c r="O6" s="2" t="str">
        <f t="shared" si="0"/>
        <v>Нет</v>
      </c>
      <c r="P6" s="2" t="str">
        <f t="shared" si="1"/>
        <v>Косвенный конкурент / заменитель</v>
      </c>
      <c r="Q6" s="2"/>
      <c r="R6" s="2" t="str">
        <f t="shared" si="2"/>
        <v>Косвенный конкурент / заменитель</v>
      </c>
      <c r="S6" s="2"/>
      <c r="T6" s="2"/>
      <c r="U6" s="2"/>
      <c r="V6" s="5"/>
    </row>
    <row r="7" spans="1:26">
      <c r="A7" s="2" t="s">
        <v>84</v>
      </c>
      <c r="B7" s="2" t="str">
        <f>IFERROR(INDEX('01_Компании'!$B$4:$B$103,MATCH(A7,'01_Компании'!$A$4:$A$103,0)),"")</f>
        <v>Shortcut</v>
      </c>
      <c r="C7" s="2" t="str">
        <f>IFERROR(INDEX('01_Компании'!$C$4:$C$103,MATCH(A7,'01_Компании'!$A$4:$A$103,0)),"")</f>
        <v>shortcut.ai</v>
      </c>
      <c r="D7" s="2">
        <v>3</v>
      </c>
      <c r="E7" s="2">
        <v>4</v>
      </c>
      <c r="F7" s="2">
        <v>3</v>
      </c>
      <c r="G7" s="2">
        <v>4</v>
      </c>
      <c r="H7" s="2">
        <v>3</v>
      </c>
      <c r="I7" s="2">
        <v>4</v>
      </c>
      <c r="J7" s="2">
        <v>4</v>
      </c>
      <c r="K7" s="2">
        <v>4</v>
      </c>
      <c r="L7" s="2">
        <v>3</v>
      </c>
      <c r="M7" s="2">
        <v>3</v>
      </c>
      <c r="N7" s="6">
        <f>IF(COUNTA(D7:M7)=0,"",MMULT(D7:M7,'03_Критерии'!$E$4:$E$13)/SUM('03_Критерии'!$E$4:$E$13))</f>
        <v>3.47</v>
      </c>
      <c r="O7" s="2" t="str">
        <f t="shared" si="0"/>
        <v>Нет</v>
      </c>
      <c r="P7" s="2" t="str">
        <f t="shared" si="1"/>
        <v>Близкий альтернативный конкурент</v>
      </c>
      <c r="Q7" s="2"/>
      <c r="R7" s="2" t="str">
        <f t="shared" si="2"/>
        <v>Близкий альтернативный конкурент</v>
      </c>
      <c r="S7" s="2"/>
      <c r="T7" s="2"/>
      <c r="U7" s="2"/>
      <c r="V7" s="5"/>
    </row>
    <row r="8" spans="1:26">
      <c r="A8" s="2" t="s">
        <v>85</v>
      </c>
      <c r="B8" s="2" t="str">
        <f>IFERROR(INDEX('01_Компании'!$B$4:$B$103,MATCH(A8,'01_Компании'!$A$4:$A$103,0)),"")</f>
        <v>Numerous.ai</v>
      </c>
      <c r="C8" s="2" t="str">
        <f>IFERROR(INDEX('01_Компании'!$C$4:$C$103,MATCH(A8,'01_Компании'!$A$4:$A$103,0)),"")</f>
        <v>numerous.ai</v>
      </c>
      <c r="D8" s="2">
        <v>2</v>
      </c>
      <c r="E8" s="2">
        <v>2</v>
      </c>
      <c r="F8" s="2">
        <v>2</v>
      </c>
      <c r="G8" s="2">
        <v>2</v>
      </c>
      <c r="H8" s="2">
        <v>5</v>
      </c>
      <c r="I8" s="2">
        <v>4</v>
      </c>
      <c r="J8" s="2">
        <v>4</v>
      </c>
      <c r="K8" s="2">
        <v>3</v>
      </c>
      <c r="L8" s="2">
        <v>2</v>
      </c>
      <c r="M8" s="2">
        <v>2</v>
      </c>
      <c r="N8" s="6">
        <f>IF(COUNTA(D8:M8)=0,"",MMULT(D8:M8,'03_Критерии'!$E$4:$E$13)/SUM('03_Критерии'!$E$4:$E$13))</f>
        <v>2.61</v>
      </c>
      <c r="O8" s="2" t="str">
        <f t="shared" si="0"/>
        <v>Низкое совпадение задачи</v>
      </c>
      <c r="P8" s="2" t="str">
        <f t="shared" si="1"/>
        <v>Косвенный конкурент / заменитель</v>
      </c>
      <c r="Q8" s="2"/>
      <c r="R8" s="2" t="str">
        <f t="shared" si="2"/>
        <v>Косвенный конкурент / заменитель</v>
      </c>
      <c r="S8" s="2"/>
      <c r="T8" s="2"/>
      <c r="U8" s="2"/>
      <c r="V8" s="5"/>
    </row>
    <row r="9" spans="1:26">
      <c r="A9" s="2" t="s">
        <v>86</v>
      </c>
      <c r="B9" s="2" t="str">
        <f>IFERROR(INDEX('01_Компании'!$B$4:$B$103,MATCH(A9,'01_Компании'!$A$4:$A$103,0)),"")</f>
        <v>Datarails</v>
      </c>
      <c r="C9" s="2" t="str">
        <f>IFERROR(INDEX('01_Компании'!$C$4:$C$103,MATCH(A9,'01_Компании'!$A$4:$A$103,0)),"")</f>
        <v>datarails.com</v>
      </c>
      <c r="D9" s="2">
        <v>2</v>
      </c>
      <c r="E9" s="2">
        <v>3</v>
      </c>
      <c r="F9" s="2">
        <v>2</v>
      </c>
      <c r="G9" s="2">
        <v>3</v>
      </c>
      <c r="H9" s="2">
        <v>2</v>
      </c>
      <c r="I9" s="2">
        <v>3</v>
      </c>
      <c r="J9" s="2">
        <v>4</v>
      </c>
      <c r="K9" s="2">
        <v>5</v>
      </c>
      <c r="L9" s="2">
        <v>4</v>
      </c>
      <c r="M9" s="2">
        <v>5</v>
      </c>
      <c r="N9" s="6">
        <f>IF(COUNTA(D9:M9)=0,"",MMULT(D9:M9,'03_Критерии'!$E$4:$E$13)/SUM('03_Критерии'!$E$4:$E$13))</f>
        <v>2.85</v>
      </c>
      <c r="O9" s="2" t="str">
        <f t="shared" si="0"/>
        <v>Низкое совпадение задачи</v>
      </c>
      <c r="P9" s="2" t="str">
        <f t="shared" si="1"/>
        <v>Косвенный конкурент / заменитель</v>
      </c>
      <c r="Q9" s="2"/>
      <c r="R9" s="2" t="str">
        <f t="shared" si="2"/>
        <v>Косвенный конкурент / заменитель</v>
      </c>
      <c r="S9" s="2"/>
      <c r="T9" s="2"/>
      <c r="U9" s="2"/>
      <c r="V9" s="5"/>
    </row>
    <row r="10" spans="1:26">
      <c r="A10" s="2" t="s">
        <v>87</v>
      </c>
      <c r="B10" s="2" t="str">
        <f>IFERROR(INDEX('01_Компании'!$B$4:$B$103,MATCH(A10,'01_Компании'!$A$4:$A$103,0)),"")</f>
        <v>DataSnipper</v>
      </c>
      <c r="C10" s="2" t="str">
        <f>IFERROR(INDEX('01_Компании'!$C$4:$C$103,MATCH(A10,'01_Компании'!$A$4:$A$103,0)),"")</f>
        <v>datasnipper.com</v>
      </c>
      <c r="D10" s="2">
        <v>3</v>
      </c>
      <c r="E10" s="2">
        <v>3</v>
      </c>
      <c r="F10" s="2">
        <v>2</v>
      </c>
      <c r="G10" s="2">
        <v>3</v>
      </c>
      <c r="H10" s="2">
        <v>2</v>
      </c>
      <c r="I10" s="2">
        <v>3</v>
      </c>
      <c r="J10" s="2">
        <v>4</v>
      </c>
      <c r="K10" s="2">
        <v>5</v>
      </c>
      <c r="L10" s="2">
        <v>4</v>
      </c>
      <c r="M10" s="2">
        <v>4</v>
      </c>
      <c r="N10" s="6">
        <f>IF(COUNTA(D10:M10)=0,"",MMULT(D10:M10,'03_Критерии'!$E$4:$E$13)/SUM('03_Критерии'!$E$4:$E$13))</f>
        <v>3.02</v>
      </c>
      <c r="O10" s="2" t="str">
        <f t="shared" si="0"/>
        <v>Низкая товарная заменяемость</v>
      </c>
      <c r="P10" s="2" t="str">
        <f t="shared" si="1"/>
        <v>Косвенный конкурент / заменитель</v>
      </c>
      <c r="Q10" s="2"/>
      <c r="R10" s="2" t="str">
        <f t="shared" si="2"/>
        <v>Косвенный конкурент / заменитель</v>
      </c>
      <c r="S10" s="2"/>
      <c r="T10" s="2"/>
      <c r="U10" s="2"/>
      <c r="V10" s="5"/>
    </row>
    <row r="11" spans="1:26">
      <c r="A11" s="2" t="s">
        <v>88</v>
      </c>
      <c r="B11" s="2" t="str">
        <f>IFERROR(INDEX('01_Компании'!$B$4:$B$103,MATCH(A11,'01_Компании'!$A$4:$A$103,0)),"")</f>
        <v>Rows</v>
      </c>
      <c r="C11" s="2" t="str">
        <f>IFERROR(INDEX('01_Компании'!$C$4:$C$103,MATCH(A11,'01_Компании'!$A$4:$A$103,0)),"")</f>
        <v>rows.com</v>
      </c>
      <c r="D11" s="2">
        <v>1</v>
      </c>
      <c r="E11" s="2">
        <v>2</v>
      </c>
      <c r="F11" s="2">
        <v>2</v>
      </c>
      <c r="G11" s="2">
        <v>2</v>
      </c>
      <c r="H11" s="2">
        <v>5</v>
      </c>
      <c r="I11" s="2">
        <v>4</v>
      </c>
      <c r="J11" s="2">
        <v>4</v>
      </c>
      <c r="K11" s="2">
        <v>4</v>
      </c>
      <c r="L11" s="2">
        <v>3</v>
      </c>
      <c r="M11" s="2">
        <v>2</v>
      </c>
      <c r="N11" s="6">
        <f>IF(COUNTA(D11:M11)=0,"",MMULT(D11:M11,'03_Критерии'!$E$4:$E$13)/SUM('03_Критерии'!$E$4:$E$13))</f>
        <v>2.52</v>
      </c>
      <c r="O11" s="2" t="str">
        <f t="shared" si="0"/>
        <v>Низкое совпадение задачи</v>
      </c>
      <c r="P11" s="2" t="str">
        <f t="shared" si="1"/>
        <v>Косвенный конкурент / заменитель</v>
      </c>
      <c r="Q11" s="2"/>
      <c r="R11" s="2" t="str">
        <f t="shared" si="2"/>
        <v>Косвенный конкурент / заменитель</v>
      </c>
      <c r="S11" s="2"/>
      <c r="T11" s="2"/>
      <c r="U11" s="2"/>
      <c r="V11" s="5"/>
    </row>
    <row r="12" spans="1:26">
      <c r="A12" s="2" t="s">
        <v>89</v>
      </c>
      <c r="B12" s="2" t="str">
        <f>IFERROR(INDEX('01_Компании'!$B$4:$B$103,MATCH(A12,'01_Компании'!$A$4:$A$103,0)),"")</f>
        <v>Formula Bot</v>
      </c>
      <c r="C12" s="2" t="str">
        <f>IFERROR(INDEX('01_Компании'!$C$4:$C$103,MATCH(A12,'01_Компании'!$A$4:$A$103,0)),"")</f>
        <v>formulabot.com</v>
      </c>
      <c r="D12" s="2">
        <v>2</v>
      </c>
      <c r="E12" s="2">
        <v>2</v>
      </c>
      <c r="F12" s="2">
        <v>2</v>
      </c>
      <c r="G12" s="2">
        <v>2</v>
      </c>
      <c r="H12" s="2">
        <v>5</v>
      </c>
      <c r="I12" s="2">
        <v>4</v>
      </c>
      <c r="J12" s="2">
        <v>4</v>
      </c>
      <c r="K12" s="2">
        <v>3</v>
      </c>
      <c r="L12" s="2">
        <v>2</v>
      </c>
      <c r="M12" s="2">
        <v>1</v>
      </c>
      <c r="N12" s="6">
        <f>IF(COUNTA(D12:M12)=0,"",MMULT(D12:M12,'03_Критерии'!$E$4:$E$13)/SUM('03_Критерии'!$E$4:$E$13))</f>
        <v>2.58</v>
      </c>
      <c r="O12" s="2" t="str">
        <f t="shared" si="0"/>
        <v>Низкое совпадение задачи</v>
      </c>
      <c r="P12" s="2" t="str">
        <f t="shared" si="1"/>
        <v>Косвенный конкурент / заменитель</v>
      </c>
      <c r="Q12" s="2"/>
      <c r="R12" s="2" t="str">
        <f t="shared" si="2"/>
        <v>Косвенный конкурент / заменитель</v>
      </c>
      <c r="S12" s="2"/>
      <c r="T12" s="2"/>
      <c r="U12" s="2"/>
      <c r="V12" s="5"/>
    </row>
    <row r="13" spans="1:26" ht="27">
      <c r="A13" s="2" t="s">
        <v>90</v>
      </c>
      <c r="B13" s="2" t="str">
        <f>IFERROR(INDEX('01_Компании'!$B$4:$B$103,MATCH(A13,'01_Компании'!$A$4:$A$103,0)),"")</f>
        <v>Microsoft 365 Copilot</v>
      </c>
      <c r="C13" s="2" t="str">
        <f>IFERROR(INDEX('01_Компании'!$C$4:$C$103,MATCH(A13,'01_Компании'!$A$4:$A$103,0)),"")</f>
        <v>microsoft.com/microsoft-365-copilot</v>
      </c>
      <c r="D13" s="2">
        <v>3</v>
      </c>
      <c r="E13" s="2">
        <v>5</v>
      </c>
      <c r="F13" s="2">
        <v>3</v>
      </c>
      <c r="G13" s="2">
        <v>3</v>
      </c>
      <c r="H13" s="2">
        <v>3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6">
        <f>IF(COUNTA(D13:M13)=0,"",MMULT(D13:M13,'03_Критерии'!$E$4:$E$13)/SUM('03_Критерии'!$E$4:$E$13))</f>
        <v>3.88</v>
      </c>
      <c r="O13" s="2" t="str">
        <f t="shared" si="0"/>
        <v>Нет</v>
      </c>
      <c r="P13" s="2" t="str">
        <f t="shared" si="1"/>
        <v>Близкий альтернативный конкурент</v>
      </c>
      <c r="Q13" s="2"/>
      <c r="R13" s="2" t="str">
        <f t="shared" si="2"/>
        <v>Близкий альтернативный конкурент</v>
      </c>
      <c r="S13" s="2"/>
      <c r="T13" s="2"/>
      <c r="U13" s="2"/>
      <c r="V13" s="5"/>
    </row>
    <row r="14" spans="1:26">
      <c r="A14" s="2" t="s">
        <v>91</v>
      </c>
      <c r="B14" s="2">
        <f>IFERROR(INDEX('01_Компании'!$B$4:$B$103,MATCH(A14,'01_Компании'!$A$4:$A$103,0)),"")</f>
        <v>0</v>
      </c>
      <c r="C14" s="2">
        <f>IFERROR(INDEX('01_Компании'!$C$4:$C$103,MATCH(A14,'01_Компании'!$A$4:$A$103,0)),"")</f>
        <v>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6" t="str">
        <f>IF(COUNTA(D14:M14)=0,"",MMULT(D14:M14,'03_Критерии'!$E$4:$E$13)/SUM('03_Критерии'!$E$4:$E$13))</f>
        <v/>
      </c>
      <c r="O14" s="2" t="str">
        <f t="shared" si="0"/>
        <v/>
      </c>
      <c r="P14" s="2" t="str">
        <f t="shared" si="1"/>
        <v/>
      </c>
      <c r="Q14" s="2"/>
      <c r="R14" s="2" t="str">
        <f t="shared" si="2"/>
        <v/>
      </c>
      <c r="S14" s="2"/>
      <c r="T14" s="2"/>
      <c r="U14" s="2"/>
      <c r="V14" s="5"/>
    </row>
    <row r="15" spans="1:26">
      <c r="A15" s="2" t="s">
        <v>92</v>
      </c>
      <c r="B15" s="2">
        <f>IFERROR(INDEX('01_Компании'!$B$4:$B$103,MATCH(A15,'01_Компании'!$A$4:$A$103,0)),"")</f>
        <v>0</v>
      </c>
      <c r="C15" s="2">
        <f>IFERROR(INDEX('01_Компании'!$C$4:$C$103,MATCH(A15,'01_Компании'!$A$4:$A$103,0)),"")</f>
        <v>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6" t="str">
        <f>IF(COUNTA(D15:M15)=0,"",MMULT(D15:M15,'03_Критерии'!$E$4:$E$13)/SUM('03_Критерии'!$E$4:$E$13))</f>
        <v/>
      </c>
      <c r="O15" s="2" t="str">
        <f t="shared" si="0"/>
        <v/>
      </c>
      <c r="P15" s="2" t="str">
        <f t="shared" si="1"/>
        <v/>
      </c>
      <c r="Q15" s="2"/>
      <c r="R15" s="2" t="str">
        <f t="shared" si="2"/>
        <v/>
      </c>
      <c r="S15" s="2"/>
      <c r="T15" s="2"/>
      <c r="U15" s="2"/>
      <c r="V15" s="5"/>
    </row>
    <row r="16" spans="1:26">
      <c r="A16" s="2" t="s">
        <v>93</v>
      </c>
      <c r="B16" s="2">
        <f>IFERROR(INDEX('01_Компании'!$B$4:$B$103,MATCH(A16,'01_Компании'!$A$4:$A$103,0)),"")</f>
        <v>0</v>
      </c>
      <c r="C16" s="2">
        <f>IFERROR(INDEX('01_Компании'!$C$4:$C$103,MATCH(A16,'01_Компании'!$A$4:$A$103,0)),"")</f>
        <v>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6" t="str">
        <f>IF(COUNTA(D16:M16)=0,"",MMULT(D16:M16,'03_Критерии'!$E$4:$E$13)/SUM('03_Критерии'!$E$4:$E$13))</f>
        <v/>
      </c>
      <c r="O16" s="2" t="str">
        <f t="shared" si="0"/>
        <v/>
      </c>
      <c r="P16" s="2" t="str">
        <f t="shared" si="1"/>
        <v/>
      </c>
      <c r="Q16" s="2"/>
      <c r="R16" s="2" t="str">
        <f t="shared" si="2"/>
        <v/>
      </c>
      <c r="S16" s="2"/>
      <c r="T16" s="2"/>
      <c r="U16" s="2"/>
      <c r="V16" s="5"/>
    </row>
    <row r="17" spans="1:22">
      <c r="A17" s="2" t="s">
        <v>94</v>
      </c>
      <c r="B17" s="2">
        <f>IFERROR(INDEX('01_Компании'!$B$4:$B$103,MATCH(A17,'01_Компании'!$A$4:$A$103,0)),"")</f>
        <v>0</v>
      </c>
      <c r="C17" s="2">
        <f>IFERROR(INDEX('01_Компании'!$C$4:$C$103,MATCH(A17,'01_Компании'!$A$4:$A$103,0)),"")</f>
        <v>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6" t="str">
        <f>IF(COUNTA(D17:M17)=0,"",MMULT(D17:M17,'03_Критерии'!$E$4:$E$13)/SUM('03_Критерии'!$E$4:$E$13))</f>
        <v/>
      </c>
      <c r="O17" s="2" t="str">
        <f t="shared" si="0"/>
        <v/>
      </c>
      <c r="P17" s="2" t="str">
        <f t="shared" si="1"/>
        <v/>
      </c>
      <c r="Q17" s="2"/>
      <c r="R17" s="2" t="str">
        <f t="shared" si="2"/>
        <v/>
      </c>
      <c r="S17" s="2"/>
      <c r="T17" s="2"/>
      <c r="U17" s="2"/>
      <c r="V17" s="5"/>
    </row>
    <row r="18" spans="1:22">
      <c r="A18" s="2" t="s">
        <v>95</v>
      </c>
      <c r="B18" s="2">
        <f>IFERROR(INDEX('01_Компании'!$B$4:$B$103,MATCH(A18,'01_Компании'!$A$4:$A$103,0)),"")</f>
        <v>0</v>
      </c>
      <c r="C18" s="2">
        <f>IFERROR(INDEX('01_Компании'!$C$4:$C$103,MATCH(A18,'01_Компании'!$A$4:$A$103,0)),"")</f>
        <v>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6" t="str">
        <f>IF(COUNTA(D18:M18)=0,"",MMULT(D18:M18,'03_Критерии'!$E$4:$E$13)/SUM('03_Критерии'!$E$4:$E$13))</f>
        <v/>
      </c>
      <c r="O18" s="2" t="str">
        <f t="shared" si="0"/>
        <v/>
      </c>
      <c r="P18" s="2" t="str">
        <f t="shared" si="1"/>
        <v/>
      </c>
      <c r="Q18" s="2"/>
      <c r="R18" s="2" t="str">
        <f t="shared" si="2"/>
        <v/>
      </c>
      <c r="S18" s="2"/>
      <c r="T18" s="2"/>
      <c r="U18" s="2"/>
      <c r="V18" s="5"/>
    </row>
    <row r="19" spans="1:22">
      <c r="A19" s="2" t="s">
        <v>96</v>
      </c>
      <c r="B19" s="2">
        <f>IFERROR(INDEX('01_Компании'!$B$4:$B$103,MATCH(A19,'01_Компании'!$A$4:$A$103,0)),"")</f>
        <v>0</v>
      </c>
      <c r="C19" s="2">
        <f>IFERROR(INDEX('01_Компании'!$C$4:$C$103,MATCH(A19,'01_Компании'!$A$4:$A$103,0)),"")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6" t="str">
        <f>IF(COUNTA(D19:M19)=0,"",MMULT(D19:M19,'03_Критерии'!$E$4:$E$13)/SUM('03_Критерии'!$E$4:$E$13))</f>
        <v/>
      </c>
      <c r="O19" s="2" t="str">
        <f t="shared" si="0"/>
        <v/>
      </c>
      <c r="P19" s="2" t="str">
        <f t="shared" si="1"/>
        <v/>
      </c>
      <c r="Q19" s="2"/>
      <c r="R19" s="2" t="str">
        <f t="shared" si="2"/>
        <v/>
      </c>
      <c r="S19" s="2"/>
      <c r="T19" s="2"/>
      <c r="U19" s="2"/>
      <c r="V19" s="5"/>
    </row>
    <row r="20" spans="1:22">
      <c r="A20" s="2" t="s">
        <v>97</v>
      </c>
      <c r="B20" s="2">
        <f>IFERROR(INDEX('01_Компании'!$B$4:$B$103,MATCH(A20,'01_Компании'!$A$4:$A$103,0)),"")</f>
        <v>0</v>
      </c>
      <c r="C20" s="2">
        <f>IFERROR(INDEX('01_Компании'!$C$4:$C$103,MATCH(A20,'01_Компании'!$A$4:$A$103,0)),"")</f>
        <v>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6" t="str">
        <f>IF(COUNTA(D20:M20)=0,"",MMULT(D20:M20,'03_Критерии'!$E$4:$E$13)/SUM('03_Критерии'!$E$4:$E$13))</f>
        <v/>
      </c>
      <c r="O20" s="2" t="str">
        <f t="shared" si="0"/>
        <v/>
      </c>
      <c r="P20" s="2" t="str">
        <f t="shared" si="1"/>
        <v/>
      </c>
      <c r="Q20" s="2"/>
      <c r="R20" s="2" t="str">
        <f t="shared" si="2"/>
        <v/>
      </c>
      <c r="S20" s="2"/>
      <c r="T20" s="2"/>
      <c r="U20" s="2"/>
      <c r="V20" s="5"/>
    </row>
    <row r="21" spans="1:22">
      <c r="A21" s="2" t="s">
        <v>98</v>
      </c>
      <c r="B21" s="2">
        <f>IFERROR(INDEX('01_Компании'!$B$4:$B$103,MATCH(A21,'01_Компании'!$A$4:$A$103,0)),"")</f>
        <v>0</v>
      </c>
      <c r="C21" s="2">
        <f>IFERROR(INDEX('01_Компании'!$C$4:$C$103,MATCH(A21,'01_Компании'!$A$4:$A$103,0)),"")</f>
        <v>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6" t="str">
        <f>IF(COUNTA(D21:M21)=0,"",MMULT(D21:M21,'03_Критерии'!$E$4:$E$13)/SUM('03_Критерии'!$E$4:$E$13))</f>
        <v/>
      </c>
      <c r="O21" s="2" t="str">
        <f t="shared" si="0"/>
        <v/>
      </c>
      <c r="P21" s="2" t="str">
        <f t="shared" si="1"/>
        <v/>
      </c>
      <c r="Q21" s="2"/>
      <c r="R21" s="2" t="str">
        <f t="shared" si="2"/>
        <v/>
      </c>
      <c r="S21" s="2"/>
      <c r="T21" s="2"/>
      <c r="U21" s="2"/>
      <c r="V21" s="5"/>
    </row>
    <row r="22" spans="1:22">
      <c r="A22" s="2" t="s">
        <v>99</v>
      </c>
      <c r="B22" s="2">
        <f>IFERROR(INDEX('01_Компании'!$B$4:$B$103,MATCH(A22,'01_Компании'!$A$4:$A$103,0)),"")</f>
        <v>0</v>
      </c>
      <c r="C22" s="2">
        <f>IFERROR(INDEX('01_Компании'!$C$4:$C$103,MATCH(A22,'01_Компании'!$A$4:$A$103,0)),"")</f>
        <v>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6" t="str">
        <f>IF(COUNTA(D22:M22)=0,"",MMULT(D22:M22,'03_Критерии'!$E$4:$E$13)/SUM('03_Критерии'!$E$4:$E$13))</f>
        <v/>
      </c>
      <c r="O22" s="2" t="str">
        <f t="shared" si="0"/>
        <v/>
      </c>
      <c r="P22" s="2" t="str">
        <f t="shared" si="1"/>
        <v/>
      </c>
      <c r="Q22" s="2"/>
      <c r="R22" s="2" t="str">
        <f t="shared" si="2"/>
        <v/>
      </c>
      <c r="S22" s="2"/>
      <c r="T22" s="2"/>
      <c r="U22" s="2"/>
      <c r="V22" s="5"/>
    </row>
    <row r="23" spans="1:22">
      <c r="A23" s="2" t="s">
        <v>100</v>
      </c>
      <c r="B23" s="2">
        <f>IFERROR(INDEX('01_Компании'!$B$4:$B$103,MATCH(A23,'01_Компании'!$A$4:$A$103,0)),"")</f>
        <v>0</v>
      </c>
      <c r="C23" s="2">
        <f>IFERROR(INDEX('01_Компании'!$C$4:$C$103,MATCH(A23,'01_Компании'!$A$4:$A$103,0)),"")</f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6" t="str">
        <f>IF(COUNTA(D23:M23)=0,"",MMULT(D23:M23,'03_Критерии'!$E$4:$E$13)/SUM('03_Критерии'!$E$4:$E$13))</f>
        <v/>
      </c>
      <c r="O23" s="2" t="str">
        <f t="shared" si="0"/>
        <v/>
      </c>
      <c r="P23" s="2" t="str">
        <f t="shared" si="1"/>
        <v/>
      </c>
      <c r="Q23" s="2"/>
      <c r="R23" s="2" t="str">
        <f t="shared" si="2"/>
        <v/>
      </c>
      <c r="S23" s="2"/>
      <c r="T23" s="2"/>
      <c r="U23" s="2"/>
      <c r="V23" s="5"/>
    </row>
    <row r="24" spans="1:22">
      <c r="A24" s="2" t="s">
        <v>101</v>
      </c>
      <c r="B24" s="2">
        <f>IFERROR(INDEX('01_Компании'!$B$4:$B$103,MATCH(A24,'01_Компании'!$A$4:$A$103,0)),"")</f>
        <v>0</v>
      </c>
      <c r="C24" s="2">
        <f>IFERROR(INDEX('01_Компании'!$C$4:$C$103,MATCH(A24,'01_Компании'!$A$4:$A$103,0)),"")</f>
        <v>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6" t="str">
        <f>IF(COUNTA(D24:M24)=0,"",MMULT(D24:M24,'03_Критерии'!$E$4:$E$13)/SUM('03_Критерии'!$E$4:$E$13))</f>
        <v/>
      </c>
      <c r="O24" s="2" t="str">
        <f t="shared" si="0"/>
        <v/>
      </c>
      <c r="P24" s="2" t="str">
        <f t="shared" si="1"/>
        <v/>
      </c>
      <c r="Q24" s="2"/>
      <c r="R24" s="2" t="str">
        <f t="shared" si="2"/>
        <v/>
      </c>
      <c r="S24" s="2"/>
      <c r="T24" s="2"/>
      <c r="U24" s="2"/>
      <c r="V24" s="5"/>
    </row>
    <row r="25" spans="1:22">
      <c r="A25" s="2" t="s">
        <v>102</v>
      </c>
      <c r="B25" s="2">
        <f>IFERROR(INDEX('01_Компании'!$B$4:$B$103,MATCH(A25,'01_Компании'!$A$4:$A$103,0)),"")</f>
        <v>0</v>
      </c>
      <c r="C25" s="2">
        <f>IFERROR(INDEX('01_Компании'!$C$4:$C$103,MATCH(A25,'01_Компании'!$A$4:$A$103,0)),"")</f>
        <v>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6" t="str">
        <f>IF(COUNTA(D25:M25)=0,"",MMULT(D25:M25,'03_Критерии'!$E$4:$E$13)/SUM('03_Критерии'!$E$4:$E$13))</f>
        <v/>
      </c>
      <c r="O25" s="2" t="str">
        <f t="shared" si="0"/>
        <v/>
      </c>
      <c r="P25" s="2" t="str">
        <f t="shared" si="1"/>
        <v/>
      </c>
      <c r="Q25" s="2"/>
      <c r="R25" s="2" t="str">
        <f t="shared" si="2"/>
        <v/>
      </c>
      <c r="S25" s="2"/>
      <c r="T25" s="2"/>
      <c r="U25" s="2"/>
      <c r="V25" s="5"/>
    </row>
    <row r="26" spans="1:22">
      <c r="A26" s="2" t="s">
        <v>103</v>
      </c>
      <c r="B26" s="2">
        <f>IFERROR(INDEX('01_Компании'!$B$4:$B$103,MATCH(A26,'01_Компании'!$A$4:$A$103,0)),"")</f>
        <v>0</v>
      </c>
      <c r="C26" s="2">
        <f>IFERROR(INDEX('01_Компании'!$C$4:$C$103,MATCH(A26,'01_Компании'!$A$4:$A$103,0)),"")</f>
        <v>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6" t="str">
        <f>IF(COUNTA(D26:M26)=0,"",MMULT(D26:M26,'03_Критерии'!$E$4:$E$13)/SUM('03_Критерии'!$E$4:$E$13))</f>
        <v/>
      </c>
      <c r="O26" s="2" t="str">
        <f t="shared" si="0"/>
        <v/>
      </c>
      <c r="P26" s="2" t="str">
        <f t="shared" si="1"/>
        <v/>
      </c>
      <c r="Q26" s="2"/>
      <c r="R26" s="2" t="str">
        <f t="shared" si="2"/>
        <v/>
      </c>
      <c r="S26" s="2"/>
      <c r="T26" s="2"/>
      <c r="U26" s="2"/>
      <c r="V26" s="5"/>
    </row>
    <row r="27" spans="1:22">
      <c r="A27" s="2" t="s">
        <v>104</v>
      </c>
      <c r="B27" s="2">
        <f>IFERROR(INDEX('01_Компании'!$B$4:$B$103,MATCH(A27,'01_Компании'!$A$4:$A$103,0)),"")</f>
        <v>0</v>
      </c>
      <c r="C27" s="2">
        <f>IFERROR(INDEX('01_Компании'!$C$4:$C$103,MATCH(A27,'01_Компании'!$A$4:$A$103,0)),"")</f>
        <v>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6" t="str">
        <f>IF(COUNTA(D27:M27)=0,"",MMULT(D27:M27,'03_Критерии'!$E$4:$E$13)/SUM('03_Критерии'!$E$4:$E$13))</f>
        <v/>
      </c>
      <c r="O27" s="2" t="str">
        <f t="shared" si="0"/>
        <v/>
      </c>
      <c r="P27" s="2" t="str">
        <f t="shared" si="1"/>
        <v/>
      </c>
      <c r="Q27" s="2"/>
      <c r="R27" s="2" t="str">
        <f t="shared" si="2"/>
        <v/>
      </c>
      <c r="S27" s="2"/>
      <c r="T27" s="2"/>
      <c r="U27" s="2"/>
      <c r="V27" s="5"/>
    </row>
    <row r="28" spans="1:22">
      <c r="A28" s="2" t="s">
        <v>105</v>
      </c>
      <c r="B28" s="2">
        <f>IFERROR(INDEX('01_Компании'!$B$4:$B$103,MATCH(A28,'01_Компании'!$A$4:$A$103,0)),"")</f>
        <v>0</v>
      </c>
      <c r="C28" s="2">
        <f>IFERROR(INDEX('01_Компании'!$C$4:$C$103,MATCH(A28,'01_Компании'!$A$4:$A$103,0)),"")</f>
        <v>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6" t="str">
        <f>IF(COUNTA(D28:M28)=0,"",MMULT(D28:M28,'03_Критерии'!$E$4:$E$13)/SUM('03_Критерии'!$E$4:$E$13))</f>
        <v/>
      </c>
      <c r="O28" s="2" t="str">
        <f t="shared" si="0"/>
        <v/>
      </c>
      <c r="P28" s="2" t="str">
        <f t="shared" si="1"/>
        <v/>
      </c>
      <c r="Q28" s="2"/>
      <c r="R28" s="2" t="str">
        <f t="shared" si="2"/>
        <v/>
      </c>
      <c r="S28" s="2"/>
      <c r="T28" s="2"/>
      <c r="U28" s="2"/>
      <c r="V28" s="5"/>
    </row>
    <row r="29" spans="1:22">
      <c r="A29" s="2" t="s">
        <v>106</v>
      </c>
      <c r="B29" s="2">
        <f>IFERROR(INDEX('01_Компании'!$B$4:$B$103,MATCH(A29,'01_Компании'!$A$4:$A$103,0)),"")</f>
        <v>0</v>
      </c>
      <c r="C29" s="2">
        <f>IFERROR(INDEX('01_Компании'!$C$4:$C$103,MATCH(A29,'01_Компании'!$A$4:$A$103,0)),"")</f>
        <v>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6" t="str">
        <f>IF(COUNTA(D29:M29)=0,"",MMULT(D29:M29,'03_Критерии'!$E$4:$E$13)/SUM('03_Критерии'!$E$4:$E$13))</f>
        <v/>
      </c>
      <c r="O29" s="2" t="str">
        <f t="shared" si="0"/>
        <v/>
      </c>
      <c r="P29" s="2" t="str">
        <f t="shared" si="1"/>
        <v/>
      </c>
      <c r="Q29" s="2"/>
      <c r="R29" s="2" t="str">
        <f t="shared" si="2"/>
        <v/>
      </c>
      <c r="S29" s="2"/>
      <c r="T29" s="2"/>
      <c r="U29" s="2"/>
      <c r="V29" s="5"/>
    </row>
    <row r="30" spans="1:22">
      <c r="A30" s="2" t="s">
        <v>107</v>
      </c>
      <c r="B30" s="2">
        <f>IFERROR(INDEX('01_Компании'!$B$4:$B$103,MATCH(A30,'01_Компании'!$A$4:$A$103,0)),"")</f>
        <v>0</v>
      </c>
      <c r="C30" s="2">
        <f>IFERROR(INDEX('01_Компании'!$C$4:$C$103,MATCH(A30,'01_Компании'!$A$4:$A$103,0)),"")</f>
        <v>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6" t="str">
        <f>IF(COUNTA(D30:M30)=0,"",MMULT(D30:M30,'03_Критерии'!$E$4:$E$13)/SUM('03_Критерии'!$E$4:$E$13))</f>
        <v/>
      </c>
      <c r="O30" s="2" t="str">
        <f t="shared" si="0"/>
        <v/>
      </c>
      <c r="P30" s="2" t="str">
        <f t="shared" si="1"/>
        <v/>
      </c>
      <c r="Q30" s="2"/>
      <c r="R30" s="2" t="str">
        <f t="shared" si="2"/>
        <v/>
      </c>
      <c r="S30" s="2"/>
      <c r="T30" s="2"/>
      <c r="U30" s="2"/>
      <c r="V30" s="5"/>
    </row>
    <row r="31" spans="1:22">
      <c r="A31" s="2" t="s">
        <v>108</v>
      </c>
      <c r="B31" s="2">
        <f>IFERROR(INDEX('01_Компании'!$B$4:$B$103,MATCH(A31,'01_Компании'!$A$4:$A$103,0)),"")</f>
        <v>0</v>
      </c>
      <c r="C31" s="2">
        <f>IFERROR(INDEX('01_Компании'!$C$4:$C$103,MATCH(A31,'01_Компании'!$A$4:$A$103,0)),"")</f>
        <v>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6" t="str">
        <f>IF(COUNTA(D31:M31)=0,"",MMULT(D31:M31,'03_Критерии'!$E$4:$E$13)/SUM('03_Критерии'!$E$4:$E$13))</f>
        <v/>
      </c>
      <c r="O31" s="2" t="str">
        <f t="shared" si="0"/>
        <v/>
      </c>
      <c r="P31" s="2" t="str">
        <f t="shared" si="1"/>
        <v/>
      </c>
      <c r="Q31" s="2"/>
      <c r="R31" s="2" t="str">
        <f t="shared" si="2"/>
        <v/>
      </c>
      <c r="S31" s="2"/>
      <c r="T31" s="2"/>
      <c r="U31" s="2"/>
      <c r="V31" s="5"/>
    </row>
    <row r="32" spans="1:22">
      <c r="A32" s="2" t="s">
        <v>109</v>
      </c>
      <c r="B32" s="2">
        <f>IFERROR(INDEX('01_Компании'!$B$4:$B$103,MATCH(A32,'01_Компании'!$A$4:$A$103,0)),"")</f>
        <v>0</v>
      </c>
      <c r="C32" s="2">
        <f>IFERROR(INDEX('01_Компании'!$C$4:$C$103,MATCH(A32,'01_Компании'!$A$4:$A$103,0)),"")</f>
        <v>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6" t="str">
        <f>IF(COUNTA(D32:M32)=0,"",MMULT(D32:M32,'03_Критерии'!$E$4:$E$13)/SUM('03_Критерии'!$E$4:$E$13))</f>
        <v/>
      </c>
      <c r="O32" s="2" t="str">
        <f t="shared" si="0"/>
        <v/>
      </c>
      <c r="P32" s="2" t="str">
        <f t="shared" si="1"/>
        <v/>
      </c>
      <c r="Q32" s="2"/>
      <c r="R32" s="2" t="str">
        <f t="shared" si="2"/>
        <v/>
      </c>
      <c r="S32" s="2"/>
      <c r="T32" s="2"/>
      <c r="U32" s="2"/>
      <c r="V32" s="5"/>
    </row>
    <row r="33" spans="1:22">
      <c r="A33" s="2" t="s">
        <v>110</v>
      </c>
      <c r="B33" s="2">
        <f>IFERROR(INDEX('01_Компании'!$B$4:$B$103,MATCH(A33,'01_Компании'!$A$4:$A$103,0)),"")</f>
        <v>0</v>
      </c>
      <c r="C33" s="2">
        <f>IFERROR(INDEX('01_Компании'!$C$4:$C$103,MATCH(A33,'01_Компании'!$A$4:$A$103,0)),"")</f>
        <v>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6" t="str">
        <f>IF(COUNTA(D33:M33)=0,"",MMULT(D33:M33,'03_Критерии'!$E$4:$E$13)/SUM('03_Критерии'!$E$4:$E$13))</f>
        <v/>
      </c>
      <c r="O33" s="2" t="str">
        <f t="shared" si="0"/>
        <v/>
      </c>
      <c r="P33" s="2" t="str">
        <f t="shared" si="1"/>
        <v/>
      </c>
      <c r="Q33" s="2"/>
      <c r="R33" s="2" t="str">
        <f t="shared" si="2"/>
        <v/>
      </c>
      <c r="S33" s="2"/>
      <c r="T33" s="2"/>
      <c r="U33" s="2"/>
      <c r="V33" s="5"/>
    </row>
    <row r="34" spans="1:22">
      <c r="A34" s="2" t="s">
        <v>111</v>
      </c>
      <c r="B34" s="2">
        <f>IFERROR(INDEX('01_Компании'!$B$4:$B$103,MATCH(A34,'01_Компании'!$A$4:$A$103,0)),"")</f>
        <v>0</v>
      </c>
      <c r="C34" s="2">
        <f>IFERROR(INDEX('01_Компании'!$C$4:$C$103,MATCH(A34,'01_Компании'!$A$4:$A$103,0)),"")</f>
        <v>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6" t="str">
        <f>IF(COUNTA(D34:M34)=0,"",MMULT(D34:M34,'03_Критерии'!$E$4:$E$13)/SUM('03_Критерии'!$E$4:$E$13))</f>
        <v/>
      </c>
      <c r="O34" s="2" t="str">
        <f t="shared" si="0"/>
        <v/>
      </c>
      <c r="P34" s="2" t="str">
        <f t="shared" si="1"/>
        <v/>
      </c>
      <c r="Q34" s="2"/>
      <c r="R34" s="2" t="str">
        <f t="shared" si="2"/>
        <v/>
      </c>
      <c r="S34" s="2"/>
      <c r="T34" s="2"/>
      <c r="U34" s="2"/>
      <c r="V34" s="5"/>
    </row>
    <row r="35" spans="1:22">
      <c r="A35" s="2" t="s">
        <v>112</v>
      </c>
      <c r="B35" s="2">
        <f>IFERROR(INDEX('01_Компании'!$B$4:$B$103,MATCH(A35,'01_Компании'!$A$4:$A$103,0)),"")</f>
        <v>0</v>
      </c>
      <c r="C35" s="2">
        <f>IFERROR(INDEX('01_Компании'!$C$4:$C$103,MATCH(A35,'01_Компании'!$A$4:$A$103,0)),"")</f>
        <v>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6" t="str">
        <f>IF(COUNTA(D35:M35)=0,"",MMULT(D35:M35,'03_Критерии'!$E$4:$E$13)/SUM('03_Критерии'!$E$4:$E$13))</f>
        <v/>
      </c>
      <c r="O35" s="2" t="str">
        <f t="shared" si="0"/>
        <v/>
      </c>
      <c r="P35" s="2" t="str">
        <f t="shared" si="1"/>
        <v/>
      </c>
      <c r="Q35" s="2"/>
      <c r="R35" s="2" t="str">
        <f t="shared" si="2"/>
        <v/>
      </c>
      <c r="S35" s="2"/>
      <c r="T35" s="2"/>
      <c r="U35" s="2"/>
      <c r="V35" s="5"/>
    </row>
    <row r="36" spans="1:22">
      <c r="A36" s="2" t="s">
        <v>113</v>
      </c>
      <c r="B36" s="2">
        <f>IFERROR(INDEX('01_Компании'!$B$4:$B$103,MATCH(A36,'01_Компании'!$A$4:$A$103,0)),"")</f>
        <v>0</v>
      </c>
      <c r="C36" s="2">
        <f>IFERROR(INDEX('01_Компании'!$C$4:$C$103,MATCH(A36,'01_Компании'!$A$4:$A$103,0)),"")</f>
        <v>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6" t="str">
        <f>IF(COUNTA(D36:M36)=0,"",MMULT(D36:M36,'03_Критерии'!$E$4:$E$13)/SUM('03_Критерии'!$E$4:$E$13))</f>
        <v/>
      </c>
      <c r="O36" s="2" t="str">
        <f t="shared" ref="O36:O67" si="3">IF(N36="","",IF(COUNTA(D36:M36)&lt;6,"Недостаточно данных",IF(D36&lt;3,"Низкое совпадение задачи",IF(F36&lt;3,"Низкая товарная заменяемость","Нет"))))</f>
        <v/>
      </c>
      <c r="P36" s="2" t="str">
        <f t="shared" ref="P36:P67" si="4">IF(N36="","",IF(O36="Недостаточно данных","Недостаточно данных",IF(OR(D36&lt;3,F36&lt;3),IF(N36&gt;=2.5,"Косвенный конкурент / заменитель",IF(N36&gt;=1.6,"Смежная или потенциальная конкуренция","Не конкурент / объект наблюдения")),IF(N36&gt;=4.2,"Прямой конкурент",IF(N36&gt;=3.4,"Близкий альтернативный конкурент",IF(N36&gt;=2.5,"Косвенный конкурент / заменитель",IF(N36&gt;=1.6,"Смежная или потенциальная конкуренция","Не конкурент / объект наблюдения")))))))</f>
        <v/>
      </c>
      <c r="Q36" s="2"/>
      <c r="R36" s="2" t="str">
        <f t="shared" ref="R36:R67" si="5">IF(Q36="",P36,Q36)</f>
        <v/>
      </c>
      <c r="S36" s="2"/>
      <c r="T36" s="2"/>
      <c r="U36" s="2"/>
      <c r="V36" s="5"/>
    </row>
    <row r="37" spans="1:22">
      <c r="A37" s="2" t="s">
        <v>114</v>
      </c>
      <c r="B37" s="2">
        <f>IFERROR(INDEX('01_Компании'!$B$4:$B$103,MATCH(A37,'01_Компании'!$A$4:$A$103,0)),"")</f>
        <v>0</v>
      </c>
      <c r="C37" s="2">
        <f>IFERROR(INDEX('01_Компании'!$C$4:$C$103,MATCH(A37,'01_Компании'!$A$4:$A$103,0)),"")</f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6" t="str">
        <f>IF(COUNTA(D37:M37)=0,"",MMULT(D37:M37,'03_Критерии'!$E$4:$E$13)/SUM('03_Критерии'!$E$4:$E$13))</f>
        <v/>
      </c>
      <c r="O37" s="2" t="str">
        <f t="shared" si="3"/>
        <v/>
      </c>
      <c r="P37" s="2" t="str">
        <f t="shared" si="4"/>
        <v/>
      </c>
      <c r="Q37" s="2"/>
      <c r="R37" s="2" t="str">
        <f t="shared" si="5"/>
        <v/>
      </c>
      <c r="S37" s="2"/>
      <c r="T37" s="2"/>
      <c r="U37" s="2"/>
      <c r="V37" s="5"/>
    </row>
    <row r="38" spans="1:22">
      <c r="A38" s="2" t="s">
        <v>115</v>
      </c>
      <c r="B38" s="2">
        <f>IFERROR(INDEX('01_Компании'!$B$4:$B$103,MATCH(A38,'01_Компании'!$A$4:$A$103,0)),"")</f>
        <v>0</v>
      </c>
      <c r="C38" s="2">
        <f>IFERROR(INDEX('01_Компании'!$C$4:$C$103,MATCH(A38,'01_Компании'!$A$4:$A$103,0)),"")</f>
        <v>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6" t="str">
        <f>IF(COUNTA(D38:M38)=0,"",MMULT(D38:M38,'03_Критерии'!$E$4:$E$13)/SUM('03_Критерии'!$E$4:$E$13))</f>
        <v/>
      </c>
      <c r="O38" s="2" t="str">
        <f t="shared" si="3"/>
        <v/>
      </c>
      <c r="P38" s="2" t="str">
        <f t="shared" si="4"/>
        <v/>
      </c>
      <c r="Q38" s="2"/>
      <c r="R38" s="2" t="str">
        <f t="shared" si="5"/>
        <v/>
      </c>
      <c r="S38" s="2"/>
      <c r="T38" s="2"/>
      <c r="U38" s="2"/>
      <c r="V38" s="5"/>
    </row>
    <row r="39" spans="1:22">
      <c r="A39" s="2" t="s">
        <v>116</v>
      </c>
      <c r="B39" s="2">
        <f>IFERROR(INDEX('01_Компании'!$B$4:$B$103,MATCH(A39,'01_Компании'!$A$4:$A$103,0)),"")</f>
        <v>0</v>
      </c>
      <c r="C39" s="2">
        <f>IFERROR(INDEX('01_Компании'!$C$4:$C$103,MATCH(A39,'01_Компании'!$A$4:$A$103,0)),"")</f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6" t="str">
        <f>IF(COUNTA(D39:M39)=0,"",MMULT(D39:M39,'03_Критерии'!$E$4:$E$13)/SUM('03_Критерии'!$E$4:$E$13))</f>
        <v/>
      </c>
      <c r="O39" s="2" t="str">
        <f t="shared" si="3"/>
        <v/>
      </c>
      <c r="P39" s="2" t="str">
        <f t="shared" si="4"/>
        <v/>
      </c>
      <c r="Q39" s="2"/>
      <c r="R39" s="2" t="str">
        <f t="shared" si="5"/>
        <v/>
      </c>
      <c r="S39" s="2"/>
      <c r="T39" s="2"/>
      <c r="U39" s="2"/>
      <c r="V39" s="5"/>
    </row>
    <row r="40" spans="1:22">
      <c r="A40" s="2" t="s">
        <v>117</v>
      </c>
      <c r="B40" s="2">
        <f>IFERROR(INDEX('01_Компании'!$B$4:$B$103,MATCH(A40,'01_Компании'!$A$4:$A$103,0)),"")</f>
        <v>0</v>
      </c>
      <c r="C40" s="2">
        <f>IFERROR(INDEX('01_Компании'!$C$4:$C$103,MATCH(A40,'01_Компании'!$A$4:$A$103,0)),"")</f>
        <v>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6" t="str">
        <f>IF(COUNTA(D40:M40)=0,"",MMULT(D40:M40,'03_Критерии'!$E$4:$E$13)/SUM('03_Критерии'!$E$4:$E$13))</f>
        <v/>
      </c>
      <c r="O40" s="2" t="str">
        <f t="shared" si="3"/>
        <v/>
      </c>
      <c r="P40" s="2" t="str">
        <f t="shared" si="4"/>
        <v/>
      </c>
      <c r="Q40" s="2"/>
      <c r="R40" s="2" t="str">
        <f t="shared" si="5"/>
        <v/>
      </c>
      <c r="S40" s="2"/>
      <c r="T40" s="2"/>
      <c r="U40" s="2"/>
      <c r="V40" s="5"/>
    </row>
    <row r="41" spans="1:22">
      <c r="A41" s="2" t="s">
        <v>118</v>
      </c>
      <c r="B41" s="2">
        <f>IFERROR(INDEX('01_Компании'!$B$4:$B$103,MATCH(A41,'01_Компании'!$A$4:$A$103,0)),"")</f>
        <v>0</v>
      </c>
      <c r="C41" s="2">
        <f>IFERROR(INDEX('01_Компании'!$C$4:$C$103,MATCH(A41,'01_Компании'!$A$4:$A$103,0)),"")</f>
        <v>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6" t="str">
        <f>IF(COUNTA(D41:M41)=0,"",MMULT(D41:M41,'03_Критерии'!$E$4:$E$13)/SUM('03_Критерии'!$E$4:$E$13))</f>
        <v/>
      </c>
      <c r="O41" s="2" t="str">
        <f t="shared" si="3"/>
        <v/>
      </c>
      <c r="P41" s="2" t="str">
        <f t="shared" si="4"/>
        <v/>
      </c>
      <c r="Q41" s="2"/>
      <c r="R41" s="2" t="str">
        <f t="shared" si="5"/>
        <v/>
      </c>
      <c r="S41" s="2"/>
      <c r="T41" s="2"/>
      <c r="U41" s="2"/>
      <c r="V41" s="5"/>
    </row>
    <row r="42" spans="1:22">
      <c r="A42" s="2" t="s">
        <v>119</v>
      </c>
      <c r="B42" s="2">
        <f>IFERROR(INDEX('01_Компании'!$B$4:$B$103,MATCH(A42,'01_Компании'!$A$4:$A$103,0)),"")</f>
        <v>0</v>
      </c>
      <c r="C42" s="2">
        <f>IFERROR(INDEX('01_Компании'!$C$4:$C$103,MATCH(A42,'01_Компании'!$A$4:$A$103,0)),"")</f>
        <v>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6" t="str">
        <f>IF(COUNTA(D42:M42)=0,"",MMULT(D42:M42,'03_Критерии'!$E$4:$E$13)/SUM('03_Критерии'!$E$4:$E$13))</f>
        <v/>
      </c>
      <c r="O42" s="2" t="str">
        <f t="shared" si="3"/>
        <v/>
      </c>
      <c r="P42" s="2" t="str">
        <f t="shared" si="4"/>
        <v/>
      </c>
      <c r="Q42" s="2"/>
      <c r="R42" s="2" t="str">
        <f t="shared" si="5"/>
        <v/>
      </c>
      <c r="S42" s="2"/>
      <c r="T42" s="2"/>
      <c r="U42" s="2"/>
      <c r="V42" s="5"/>
    </row>
    <row r="43" spans="1:22">
      <c r="A43" s="2" t="s">
        <v>120</v>
      </c>
      <c r="B43" s="2">
        <f>IFERROR(INDEX('01_Компании'!$B$4:$B$103,MATCH(A43,'01_Компании'!$A$4:$A$103,0)),"")</f>
        <v>0</v>
      </c>
      <c r="C43" s="2">
        <f>IFERROR(INDEX('01_Компании'!$C$4:$C$103,MATCH(A43,'01_Компании'!$A$4:$A$103,0)),"")</f>
        <v>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6" t="str">
        <f>IF(COUNTA(D43:M43)=0,"",MMULT(D43:M43,'03_Критерии'!$E$4:$E$13)/SUM('03_Критерии'!$E$4:$E$13))</f>
        <v/>
      </c>
      <c r="O43" s="2" t="str">
        <f t="shared" si="3"/>
        <v/>
      </c>
      <c r="P43" s="2" t="str">
        <f t="shared" si="4"/>
        <v/>
      </c>
      <c r="Q43" s="2"/>
      <c r="R43" s="2" t="str">
        <f t="shared" si="5"/>
        <v/>
      </c>
      <c r="S43" s="2"/>
      <c r="T43" s="2"/>
      <c r="U43" s="2"/>
      <c r="V43" s="5"/>
    </row>
    <row r="44" spans="1:22">
      <c r="A44" s="2" t="s">
        <v>121</v>
      </c>
      <c r="B44" s="2">
        <f>IFERROR(INDEX('01_Компании'!$B$4:$B$103,MATCH(A44,'01_Компании'!$A$4:$A$103,0)),"")</f>
        <v>0</v>
      </c>
      <c r="C44" s="2">
        <f>IFERROR(INDEX('01_Компании'!$C$4:$C$103,MATCH(A44,'01_Компании'!$A$4:$A$103,0)),"")</f>
        <v>0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6" t="str">
        <f>IF(COUNTA(D44:M44)=0,"",MMULT(D44:M44,'03_Критерии'!$E$4:$E$13)/SUM('03_Критерии'!$E$4:$E$13))</f>
        <v/>
      </c>
      <c r="O44" s="2" t="str">
        <f t="shared" si="3"/>
        <v/>
      </c>
      <c r="P44" s="2" t="str">
        <f t="shared" si="4"/>
        <v/>
      </c>
      <c r="Q44" s="2"/>
      <c r="R44" s="2" t="str">
        <f t="shared" si="5"/>
        <v/>
      </c>
      <c r="S44" s="2"/>
      <c r="T44" s="2"/>
      <c r="U44" s="2"/>
      <c r="V44" s="5"/>
    </row>
    <row r="45" spans="1:22">
      <c r="A45" s="2" t="s">
        <v>122</v>
      </c>
      <c r="B45" s="2">
        <f>IFERROR(INDEX('01_Компании'!$B$4:$B$103,MATCH(A45,'01_Компании'!$A$4:$A$103,0)),"")</f>
        <v>0</v>
      </c>
      <c r="C45" s="2">
        <f>IFERROR(INDEX('01_Компании'!$C$4:$C$103,MATCH(A45,'01_Компании'!$A$4:$A$103,0)),"")</f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6" t="str">
        <f>IF(COUNTA(D45:M45)=0,"",MMULT(D45:M45,'03_Критерии'!$E$4:$E$13)/SUM('03_Критерии'!$E$4:$E$13))</f>
        <v/>
      </c>
      <c r="O45" s="2" t="str">
        <f t="shared" si="3"/>
        <v/>
      </c>
      <c r="P45" s="2" t="str">
        <f t="shared" si="4"/>
        <v/>
      </c>
      <c r="Q45" s="2"/>
      <c r="R45" s="2" t="str">
        <f t="shared" si="5"/>
        <v/>
      </c>
      <c r="S45" s="2"/>
      <c r="T45" s="2"/>
      <c r="U45" s="2"/>
      <c r="V45" s="5"/>
    </row>
    <row r="46" spans="1:22">
      <c r="A46" s="2" t="s">
        <v>123</v>
      </c>
      <c r="B46" s="2">
        <f>IFERROR(INDEX('01_Компании'!$B$4:$B$103,MATCH(A46,'01_Компании'!$A$4:$A$103,0)),"")</f>
        <v>0</v>
      </c>
      <c r="C46" s="2">
        <f>IFERROR(INDEX('01_Компании'!$C$4:$C$103,MATCH(A46,'01_Компании'!$A$4:$A$103,0)),"")</f>
        <v>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6" t="str">
        <f>IF(COUNTA(D46:M46)=0,"",MMULT(D46:M46,'03_Критерии'!$E$4:$E$13)/SUM('03_Критерии'!$E$4:$E$13))</f>
        <v/>
      </c>
      <c r="O46" s="2" t="str">
        <f t="shared" si="3"/>
        <v/>
      </c>
      <c r="P46" s="2" t="str">
        <f t="shared" si="4"/>
        <v/>
      </c>
      <c r="Q46" s="2"/>
      <c r="R46" s="2" t="str">
        <f t="shared" si="5"/>
        <v/>
      </c>
      <c r="S46" s="2"/>
      <c r="T46" s="2"/>
      <c r="U46" s="2"/>
      <c r="V46" s="5"/>
    </row>
    <row r="47" spans="1:22">
      <c r="A47" s="2" t="s">
        <v>124</v>
      </c>
      <c r="B47" s="2">
        <f>IFERROR(INDEX('01_Компании'!$B$4:$B$103,MATCH(A47,'01_Компании'!$A$4:$A$103,0)),"")</f>
        <v>0</v>
      </c>
      <c r="C47" s="2">
        <f>IFERROR(INDEX('01_Компании'!$C$4:$C$103,MATCH(A47,'01_Компании'!$A$4:$A$103,0)),"")</f>
        <v>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6" t="str">
        <f>IF(COUNTA(D47:M47)=0,"",MMULT(D47:M47,'03_Критерии'!$E$4:$E$13)/SUM('03_Критерии'!$E$4:$E$13))</f>
        <v/>
      </c>
      <c r="O47" s="2" t="str">
        <f t="shared" si="3"/>
        <v/>
      </c>
      <c r="P47" s="2" t="str">
        <f t="shared" si="4"/>
        <v/>
      </c>
      <c r="Q47" s="2"/>
      <c r="R47" s="2" t="str">
        <f t="shared" si="5"/>
        <v/>
      </c>
      <c r="S47" s="2"/>
      <c r="T47" s="2"/>
      <c r="U47" s="2"/>
      <c r="V47" s="5"/>
    </row>
    <row r="48" spans="1:22">
      <c r="A48" s="2" t="s">
        <v>125</v>
      </c>
      <c r="B48" s="2">
        <f>IFERROR(INDEX('01_Компании'!$B$4:$B$103,MATCH(A48,'01_Компании'!$A$4:$A$103,0)),"")</f>
        <v>0</v>
      </c>
      <c r="C48" s="2">
        <f>IFERROR(INDEX('01_Компании'!$C$4:$C$103,MATCH(A48,'01_Компании'!$A$4:$A$103,0)),"")</f>
        <v>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6" t="str">
        <f>IF(COUNTA(D48:M48)=0,"",MMULT(D48:M48,'03_Критерии'!$E$4:$E$13)/SUM('03_Критерии'!$E$4:$E$13))</f>
        <v/>
      </c>
      <c r="O48" s="2" t="str">
        <f t="shared" si="3"/>
        <v/>
      </c>
      <c r="P48" s="2" t="str">
        <f t="shared" si="4"/>
        <v/>
      </c>
      <c r="Q48" s="2"/>
      <c r="R48" s="2" t="str">
        <f t="shared" si="5"/>
        <v/>
      </c>
      <c r="S48" s="2"/>
      <c r="T48" s="2"/>
      <c r="U48" s="2"/>
      <c r="V48" s="5"/>
    </row>
    <row r="49" spans="1:22">
      <c r="A49" s="2" t="s">
        <v>126</v>
      </c>
      <c r="B49" s="2">
        <f>IFERROR(INDEX('01_Компании'!$B$4:$B$103,MATCH(A49,'01_Компании'!$A$4:$A$103,0)),"")</f>
        <v>0</v>
      </c>
      <c r="C49" s="2">
        <f>IFERROR(INDEX('01_Компании'!$C$4:$C$103,MATCH(A49,'01_Компании'!$A$4:$A$103,0)),"")</f>
        <v>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6" t="str">
        <f>IF(COUNTA(D49:M49)=0,"",MMULT(D49:M49,'03_Критерии'!$E$4:$E$13)/SUM('03_Критерии'!$E$4:$E$13))</f>
        <v/>
      </c>
      <c r="O49" s="2" t="str">
        <f t="shared" si="3"/>
        <v/>
      </c>
      <c r="P49" s="2" t="str">
        <f t="shared" si="4"/>
        <v/>
      </c>
      <c r="Q49" s="2"/>
      <c r="R49" s="2" t="str">
        <f t="shared" si="5"/>
        <v/>
      </c>
      <c r="S49" s="2"/>
      <c r="T49" s="2"/>
      <c r="U49" s="2"/>
      <c r="V49" s="5"/>
    </row>
    <row r="50" spans="1:22">
      <c r="A50" s="2" t="s">
        <v>127</v>
      </c>
      <c r="B50" s="2">
        <f>IFERROR(INDEX('01_Компании'!$B$4:$B$103,MATCH(A50,'01_Компании'!$A$4:$A$103,0)),"")</f>
        <v>0</v>
      </c>
      <c r="C50" s="2">
        <f>IFERROR(INDEX('01_Компании'!$C$4:$C$103,MATCH(A50,'01_Компании'!$A$4:$A$103,0)),"")</f>
        <v>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6" t="str">
        <f>IF(COUNTA(D50:M50)=0,"",MMULT(D50:M50,'03_Критерии'!$E$4:$E$13)/SUM('03_Критерии'!$E$4:$E$13))</f>
        <v/>
      </c>
      <c r="O50" s="2" t="str">
        <f t="shared" si="3"/>
        <v/>
      </c>
      <c r="P50" s="2" t="str">
        <f t="shared" si="4"/>
        <v/>
      </c>
      <c r="Q50" s="2"/>
      <c r="R50" s="2" t="str">
        <f t="shared" si="5"/>
        <v/>
      </c>
      <c r="S50" s="2"/>
      <c r="T50" s="2"/>
      <c r="U50" s="2"/>
      <c r="V50" s="5"/>
    </row>
    <row r="51" spans="1:22">
      <c r="A51" s="2" t="s">
        <v>128</v>
      </c>
      <c r="B51" s="2">
        <f>IFERROR(INDEX('01_Компании'!$B$4:$B$103,MATCH(A51,'01_Компании'!$A$4:$A$103,0)),"")</f>
        <v>0</v>
      </c>
      <c r="C51" s="2">
        <f>IFERROR(INDEX('01_Компании'!$C$4:$C$103,MATCH(A51,'01_Компании'!$A$4:$A$103,0)),"")</f>
        <v>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6" t="str">
        <f>IF(COUNTA(D51:M51)=0,"",MMULT(D51:M51,'03_Критерии'!$E$4:$E$13)/SUM('03_Критерии'!$E$4:$E$13))</f>
        <v/>
      </c>
      <c r="O51" s="2" t="str">
        <f t="shared" si="3"/>
        <v/>
      </c>
      <c r="P51" s="2" t="str">
        <f t="shared" si="4"/>
        <v/>
      </c>
      <c r="Q51" s="2"/>
      <c r="R51" s="2" t="str">
        <f t="shared" si="5"/>
        <v/>
      </c>
      <c r="S51" s="2"/>
      <c r="T51" s="2"/>
      <c r="U51" s="2"/>
      <c r="V51" s="5"/>
    </row>
    <row r="52" spans="1:22">
      <c r="A52" s="2" t="s">
        <v>129</v>
      </c>
      <c r="B52" s="2">
        <f>IFERROR(INDEX('01_Компании'!$B$4:$B$103,MATCH(A52,'01_Компании'!$A$4:$A$103,0)),"")</f>
        <v>0</v>
      </c>
      <c r="C52" s="2">
        <f>IFERROR(INDEX('01_Компании'!$C$4:$C$103,MATCH(A52,'01_Компании'!$A$4:$A$103,0)),"")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6" t="str">
        <f>IF(COUNTA(D52:M52)=0,"",MMULT(D52:M52,'03_Критерии'!$E$4:$E$13)/SUM('03_Критерии'!$E$4:$E$13))</f>
        <v/>
      </c>
      <c r="O52" s="2" t="str">
        <f t="shared" si="3"/>
        <v/>
      </c>
      <c r="P52" s="2" t="str">
        <f t="shared" si="4"/>
        <v/>
      </c>
      <c r="Q52" s="2"/>
      <c r="R52" s="2" t="str">
        <f t="shared" si="5"/>
        <v/>
      </c>
      <c r="S52" s="2"/>
      <c r="T52" s="2"/>
      <c r="U52" s="2"/>
      <c r="V52" s="5"/>
    </row>
    <row r="53" spans="1:22">
      <c r="A53" s="2" t="s">
        <v>130</v>
      </c>
      <c r="B53" s="2">
        <f>IFERROR(INDEX('01_Компании'!$B$4:$B$103,MATCH(A53,'01_Компании'!$A$4:$A$103,0)),"")</f>
        <v>0</v>
      </c>
      <c r="C53" s="2">
        <f>IFERROR(INDEX('01_Компании'!$C$4:$C$103,MATCH(A53,'01_Компании'!$A$4:$A$103,0)),"")</f>
        <v>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6" t="str">
        <f>IF(COUNTA(D53:M53)=0,"",MMULT(D53:M53,'03_Критерии'!$E$4:$E$13)/SUM('03_Критерии'!$E$4:$E$13))</f>
        <v/>
      </c>
      <c r="O53" s="2" t="str">
        <f t="shared" si="3"/>
        <v/>
      </c>
      <c r="P53" s="2" t="str">
        <f t="shared" si="4"/>
        <v/>
      </c>
      <c r="Q53" s="2"/>
      <c r="R53" s="2" t="str">
        <f t="shared" si="5"/>
        <v/>
      </c>
      <c r="S53" s="2"/>
      <c r="T53" s="2"/>
      <c r="U53" s="2"/>
      <c r="V53" s="5"/>
    </row>
    <row r="54" spans="1:22">
      <c r="A54" s="2" t="s">
        <v>131</v>
      </c>
      <c r="B54" s="2">
        <f>IFERROR(INDEX('01_Компании'!$B$4:$B$103,MATCH(A54,'01_Компании'!$A$4:$A$103,0)),"")</f>
        <v>0</v>
      </c>
      <c r="C54" s="2">
        <f>IFERROR(INDEX('01_Компании'!$C$4:$C$103,MATCH(A54,'01_Компании'!$A$4:$A$103,0)),"")</f>
        <v>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6" t="str">
        <f>IF(COUNTA(D54:M54)=0,"",MMULT(D54:M54,'03_Критерии'!$E$4:$E$13)/SUM('03_Критерии'!$E$4:$E$13))</f>
        <v/>
      </c>
      <c r="O54" s="2" t="str">
        <f t="shared" si="3"/>
        <v/>
      </c>
      <c r="P54" s="2" t="str">
        <f t="shared" si="4"/>
        <v/>
      </c>
      <c r="Q54" s="2"/>
      <c r="R54" s="2" t="str">
        <f t="shared" si="5"/>
        <v/>
      </c>
      <c r="S54" s="2"/>
      <c r="T54" s="2"/>
      <c r="U54" s="2"/>
      <c r="V54" s="5"/>
    </row>
    <row r="55" spans="1:22">
      <c r="A55" s="2" t="s">
        <v>132</v>
      </c>
      <c r="B55" s="2">
        <f>IFERROR(INDEX('01_Компании'!$B$4:$B$103,MATCH(A55,'01_Компании'!$A$4:$A$103,0)),"")</f>
        <v>0</v>
      </c>
      <c r="C55" s="2">
        <f>IFERROR(INDEX('01_Компании'!$C$4:$C$103,MATCH(A55,'01_Компании'!$A$4:$A$103,0)),"")</f>
        <v>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6" t="str">
        <f>IF(COUNTA(D55:M55)=0,"",MMULT(D55:M55,'03_Критерии'!$E$4:$E$13)/SUM('03_Критерии'!$E$4:$E$13))</f>
        <v/>
      </c>
      <c r="O55" s="2" t="str">
        <f t="shared" si="3"/>
        <v/>
      </c>
      <c r="P55" s="2" t="str">
        <f t="shared" si="4"/>
        <v/>
      </c>
      <c r="Q55" s="2"/>
      <c r="R55" s="2" t="str">
        <f t="shared" si="5"/>
        <v/>
      </c>
      <c r="S55" s="2"/>
      <c r="T55" s="2"/>
      <c r="U55" s="2"/>
      <c r="V55" s="5"/>
    </row>
    <row r="56" spans="1:22">
      <c r="A56" s="2" t="s">
        <v>133</v>
      </c>
      <c r="B56" s="2">
        <f>IFERROR(INDEX('01_Компании'!$B$4:$B$103,MATCH(A56,'01_Компании'!$A$4:$A$103,0)),"")</f>
        <v>0</v>
      </c>
      <c r="C56" s="2">
        <f>IFERROR(INDEX('01_Компании'!$C$4:$C$103,MATCH(A56,'01_Компании'!$A$4:$A$103,0)),"")</f>
        <v>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6" t="str">
        <f>IF(COUNTA(D56:M56)=0,"",MMULT(D56:M56,'03_Критерии'!$E$4:$E$13)/SUM('03_Критерии'!$E$4:$E$13))</f>
        <v/>
      </c>
      <c r="O56" s="2" t="str">
        <f t="shared" si="3"/>
        <v/>
      </c>
      <c r="P56" s="2" t="str">
        <f t="shared" si="4"/>
        <v/>
      </c>
      <c r="Q56" s="2"/>
      <c r="R56" s="2" t="str">
        <f t="shared" si="5"/>
        <v/>
      </c>
      <c r="S56" s="2"/>
      <c r="T56" s="2"/>
      <c r="U56" s="2"/>
      <c r="V56" s="5"/>
    </row>
    <row r="57" spans="1:22">
      <c r="A57" s="2" t="s">
        <v>134</v>
      </c>
      <c r="B57" s="2">
        <f>IFERROR(INDEX('01_Компании'!$B$4:$B$103,MATCH(A57,'01_Компании'!$A$4:$A$103,0)),"")</f>
        <v>0</v>
      </c>
      <c r="C57" s="2">
        <f>IFERROR(INDEX('01_Компании'!$C$4:$C$103,MATCH(A57,'01_Компании'!$A$4:$A$103,0)),"")</f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6" t="str">
        <f>IF(COUNTA(D57:M57)=0,"",MMULT(D57:M57,'03_Критерии'!$E$4:$E$13)/SUM('03_Критерии'!$E$4:$E$13))</f>
        <v/>
      </c>
      <c r="O57" s="2" t="str">
        <f t="shared" si="3"/>
        <v/>
      </c>
      <c r="P57" s="2" t="str">
        <f t="shared" si="4"/>
        <v/>
      </c>
      <c r="Q57" s="2"/>
      <c r="R57" s="2" t="str">
        <f t="shared" si="5"/>
        <v/>
      </c>
      <c r="S57" s="2"/>
      <c r="T57" s="2"/>
      <c r="U57" s="2"/>
      <c r="V57" s="5"/>
    </row>
    <row r="58" spans="1:22">
      <c r="A58" s="2" t="s">
        <v>135</v>
      </c>
      <c r="B58" s="2">
        <f>IFERROR(INDEX('01_Компании'!$B$4:$B$103,MATCH(A58,'01_Компании'!$A$4:$A$103,0)),"")</f>
        <v>0</v>
      </c>
      <c r="C58" s="2">
        <f>IFERROR(INDEX('01_Компании'!$C$4:$C$103,MATCH(A58,'01_Компании'!$A$4:$A$103,0)),"")</f>
        <v>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6" t="str">
        <f>IF(COUNTA(D58:M58)=0,"",MMULT(D58:M58,'03_Критерии'!$E$4:$E$13)/SUM('03_Критерии'!$E$4:$E$13))</f>
        <v/>
      </c>
      <c r="O58" s="2" t="str">
        <f t="shared" si="3"/>
        <v/>
      </c>
      <c r="P58" s="2" t="str">
        <f t="shared" si="4"/>
        <v/>
      </c>
      <c r="Q58" s="2"/>
      <c r="R58" s="2" t="str">
        <f t="shared" si="5"/>
        <v/>
      </c>
      <c r="S58" s="2"/>
      <c r="T58" s="2"/>
      <c r="U58" s="2"/>
      <c r="V58" s="5"/>
    </row>
    <row r="59" spans="1:22">
      <c r="A59" s="2" t="s">
        <v>136</v>
      </c>
      <c r="B59" s="2">
        <f>IFERROR(INDEX('01_Компании'!$B$4:$B$103,MATCH(A59,'01_Компании'!$A$4:$A$103,0)),"")</f>
        <v>0</v>
      </c>
      <c r="C59" s="2">
        <f>IFERROR(INDEX('01_Компании'!$C$4:$C$103,MATCH(A59,'01_Компании'!$A$4:$A$103,0)),"")</f>
        <v>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6" t="str">
        <f>IF(COUNTA(D59:M59)=0,"",MMULT(D59:M59,'03_Критерии'!$E$4:$E$13)/SUM('03_Критерии'!$E$4:$E$13))</f>
        <v/>
      </c>
      <c r="O59" s="2" t="str">
        <f t="shared" si="3"/>
        <v/>
      </c>
      <c r="P59" s="2" t="str">
        <f t="shared" si="4"/>
        <v/>
      </c>
      <c r="Q59" s="2"/>
      <c r="R59" s="2" t="str">
        <f t="shared" si="5"/>
        <v/>
      </c>
      <c r="S59" s="2"/>
      <c r="T59" s="2"/>
      <c r="U59" s="2"/>
      <c r="V59" s="5"/>
    </row>
    <row r="60" spans="1:22">
      <c r="A60" s="2" t="s">
        <v>137</v>
      </c>
      <c r="B60" s="2">
        <f>IFERROR(INDEX('01_Компании'!$B$4:$B$103,MATCH(A60,'01_Компании'!$A$4:$A$103,0)),"")</f>
        <v>0</v>
      </c>
      <c r="C60" s="2">
        <f>IFERROR(INDEX('01_Компании'!$C$4:$C$103,MATCH(A60,'01_Компании'!$A$4:$A$103,0)),"")</f>
        <v>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6" t="str">
        <f>IF(COUNTA(D60:M60)=0,"",MMULT(D60:M60,'03_Критерии'!$E$4:$E$13)/SUM('03_Критерии'!$E$4:$E$13))</f>
        <v/>
      </c>
      <c r="O60" s="2" t="str">
        <f t="shared" si="3"/>
        <v/>
      </c>
      <c r="P60" s="2" t="str">
        <f t="shared" si="4"/>
        <v/>
      </c>
      <c r="Q60" s="2"/>
      <c r="R60" s="2" t="str">
        <f t="shared" si="5"/>
        <v/>
      </c>
      <c r="S60" s="2"/>
      <c r="T60" s="2"/>
      <c r="U60" s="2"/>
      <c r="V60" s="5"/>
    </row>
    <row r="61" spans="1:22">
      <c r="A61" s="2" t="s">
        <v>138</v>
      </c>
      <c r="B61" s="2">
        <f>IFERROR(INDEX('01_Компании'!$B$4:$B$103,MATCH(A61,'01_Компании'!$A$4:$A$103,0)),"")</f>
        <v>0</v>
      </c>
      <c r="C61" s="2">
        <f>IFERROR(INDEX('01_Компании'!$C$4:$C$103,MATCH(A61,'01_Компании'!$A$4:$A$103,0)),"")</f>
        <v>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6" t="str">
        <f>IF(COUNTA(D61:M61)=0,"",MMULT(D61:M61,'03_Критерии'!$E$4:$E$13)/SUM('03_Критерии'!$E$4:$E$13))</f>
        <v/>
      </c>
      <c r="O61" s="2" t="str">
        <f t="shared" si="3"/>
        <v/>
      </c>
      <c r="P61" s="2" t="str">
        <f t="shared" si="4"/>
        <v/>
      </c>
      <c r="Q61" s="2"/>
      <c r="R61" s="2" t="str">
        <f t="shared" si="5"/>
        <v/>
      </c>
      <c r="S61" s="2"/>
      <c r="T61" s="2"/>
      <c r="U61" s="2"/>
      <c r="V61" s="5"/>
    </row>
    <row r="62" spans="1:22">
      <c r="A62" s="2" t="s">
        <v>139</v>
      </c>
      <c r="B62" s="2">
        <f>IFERROR(INDEX('01_Компании'!$B$4:$B$103,MATCH(A62,'01_Компании'!$A$4:$A$103,0)),"")</f>
        <v>0</v>
      </c>
      <c r="C62" s="2">
        <f>IFERROR(INDEX('01_Компании'!$C$4:$C$103,MATCH(A62,'01_Компании'!$A$4:$A$103,0)),"")</f>
        <v>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6" t="str">
        <f>IF(COUNTA(D62:M62)=0,"",MMULT(D62:M62,'03_Критерии'!$E$4:$E$13)/SUM('03_Критерии'!$E$4:$E$13))</f>
        <v/>
      </c>
      <c r="O62" s="2" t="str">
        <f t="shared" si="3"/>
        <v/>
      </c>
      <c r="P62" s="2" t="str">
        <f t="shared" si="4"/>
        <v/>
      </c>
      <c r="Q62" s="2"/>
      <c r="R62" s="2" t="str">
        <f t="shared" si="5"/>
        <v/>
      </c>
      <c r="S62" s="2"/>
      <c r="T62" s="2"/>
      <c r="U62" s="2"/>
      <c r="V62" s="5"/>
    </row>
    <row r="63" spans="1:22">
      <c r="A63" s="2" t="s">
        <v>140</v>
      </c>
      <c r="B63" s="2">
        <f>IFERROR(INDEX('01_Компании'!$B$4:$B$103,MATCH(A63,'01_Компании'!$A$4:$A$103,0)),"")</f>
        <v>0</v>
      </c>
      <c r="C63" s="2">
        <f>IFERROR(INDEX('01_Компании'!$C$4:$C$103,MATCH(A63,'01_Компании'!$A$4:$A$103,0)),"")</f>
        <v>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" t="str">
        <f>IF(COUNTA(D63:M63)=0,"",MMULT(D63:M63,'03_Критерии'!$E$4:$E$13)/SUM('03_Критерии'!$E$4:$E$13))</f>
        <v/>
      </c>
      <c r="O63" s="2" t="str">
        <f t="shared" si="3"/>
        <v/>
      </c>
      <c r="P63" s="2" t="str">
        <f t="shared" si="4"/>
        <v/>
      </c>
      <c r="Q63" s="2"/>
      <c r="R63" s="2" t="str">
        <f t="shared" si="5"/>
        <v/>
      </c>
      <c r="S63" s="2"/>
      <c r="T63" s="2"/>
      <c r="U63" s="2"/>
      <c r="V63" s="5"/>
    </row>
    <row r="64" spans="1:22">
      <c r="A64" s="2" t="s">
        <v>141</v>
      </c>
      <c r="B64" s="2">
        <f>IFERROR(INDEX('01_Компании'!$B$4:$B$103,MATCH(A64,'01_Компании'!$A$4:$A$103,0)),"")</f>
        <v>0</v>
      </c>
      <c r="C64" s="2">
        <f>IFERROR(INDEX('01_Компании'!$C$4:$C$103,MATCH(A64,'01_Компании'!$A$4:$A$103,0)),"")</f>
        <v>0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6" t="str">
        <f>IF(COUNTA(D64:M64)=0,"",MMULT(D64:M64,'03_Критерии'!$E$4:$E$13)/SUM('03_Критерии'!$E$4:$E$13))</f>
        <v/>
      </c>
      <c r="O64" s="2" t="str">
        <f t="shared" si="3"/>
        <v/>
      </c>
      <c r="P64" s="2" t="str">
        <f t="shared" si="4"/>
        <v/>
      </c>
      <c r="Q64" s="2"/>
      <c r="R64" s="2" t="str">
        <f t="shared" si="5"/>
        <v/>
      </c>
      <c r="S64" s="2"/>
      <c r="T64" s="2"/>
      <c r="U64" s="2"/>
      <c r="V64" s="5"/>
    </row>
    <row r="65" spans="1:22">
      <c r="A65" s="2" t="s">
        <v>142</v>
      </c>
      <c r="B65" s="2">
        <f>IFERROR(INDEX('01_Компании'!$B$4:$B$103,MATCH(A65,'01_Компании'!$A$4:$A$103,0)),"")</f>
        <v>0</v>
      </c>
      <c r="C65" s="2">
        <f>IFERROR(INDEX('01_Компании'!$C$4:$C$103,MATCH(A65,'01_Компании'!$A$4:$A$103,0)),"")</f>
        <v>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6" t="str">
        <f>IF(COUNTA(D65:M65)=0,"",MMULT(D65:M65,'03_Критерии'!$E$4:$E$13)/SUM('03_Критерии'!$E$4:$E$13))</f>
        <v/>
      </c>
      <c r="O65" s="2" t="str">
        <f t="shared" si="3"/>
        <v/>
      </c>
      <c r="P65" s="2" t="str">
        <f t="shared" si="4"/>
        <v/>
      </c>
      <c r="Q65" s="2"/>
      <c r="R65" s="2" t="str">
        <f t="shared" si="5"/>
        <v/>
      </c>
      <c r="S65" s="2"/>
      <c r="T65" s="2"/>
      <c r="U65" s="2"/>
      <c r="V65" s="5"/>
    </row>
    <row r="66" spans="1:22">
      <c r="A66" s="2" t="s">
        <v>143</v>
      </c>
      <c r="B66" s="2">
        <f>IFERROR(INDEX('01_Компании'!$B$4:$B$103,MATCH(A66,'01_Компании'!$A$4:$A$103,0)),"")</f>
        <v>0</v>
      </c>
      <c r="C66" s="2">
        <f>IFERROR(INDEX('01_Компании'!$C$4:$C$103,MATCH(A66,'01_Компании'!$A$4:$A$103,0)),"")</f>
        <v>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6" t="str">
        <f>IF(COUNTA(D66:M66)=0,"",MMULT(D66:M66,'03_Критерии'!$E$4:$E$13)/SUM('03_Критерии'!$E$4:$E$13))</f>
        <v/>
      </c>
      <c r="O66" s="2" t="str">
        <f t="shared" si="3"/>
        <v/>
      </c>
      <c r="P66" s="2" t="str">
        <f t="shared" si="4"/>
        <v/>
      </c>
      <c r="Q66" s="2"/>
      <c r="R66" s="2" t="str">
        <f t="shared" si="5"/>
        <v/>
      </c>
      <c r="S66" s="2"/>
      <c r="T66" s="2"/>
      <c r="U66" s="2"/>
      <c r="V66" s="5"/>
    </row>
    <row r="67" spans="1:22">
      <c r="A67" s="2" t="s">
        <v>144</v>
      </c>
      <c r="B67" s="2">
        <f>IFERROR(INDEX('01_Компании'!$B$4:$B$103,MATCH(A67,'01_Компании'!$A$4:$A$103,0)),"")</f>
        <v>0</v>
      </c>
      <c r="C67" s="2">
        <f>IFERROR(INDEX('01_Компании'!$C$4:$C$103,MATCH(A67,'01_Компании'!$A$4:$A$103,0)),"")</f>
        <v>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6" t="str">
        <f>IF(COUNTA(D67:M67)=0,"",MMULT(D67:M67,'03_Критерии'!$E$4:$E$13)/SUM('03_Критерии'!$E$4:$E$13))</f>
        <v/>
      </c>
      <c r="O67" s="2" t="str">
        <f t="shared" si="3"/>
        <v/>
      </c>
      <c r="P67" s="2" t="str">
        <f t="shared" si="4"/>
        <v/>
      </c>
      <c r="Q67" s="2"/>
      <c r="R67" s="2" t="str">
        <f t="shared" si="5"/>
        <v/>
      </c>
      <c r="S67" s="2"/>
      <c r="T67" s="2"/>
      <c r="U67" s="2"/>
      <c r="V67" s="5"/>
    </row>
    <row r="68" spans="1:22">
      <c r="A68" s="2" t="s">
        <v>145</v>
      </c>
      <c r="B68" s="2">
        <f>IFERROR(INDEX('01_Компании'!$B$4:$B$103,MATCH(A68,'01_Компании'!$A$4:$A$103,0)),"")</f>
        <v>0</v>
      </c>
      <c r="C68" s="2">
        <f>IFERROR(INDEX('01_Компании'!$C$4:$C$103,MATCH(A68,'01_Компании'!$A$4:$A$103,0)),"")</f>
        <v>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6" t="str">
        <f>IF(COUNTA(D68:M68)=0,"",MMULT(D68:M68,'03_Критерии'!$E$4:$E$13)/SUM('03_Критерии'!$E$4:$E$13))</f>
        <v/>
      </c>
      <c r="O68" s="2" t="str">
        <f t="shared" ref="O68:O99" si="6">IF(N68="","",IF(COUNTA(D68:M68)&lt;6,"Недостаточно данных",IF(D68&lt;3,"Низкое совпадение задачи",IF(F68&lt;3,"Низкая товарная заменяемость","Нет"))))</f>
        <v/>
      </c>
      <c r="P68" s="2" t="str">
        <f t="shared" ref="P68:P99" si="7">IF(N68="","",IF(O68="Недостаточно данных","Недостаточно данных",IF(OR(D68&lt;3,F68&lt;3),IF(N68&gt;=2.5,"Косвенный конкурент / заменитель",IF(N68&gt;=1.6,"Смежная или потенциальная конкуренция","Не конкурент / объект наблюдения")),IF(N68&gt;=4.2,"Прямой конкурент",IF(N68&gt;=3.4,"Близкий альтернативный конкурент",IF(N68&gt;=2.5,"Косвенный конкурент / заменитель",IF(N68&gt;=1.6,"Смежная или потенциальная конкуренция","Не конкурент / объект наблюдения")))))))</f>
        <v/>
      </c>
      <c r="Q68" s="2"/>
      <c r="R68" s="2" t="str">
        <f t="shared" ref="R68:R99" si="8">IF(Q68="",P68,Q68)</f>
        <v/>
      </c>
      <c r="S68" s="2"/>
      <c r="T68" s="2"/>
      <c r="U68" s="2"/>
      <c r="V68" s="5"/>
    </row>
    <row r="69" spans="1:22">
      <c r="A69" s="2" t="s">
        <v>146</v>
      </c>
      <c r="B69" s="2">
        <f>IFERROR(INDEX('01_Компании'!$B$4:$B$103,MATCH(A69,'01_Компании'!$A$4:$A$103,0)),"")</f>
        <v>0</v>
      </c>
      <c r="C69" s="2">
        <f>IFERROR(INDEX('01_Компании'!$C$4:$C$103,MATCH(A69,'01_Компании'!$A$4:$A$103,0)),"")</f>
        <v>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6" t="str">
        <f>IF(COUNTA(D69:M69)=0,"",MMULT(D69:M69,'03_Критерии'!$E$4:$E$13)/SUM('03_Критерии'!$E$4:$E$13))</f>
        <v/>
      </c>
      <c r="O69" s="2" t="str">
        <f t="shared" si="6"/>
        <v/>
      </c>
      <c r="P69" s="2" t="str">
        <f t="shared" si="7"/>
        <v/>
      </c>
      <c r="Q69" s="2"/>
      <c r="R69" s="2" t="str">
        <f t="shared" si="8"/>
        <v/>
      </c>
      <c r="S69" s="2"/>
      <c r="T69" s="2"/>
      <c r="U69" s="2"/>
      <c r="V69" s="5"/>
    </row>
    <row r="70" spans="1:22">
      <c r="A70" s="2" t="s">
        <v>147</v>
      </c>
      <c r="B70" s="2">
        <f>IFERROR(INDEX('01_Компании'!$B$4:$B$103,MATCH(A70,'01_Компании'!$A$4:$A$103,0)),"")</f>
        <v>0</v>
      </c>
      <c r="C70" s="2">
        <f>IFERROR(INDEX('01_Компании'!$C$4:$C$103,MATCH(A70,'01_Компании'!$A$4:$A$103,0)),"")</f>
        <v>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6" t="str">
        <f>IF(COUNTA(D70:M70)=0,"",MMULT(D70:M70,'03_Критерии'!$E$4:$E$13)/SUM('03_Критерии'!$E$4:$E$13))</f>
        <v/>
      </c>
      <c r="O70" s="2" t="str">
        <f t="shared" si="6"/>
        <v/>
      </c>
      <c r="P70" s="2" t="str">
        <f t="shared" si="7"/>
        <v/>
      </c>
      <c r="Q70" s="2"/>
      <c r="R70" s="2" t="str">
        <f t="shared" si="8"/>
        <v/>
      </c>
      <c r="S70" s="2"/>
      <c r="T70" s="2"/>
      <c r="U70" s="2"/>
      <c r="V70" s="5"/>
    </row>
    <row r="71" spans="1:22">
      <c r="A71" s="2" t="s">
        <v>148</v>
      </c>
      <c r="B71" s="2">
        <f>IFERROR(INDEX('01_Компании'!$B$4:$B$103,MATCH(A71,'01_Компании'!$A$4:$A$103,0)),"")</f>
        <v>0</v>
      </c>
      <c r="C71" s="2">
        <f>IFERROR(INDEX('01_Компании'!$C$4:$C$103,MATCH(A71,'01_Компании'!$A$4:$A$103,0)),"")</f>
        <v>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6" t="str">
        <f>IF(COUNTA(D71:M71)=0,"",MMULT(D71:M71,'03_Критерии'!$E$4:$E$13)/SUM('03_Критерии'!$E$4:$E$13))</f>
        <v/>
      </c>
      <c r="O71" s="2" t="str">
        <f t="shared" si="6"/>
        <v/>
      </c>
      <c r="P71" s="2" t="str">
        <f t="shared" si="7"/>
        <v/>
      </c>
      <c r="Q71" s="2"/>
      <c r="R71" s="2" t="str">
        <f t="shared" si="8"/>
        <v/>
      </c>
      <c r="S71" s="2"/>
      <c r="T71" s="2"/>
      <c r="U71" s="2"/>
      <c r="V71" s="5"/>
    </row>
    <row r="72" spans="1:22">
      <c r="A72" s="2" t="s">
        <v>149</v>
      </c>
      <c r="B72" s="2">
        <f>IFERROR(INDEX('01_Компании'!$B$4:$B$103,MATCH(A72,'01_Компании'!$A$4:$A$103,0)),"")</f>
        <v>0</v>
      </c>
      <c r="C72" s="2">
        <f>IFERROR(INDEX('01_Компании'!$C$4:$C$103,MATCH(A72,'01_Компании'!$A$4:$A$103,0)),"")</f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6" t="str">
        <f>IF(COUNTA(D72:M72)=0,"",MMULT(D72:M72,'03_Критерии'!$E$4:$E$13)/SUM('03_Критерии'!$E$4:$E$13))</f>
        <v/>
      </c>
      <c r="O72" s="2" t="str">
        <f t="shared" si="6"/>
        <v/>
      </c>
      <c r="P72" s="2" t="str">
        <f t="shared" si="7"/>
        <v/>
      </c>
      <c r="Q72" s="2"/>
      <c r="R72" s="2" t="str">
        <f t="shared" si="8"/>
        <v/>
      </c>
      <c r="S72" s="2"/>
      <c r="T72" s="2"/>
      <c r="U72" s="2"/>
      <c r="V72" s="5"/>
    </row>
    <row r="73" spans="1:22">
      <c r="A73" s="2" t="s">
        <v>150</v>
      </c>
      <c r="B73" s="2">
        <f>IFERROR(INDEX('01_Компании'!$B$4:$B$103,MATCH(A73,'01_Компании'!$A$4:$A$103,0)),"")</f>
        <v>0</v>
      </c>
      <c r="C73" s="2">
        <f>IFERROR(INDEX('01_Компании'!$C$4:$C$103,MATCH(A73,'01_Компании'!$A$4:$A$103,0)),"")</f>
        <v>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6" t="str">
        <f>IF(COUNTA(D73:M73)=0,"",MMULT(D73:M73,'03_Критерии'!$E$4:$E$13)/SUM('03_Критерии'!$E$4:$E$13))</f>
        <v/>
      </c>
      <c r="O73" s="2" t="str">
        <f t="shared" si="6"/>
        <v/>
      </c>
      <c r="P73" s="2" t="str">
        <f t="shared" si="7"/>
        <v/>
      </c>
      <c r="Q73" s="2"/>
      <c r="R73" s="2" t="str">
        <f t="shared" si="8"/>
        <v/>
      </c>
      <c r="S73" s="2"/>
      <c r="T73" s="2"/>
      <c r="U73" s="2"/>
      <c r="V73" s="5"/>
    </row>
    <row r="74" spans="1:22">
      <c r="A74" s="2" t="s">
        <v>151</v>
      </c>
      <c r="B74" s="2">
        <f>IFERROR(INDEX('01_Компании'!$B$4:$B$103,MATCH(A74,'01_Компании'!$A$4:$A$103,0)),"")</f>
        <v>0</v>
      </c>
      <c r="C74" s="2">
        <f>IFERROR(INDEX('01_Компании'!$C$4:$C$103,MATCH(A74,'01_Компании'!$A$4:$A$103,0)),"")</f>
        <v>0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6" t="str">
        <f>IF(COUNTA(D74:M74)=0,"",MMULT(D74:M74,'03_Критерии'!$E$4:$E$13)/SUM('03_Критерии'!$E$4:$E$13))</f>
        <v/>
      </c>
      <c r="O74" s="2" t="str">
        <f t="shared" si="6"/>
        <v/>
      </c>
      <c r="P74" s="2" t="str">
        <f t="shared" si="7"/>
        <v/>
      </c>
      <c r="Q74" s="2"/>
      <c r="R74" s="2" t="str">
        <f t="shared" si="8"/>
        <v/>
      </c>
      <c r="S74" s="2"/>
      <c r="T74" s="2"/>
      <c r="U74" s="2"/>
      <c r="V74" s="5"/>
    </row>
    <row r="75" spans="1:22">
      <c r="A75" s="2" t="s">
        <v>152</v>
      </c>
      <c r="B75" s="2">
        <f>IFERROR(INDEX('01_Компании'!$B$4:$B$103,MATCH(A75,'01_Компании'!$A$4:$A$103,0)),"")</f>
        <v>0</v>
      </c>
      <c r="C75" s="2">
        <f>IFERROR(INDEX('01_Компании'!$C$4:$C$103,MATCH(A75,'01_Компании'!$A$4:$A$103,0)),"")</f>
        <v>0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6" t="str">
        <f>IF(COUNTA(D75:M75)=0,"",MMULT(D75:M75,'03_Критерии'!$E$4:$E$13)/SUM('03_Критерии'!$E$4:$E$13))</f>
        <v/>
      </c>
      <c r="O75" s="2" t="str">
        <f t="shared" si="6"/>
        <v/>
      </c>
      <c r="P75" s="2" t="str">
        <f t="shared" si="7"/>
        <v/>
      </c>
      <c r="Q75" s="2"/>
      <c r="R75" s="2" t="str">
        <f t="shared" si="8"/>
        <v/>
      </c>
      <c r="S75" s="2"/>
      <c r="T75" s="2"/>
      <c r="U75" s="2"/>
      <c r="V75" s="5"/>
    </row>
    <row r="76" spans="1:22">
      <c r="A76" s="2" t="s">
        <v>153</v>
      </c>
      <c r="B76" s="2">
        <f>IFERROR(INDEX('01_Компании'!$B$4:$B$103,MATCH(A76,'01_Компании'!$A$4:$A$103,0)),"")</f>
        <v>0</v>
      </c>
      <c r="C76" s="2">
        <f>IFERROR(INDEX('01_Компании'!$C$4:$C$103,MATCH(A76,'01_Компании'!$A$4:$A$103,0)),"")</f>
        <v>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6" t="str">
        <f>IF(COUNTA(D76:M76)=0,"",MMULT(D76:M76,'03_Критерии'!$E$4:$E$13)/SUM('03_Критерии'!$E$4:$E$13))</f>
        <v/>
      </c>
      <c r="O76" s="2" t="str">
        <f t="shared" si="6"/>
        <v/>
      </c>
      <c r="P76" s="2" t="str">
        <f t="shared" si="7"/>
        <v/>
      </c>
      <c r="Q76" s="2"/>
      <c r="R76" s="2" t="str">
        <f t="shared" si="8"/>
        <v/>
      </c>
      <c r="S76" s="2"/>
      <c r="T76" s="2"/>
      <c r="U76" s="2"/>
      <c r="V76" s="5"/>
    </row>
    <row r="77" spans="1:22">
      <c r="A77" s="2" t="s">
        <v>154</v>
      </c>
      <c r="B77" s="2">
        <f>IFERROR(INDEX('01_Компании'!$B$4:$B$103,MATCH(A77,'01_Компании'!$A$4:$A$103,0)),"")</f>
        <v>0</v>
      </c>
      <c r="C77" s="2">
        <f>IFERROR(INDEX('01_Компании'!$C$4:$C$103,MATCH(A77,'01_Компании'!$A$4:$A$103,0)),"")</f>
        <v>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6" t="str">
        <f>IF(COUNTA(D77:M77)=0,"",MMULT(D77:M77,'03_Критерии'!$E$4:$E$13)/SUM('03_Критерии'!$E$4:$E$13))</f>
        <v/>
      </c>
      <c r="O77" s="2" t="str">
        <f t="shared" si="6"/>
        <v/>
      </c>
      <c r="P77" s="2" t="str">
        <f t="shared" si="7"/>
        <v/>
      </c>
      <c r="Q77" s="2"/>
      <c r="R77" s="2" t="str">
        <f t="shared" si="8"/>
        <v/>
      </c>
      <c r="S77" s="2"/>
      <c r="T77" s="2"/>
      <c r="U77" s="2"/>
      <c r="V77" s="5"/>
    </row>
    <row r="78" spans="1:22">
      <c r="A78" s="2" t="s">
        <v>155</v>
      </c>
      <c r="B78" s="2">
        <f>IFERROR(INDEX('01_Компании'!$B$4:$B$103,MATCH(A78,'01_Компании'!$A$4:$A$103,0)),"")</f>
        <v>0</v>
      </c>
      <c r="C78" s="2">
        <f>IFERROR(INDEX('01_Компании'!$C$4:$C$103,MATCH(A78,'01_Компании'!$A$4:$A$103,0)),"")</f>
        <v>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6" t="str">
        <f>IF(COUNTA(D78:M78)=0,"",MMULT(D78:M78,'03_Критерии'!$E$4:$E$13)/SUM('03_Критерии'!$E$4:$E$13))</f>
        <v/>
      </c>
      <c r="O78" s="2" t="str">
        <f t="shared" si="6"/>
        <v/>
      </c>
      <c r="P78" s="2" t="str">
        <f t="shared" si="7"/>
        <v/>
      </c>
      <c r="Q78" s="2"/>
      <c r="R78" s="2" t="str">
        <f t="shared" si="8"/>
        <v/>
      </c>
      <c r="S78" s="2"/>
      <c r="T78" s="2"/>
      <c r="U78" s="2"/>
      <c r="V78" s="5"/>
    </row>
    <row r="79" spans="1:22">
      <c r="A79" s="2" t="s">
        <v>156</v>
      </c>
      <c r="B79" s="2">
        <f>IFERROR(INDEX('01_Компании'!$B$4:$B$103,MATCH(A79,'01_Компании'!$A$4:$A$103,0)),"")</f>
        <v>0</v>
      </c>
      <c r="C79" s="2">
        <f>IFERROR(INDEX('01_Компании'!$C$4:$C$103,MATCH(A79,'01_Компании'!$A$4:$A$103,0)),"")</f>
        <v>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6" t="str">
        <f>IF(COUNTA(D79:M79)=0,"",MMULT(D79:M79,'03_Критерии'!$E$4:$E$13)/SUM('03_Критерии'!$E$4:$E$13))</f>
        <v/>
      </c>
      <c r="O79" s="2" t="str">
        <f t="shared" si="6"/>
        <v/>
      </c>
      <c r="P79" s="2" t="str">
        <f t="shared" si="7"/>
        <v/>
      </c>
      <c r="Q79" s="2"/>
      <c r="R79" s="2" t="str">
        <f t="shared" si="8"/>
        <v/>
      </c>
      <c r="S79" s="2"/>
      <c r="T79" s="2"/>
      <c r="U79" s="2"/>
      <c r="V79" s="5"/>
    </row>
    <row r="80" spans="1:22">
      <c r="A80" s="2" t="s">
        <v>157</v>
      </c>
      <c r="B80" s="2">
        <f>IFERROR(INDEX('01_Компании'!$B$4:$B$103,MATCH(A80,'01_Компании'!$A$4:$A$103,0)),"")</f>
        <v>0</v>
      </c>
      <c r="C80" s="2">
        <f>IFERROR(INDEX('01_Компании'!$C$4:$C$103,MATCH(A80,'01_Компании'!$A$4:$A$103,0)),"")</f>
        <v>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6" t="str">
        <f>IF(COUNTA(D80:M80)=0,"",MMULT(D80:M80,'03_Критерии'!$E$4:$E$13)/SUM('03_Критерии'!$E$4:$E$13))</f>
        <v/>
      </c>
      <c r="O80" s="2" t="str">
        <f t="shared" si="6"/>
        <v/>
      </c>
      <c r="P80" s="2" t="str">
        <f t="shared" si="7"/>
        <v/>
      </c>
      <c r="Q80" s="2"/>
      <c r="R80" s="2" t="str">
        <f t="shared" si="8"/>
        <v/>
      </c>
      <c r="S80" s="2"/>
      <c r="T80" s="2"/>
      <c r="U80" s="2"/>
      <c r="V80" s="5"/>
    </row>
    <row r="81" spans="1:22">
      <c r="A81" s="2" t="s">
        <v>158</v>
      </c>
      <c r="B81" s="2">
        <f>IFERROR(INDEX('01_Компании'!$B$4:$B$103,MATCH(A81,'01_Компании'!$A$4:$A$103,0)),"")</f>
        <v>0</v>
      </c>
      <c r="C81" s="2">
        <f>IFERROR(INDEX('01_Компании'!$C$4:$C$103,MATCH(A81,'01_Компании'!$A$4:$A$103,0)),"")</f>
        <v>0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6" t="str">
        <f>IF(COUNTA(D81:M81)=0,"",MMULT(D81:M81,'03_Критерии'!$E$4:$E$13)/SUM('03_Критерии'!$E$4:$E$13))</f>
        <v/>
      </c>
      <c r="O81" s="2" t="str">
        <f t="shared" si="6"/>
        <v/>
      </c>
      <c r="P81" s="2" t="str">
        <f t="shared" si="7"/>
        <v/>
      </c>
      <c r="Q81" s="2"/>
      <c r="R81" s="2" t="str">
        <f t="shared" si="8"/>
        <v/>
      </c>
      <c r="S81" s="2"/>
      <c r="T81" s="2"/>
      <c r="U81" s="2"/>
      <c r="V81" s="5"/>
    </row>
    <row r="82" spans="1:22">
      <c r="A82" s="2" t="s">
        <v>159</v>
      </c>
      <c r="B82" s="2">
        <f>IFERROR(INDEX('01_Компании'!$B$4:$B$103,MATCH(A82,'01_Компании'!$A$4:$A$103,0)),"")</f>
        <v>0</v>
      </c>
      <c r="C82" s="2">
        <f>IFERROR(INDEX('01_Компании'!$C$4:$C$103,MATCH(A82,'01_Компании'!$A$4:$A$103,0)),"")</f>
        <v>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6" t="str">
        <f>IF(COUNTA(D82:M82)=0,"",MMULT(D82:M82,'03_Критерии'!$E$4:$E$13)/SUM('03_Критерии'!$E$4:$E$13))</f>
        <v/>
      </c>
      <c r="O82" s="2" t="str">
        <f t="shared" si="6"/>
        <v/>
      </c>
      <c r="P82" s="2" t="str">
        <f t="shared" si="7"/>
        <v/>
      </c>
      <c r="Q82" s="2"/>
      <c r="R82" s="2" t="str">
        <f t="shared" si="8"/>
        <v/>
      </c>
      <c r="S82" s="2"/>
      <c r="T82" s="2"/>
      <c r="U82" s="2"/>
      <c r="V82" s="5"/>
    </row>
    <row r="83" spans="1:22">
      <c r="A83" s="2" t="s">
        <v>160</v>
      </c>
      <c r="B83" s="2">
        <f>IFERROR(INDEX('01_Компании'!$B$4:$B$103,MATCH(A83,'01_Компании'!$A$4:$A$103,0)),"")</f>
        <v>0</v>
      </c>
      <c r="C83" s="2">
        <f>IFERROR(INDEX('01_Компании'!$C$4:$C$103,MATCH(A83,'01_Компании'!$A$4:$A$103,0)),"")</f>
        <v>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6" t="str">
        <f>IF(COUNTA(D83:M83)=0,"",MMULT(D83:M83,'03_Критерии'!$E$4:$E$13)/SUM('03_Критерии'!$E$4:$E$13))</f>
        <v/>
      </c>
      <c r="O83" s="2" t="str">
        <f t="shared" si="6"/>
        <v/>
      </c>
      <c r="P83" s="2" t="str">
        <f t="shared" si="7"/>
        <v/>
      </c>
      <c r="Q83" s="2"/>
      <c r="R83" s="2" t="str">
        <f t="shared" si="8"/>
        <v/>
      </c>
      <c r="S83" s="2"/>
      <c r="T83" s="2"/>
      <c r="U83" s="2"/>
      <c r="V83" s="5"/>
    </row>
    <row r="84" spans="1:22">
      <c r="A84" s="2" t="s">
        <v>161</v>
      </c>
      <c r="B84" s="2">
        <f>IFERROR(INDEX('01_Компании'!$B$4:$B$103,MATCH(A84,'01_Компании'!$A$4:$A$103,0)),"")</f>
        <v>0</v>
      </c>
      <c r="C84" s="2">
        <f>IFERROR(INDEX('01_Компании'!$C$4:$C$103,MATCH(A84,'01_Компании'!$A$4:$A$103,0)),"")</f>
        <v>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6" t="str">
        <f>IF(COUNTA(D84:M84)=0,"",MMULT(D84:M84,'03_Критерии'!$E$4:$E$13)/SUM('03_Критерии'!$E$4:$E$13))</f>
        <v/>
      </c>
      <c r="O84" s="2" t="str">
        <f t="shared" si="6"/>
        <v/>
      </c>
      <c r="P84" s="2" t="str">
        <f t="shared" si="7"/>
        <v/>
      </c>
      <c r="Q84" s="2"/>
      <c r="R84" s="2" t="str">
        <f t="shared" si="8"/>
        <v/>
      </c>
      <c r="S84" s="2"/>
      <c r="T84" s="2"/>
      <c r="U84" s="2"/>
      <c r="V84" s="5"/>
    </row>
    <row r="85" spans="1:22">
      <c r="A85" s="2" t="s">
        <v>162</v>
      </c>
      <c r="B85" s="2">
        <f>IFERROR(INDEX('01_Компании'!$B$4:$B$103,MATCH(A85,'01_Компании'!$A$4:$A$103,0)),"")</f>
        <v>0</v>
      </c>
      <c r="C85" s="2">
        <f>IFERROR(INDEX('01_Компании'!$C$4:$C$103,MATCH(A85,'01_Компании'!$A$4:$A$103,0)),"")</f>
        <v>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6" t="str">
        <f>IF(COUNTA(D85:M85)=0,"",MMULT(D85:M85,'03_Критерии'!$E$4:$E$13)/SUM('03_Критерии'!$E$4:$E$13))</f>
        <v/>
      </c>
      <c r="O85" s="2" t="str">
        <f t="shared" si="6"/>
        <v/>
      </c>
      <c r="P85" s="2" t="str">
        <f t="shared" si="7"/>
        <v/>
      </c>
      <c r="Q85" s="2"/>
      <c r="R85" s="2" t="str">
        <f t="shared" si="8"/>
        <v/>
      </c>
      <c r="S85" s="2"/>
      <c r="T85" s="2"/>
      <c r="U85" s="2"/>
      <c r="V85" s="5"/>
    </row>
    <row r="86" spans="1:22">
      <c r="A86" s="2" t="s">
        <v>163</v>
      </c>
      <c r="B86" s="2">
        <f>IFERROR(INDEX('01_Компании'!$B$4:$B$103,MATCH(A86,'01_Компании'!$A$4:$A$103,0)),"")</f>
        <v>0</v>
      </c>
      <c r="C86" s="2">
        <f>IFERROR(INDEX('01_Компании'!$C$4:$C$103,MATCH(A86,'01_Компании'!$A$4:$A$103,0)),"")</f>
        <v>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6" t="str">
        <f>IF(COUNTA(D86:M86)=0,"",MMULT(D86:M86,'03_Критерии'!$E$4:$E$13)/SUM('03_Критерии'!$E$4:$E$13))</f>
        <v/>
      </c>
      <c r="O86" s="2" t="str">
        <f t="shared" si="6"/>
        <v/>
      </c>
      <c r="P86" s="2" t="str">
        <f t="shared" si="7"/>
        <v/>
      </c>
      <c r="Q86" s="2"/>
      <c r="R86" s="2" t="str">
        <f t="shared" si="8"/>
        <v/>
      </c>
      <c r="S86" s="2"/>
      <c r="T86" s="2"/>
      <c r="U86" s="2"/>
      <c r="V86" s="5"/>
    </row>
    <row r="87" spans="1:22">
      <c r="A87" s="2" t="s">
        <v>164</v>
      </c>
      <c r="B87" s="2">
        <f>IFERROR(INDEX('01_Компании'!$B$4:$B$103,MATCH(A87,'01_Компании'!$A$4:$A$103,0)),"")</f>
        <v>0</v>
      </c>
      <c r="C87" s="2">
        <f>IFERROR(INDEX('01_Компании'!$C$4:$C$103,MATCH(A87,'01_Компании'!$A$4:$A$103,0)),"")</f>
        <v>0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6" t="str">
        <f>IF(COUNTA(D87:M87)=0,"",MMULT(D87:M87,'03_Критерии'!$E$4:$E$13)/SUM('03_Критерии'!$E$4:$E$13))</f>
        <v/>
      </c>
      <c r="O87" s="2" t="str">
        <f t="shared" si="6"/>
        <v/>
      </c>
      <c r="P87" s="2" t="str">
        <f t="shared" si="7"/>
        <v/>
      </c>
      <c r="Q87" s="2"/>
      <c r="R87" s="2" t="str">
        <f t="shared" si="8"/>
        <v/>
      </c>
      <c r="S87" s="2"/>
      <c r="T87" s="2"/>
      <c r="U87" s="2"/>
      <c r="V87" s="5"/>
    </row>
    <row r="88" spans="1:22">
      <c r="A88" s="2" t="s">
        <v>165</v>
      </c>
      <c r="B88" s="2">
        <f>IFERROR(INDEX('01_Компании'!$B$4:$B$103,MATCH(A88,'01_Компании'!$A$4:$A$103,0)),"")</f>
        <v>0</v>
      </c>
      <c r="C88" s="2">
        <f>IFERROR(INDEX('01_Компании'!$C$4:$C$103,MATCH(A88,'01_Компании'!$A$4:$A$103,0)),"")</f>
        <v>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6" t="str">
        <f>IF(COUNTA(D88:M88)=0,"",MMULT(D88:M88,'03_Критерии'!$E$4:$E$13)/SUM('03_Критерии'!$E$4:$E$13))</f>
        <v/>
      </c>
      <c r="O88" s="2" t="str">
        <f t="shared" si="6"/>
        <v/>
      </c>
      <c r="P88" s="2" t="str">
        <f t="shared" si="7"/>
        <v/>
      </c>
      <c r="Q88" s="2"/>
      <c r="R88" s="2" t="str">
        <f t="shared" si="8"/>
        <v/>
      </c>
      <c r="S88" s="2"/>
      <c r="T88" s="2"/>
      <c r="U88" s="2"/>
      <c r="V88" s="5"/>
    </row>
    <row r="89" spans="1:22">
      <c r="A89" s="2" t="s">
        <v>166</v>
      </c>
      <c r="B89" s="2">
        <f>IFERROR(INDEX('01_Компании'!$B$4:$B$103,MATCH(A89,'01_Компании'!$A$4:$A$103,0)),"")</f>
        <v>0</v>
      </c>
      <c r="C89" s="2">
        <f>IFERROR(INDEX('01_Компании'!$C$4:$C$103,MATCH(A89,'01_Компании'!$A$4:$A$103,0)),"")</f>
        <v>0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6" t="str">
        <f>IF(COUNTA(D89:M89)=0,"",MMULT(D89:M89,'03_Критерии'!$E$4:$E$13)/SUM('03_Критерии'!$E$4:$E$13))</f>
        <v/>
      </c>
      <c r="O89" s="2" t="str">
        <f t="shared" si="6"/>
        <v/>
      </c>
      <c r="P89" s="2" t="str">
        <f t="shared" si="7"/>
        <v/>
      </c>
      <c r="Q89" s="2"/>
      <c r="R89" s="2" t="str">
        <f t="shared" si="8"/>
        <v/>
      </c>
      <c r="S89" s="2"/>
      <c r="T89" s="2"/>
      <c r="U89" s="2"/>
      <c r="V89" s="5"/>
    </row>
    <row r="90" spans="1:22">
      <c r="A90" s="2" t="s">
        <v>167</v>
      </c>
      <c r="B90" s="2">
        <f>IFERROR(INDEX('01_Компании'!$B$4:$B$103,MATCH(A90,'01_Компании'!$A$4:$A$103,0)),"")</f>
        <v>0</v>
      </c>
      <c r="C90" s="2">
        <f>IFERROR(INDEX('01_Компании'!$C$4:$C$103,MATCH(A90,'01_Компании'!$A$4:$A$103,0)),"")</f>
        <v>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6" t="str">
        <f>IF(COUNTA(D90:M90)=0,"",MMULT(D90:M90,'03_Критерии'!$E$4:$E$13)/SUM('03_Критерии'!$E$4:$E$13))</f>
        <v/>
      </c>
      <c r="O90" s="2" t="str">
        <f t="shared" si="6"/>
        <v/>
      </c>
      <c r="P90" s="2" t="str">
        <f t="shared" si="7"/>
        <v/>
      </c>
      <c r="Q90" s="2"/>
      <c r="R90" s="2" t="str">
        <f t="shared" si="8"/>
        <v/>
      </c>
      <c r="S90" s="2"/>
      <c r="T90" s="2"/>
      <c r="U90" s="2"/>
      <c r="V90" s="5"/>
    </row>
    <row r="91" spans="1:22">
      <c r="A91" s="2" t="s">
        <v>168</v>
      </c>
      <c r="B91" s="2">
        <f>IFERROR(INDEX('01_Компании'!$B$4:$B$103,MATCH(A91,'01_Компании'!$A$4:$A$103,0)),"")</f>
        <v>0</v>
      </c>
      <c r="C91" s="2">
        <f>IFERROR(INDEX('01_Компании'!$C$4:$C$103,MATCH(A91,'01_Компании'!$A$4:$A$103,0)),"")</f>
        <v>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6" t="str">
        <f>IF(COUNTA(D91:M91)=0,"",MMULT(D91:M91,'03_Критерии'!$E$4:$E$13)/SUM('03_Критерии'!$E$4:$E$13))</f>
        <v/>
      </c>
      <c r="O91" s="2" t="str">
        <f t="shared" si="6"/>
        <v/>
      </c>
      <c r="P91" s="2" t="str">
        <f t="shared" si="7"/>
        <v/>
      </c>
      <c r="Q91" s="2"/>
      <c r="R91" s="2" t="str">
        <f t="shared" si="8"/>
        <v/>
      </c>
      <c r="S91" s="2"/>
      <c r="T91" s="2"/>
      <c r="U91" s="2"/>
      <c r="V91" s="5"/>
    </row>
    <row r="92" spans="1:22">
      <c r="A92" s="2" t="s">
        <v>169</v>
      </c>
      <c r="B92" s="2">
        <f>IFERROR(INDEX('01_Компании'!$B$4:$B$103,MATCH(A92,'01_Компании'!$A$4:$A$103,0)),"")</f>
        <v>0</v>
      </c>
      <c r="C92" s="2">
        <f>IFERROR(INDEX('01_Компании'!$C$4:$C$103,MATCH(A92,'01_Компании'!$A$4:$A$103,0)),"")</f>
        <v>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6" t="str">
        <f>IF(COUNTA(D92:M92)=0,"",MMULT(D92:M92,'03_Критерии'!$E$4:$E$13)/SUM('03_Критерии'!$E$4:$E$13))</f>
        <v/>
      </c>
      <c r="O92" s="2" t="str">
        <f t="shared" si="6"/>
        <v/>
      </c>
      <c r="P92" s="2" t="str">
        <f t="shared" si="7"/>
        <v/>
      </c>
      <c r="Q92" s="2"/>
      <c r="R92" s="2" t="str">
        <f t="shared" si="8"/>
        <v/>
      </c>
      <c r="S92" s="2"/>
      <c r="T92" s="2"/>
      <c r="U92" s="2"/>
      <c r="V92" s="5"/>
    </row>
    <row r="93" spans="1:22">
      <c r="A93" s="2" t="s">
        <v>170</v>
      </c>
      <c r="B93" s="2">
        <f>IFERROR(INDEX('01_Компании'!$B$4:$B$103,MATCH(A93,'01_Компании'!$A$4:$A$103,0)),"")</f>
        <v>0</v>
      </c>
      <c r="C93" s="2">
        <f>IFERROR(INDEX('01_Компании'!$C$4:$C$103,MATCH(A93,'01_Компании'!$A$4:$A$103,0)),"")</f>
        <v>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6" t="str">
        <f>IF(COUNTA(D93:M93)=0,"",MMULT(D93:M93,'03_Критерии'!$E$4:$E$13)/SUM('03_Критерии'!$E$4:$E$13))</f>
        <v/>
      </c>
      <c r="O93" s="2" t="str">
        <f t="shared" si="6"/>
        <v/>
      </c>
      <c r="P93" s="2" t="str">
        <f t="shared" si="7"/>
        <v/>
      </c>
      <c r="Q93" s="2"/>
      <c r="R93" s="2" t="str">
        <f t="shared" si="8"/>
        <v/>
      </c>
      <c r="S93" s="2"/>
      <c r="T93" s="2"/>
      <c r="U93" s="2"/>
      <c r="V93" s="5"/>
    </row>
    <row r="94" spans="1:22">
      <c r="A94" s="2" t="s">
        <v>171</v>
      </c>
      <c r="B94" s="2">
        <f>IFERROR(INDEX('01_Компании'!$B$4:$B$103,MATCH(A94,'01_Компании'!$A$4:$A$103,0)),"")</f>
        <v>0</v>
      </c>
      <c r="C94" s="2">
        <f>IFERROR(INDEX('01_Компании'!$C$4:$C$103,MATCH(A94,'01_Компании'!$A$4:$A$103,0)),"")</f>
        <v>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6" t="str">
        <f>IF(COUNTA(D94:M94)=0,"",MMULT(D94:M94,'03_Критерии'!$E$4:$E$13)/SUM('03_Критерии'!$E$4:$E$13))</f>
        <v/>
      </c>
      <c r="O94" s="2" t="str">
        <f t="shared" si="6"/>
        <v/>
      </c>
      <c r="P94" s="2" t="str">
        <f t="shared" si="7"/>
        <v/>
      </c>
      <c r="Q94" s="2"/>
      <c r="R94" s="2" t="str">
        <f t="shared" si="8"/>
        <v/>
      </c>
      <c r="S94" s="2"/>
      <c r="T94" s="2"/>
      <c r="U94" s="2"/>
      <c r="V94" s="5"/>
    </row>
    <row r="95" spans="1:22">
      <c r="A95" s="2" t="s">
        <v>172</v>
      </c>
      <c r="B95" s="2">
        <f>IFERROR(INDEX('01_Компании'!$B$4:$B$103,MATCH(A95,'01_Компании'!$A$4:$A$103,0)),"")</f>
        <v>0</v>
      </c>
      <c r="C95" s="2">
        <f>IFERROR(INDEX('01_Компании'!$C$4:$C$103,MATCH(A95,'01_Компании'!$A$4:$A$103,0)),"")</f>
        <v>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6" t="str">
        <f>IF(COUNTA(D95:M95)=0,"",MMULT(D95:M95,'03_Критерии'!$E$4:$E$13)/SUM('03_Критерии'!$E$4:$E$13))</f>
        <v/>
      </c>
      <c r="O95" s="2" t="str">
        <f t="shared" si="6"/>
        <v/>
      </c>
      <c r="P95" s="2" t="str">
        <f t="shared" si="7"/>
        <v/>
      </c>
      <c r="Q95" s="2"/>
      <c r="R95" s="2" t="str">
        <f t="shared" si="8"/>
        <v/>
      </c>
      <c r="S95" s="2"/>
      <c r="T95" s="2"/>
      <c r="U95" s="2"/>
      <c r="V95" s="5"/>
    </row>
    <row r="96" spans="1:22">
      <c r="A96" s="2" t="s">
        <v>173</v>
      </c>
      <c r="B96" s="2">
        <f>IFERROR(INDEX('01_Компании'!$B$4:$B$103,MATCH(A96,'01_Компании'!$A$4:$A$103,0)),"")</f>
        <v>0</v>
      </c>
      <c r="C96" s="2">
        <f>IFERROR(INDEX('01_Компании'!$C$4:$C$103,MATCH(A96,'01_Компании'!$A$4:$A$103,0)),"")</f>
        <v>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6" t="str">
        <f>IF(COUNTA(D96:M96)=0,"",MMULT(D96:M96,'03_Критерии'!$E$4:$E$13)/SUM('03_Критерии'!$E$4:$E$13))</f>
        <v/>
      </c>
      <c r="O96" s="2" t="str">
        <f t="shared" si="6"/>
        <v/>
      </c>
      <c r="P96" s="2" t="str">
        <f t="shared" si="7"/>
        <v/>
      </c>
      <c r="Q96" s="2"/>
      <c r="R96" s="2" t="str">
        <f t="shared" si="8"/>
        <v/>
      </c>
      <c r="S96" s="2"/>
      <c r="T96" s="2"/>
      <c r="U96" s="2"/>
      <c r="V96" s="5"/>
    </row>
    <row r="97" spans="1:22">
      <c r="A97" s="2" t="s">
        <v>174</v>
      </c>
      <c r="B97" s="2">
        <f>IFERROR(INDEX('01_Компании'!$B$4:$B$103,MATCH(A97,'01_Компании'!$A$4:$A$103,0)),"")</f>
        <v>0</v>
      </c>
      <c r="C97" s="2">
        <f>IFERROR(INDEX('01_Компании'!$C$4:$C$103,MATCH(A97,'01_Компании'!$A$4:$A$103,0)),"")</f>
        <v>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6" t="str">
        <f>IF(COUNTA(D97:M97)=0,"",MMULT(D97:M97,'03_Критерии'!$E$4:$E$13)/SUM('03_Критерии'!$E$4:$E$13))</f>
        <v/>
      </c>
      <c r="O97" s="2" t="str">
        <f t="shared" si="6"/>
        <v/>
      </c>
      <c r="P97" s="2" t="str">
        <f t="shared" si="7"/>
        <v/>
      </c>
      <c r="Q97" s="2"/>
      <c r="R97" s="2" t="str">
        <f t="shared" si="8"/>
        <v/>
      </c>
      <c r="S97" s="2"/>
      <c r="T97" s="2"/>
      <c r="U97" s="2"/>
      <c r="V97" s="5"/>
    </row>
    <row r="98" spans="1:22">
      <c r="A98" s="2" t="s">
        <v>175</v>
      </c>
      <c r="B98" s="2">
        <f>IFERROR(INDEX('01_Компании'!$B$4:$B$103,MATCH(A98,'01_Компании'!$A$4:$A$103,0)),"")</f>
        <v>0</v>
      </c>
      <c r="C98" s="2">
        <f>IFERROR(INDEX('01_Компании'!$C$4:$C$103,MATCH(A98,'01_Компании'!$A$4:$A$103,0)),"")</f>
        <v>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6" t="str">
        <f>IF(COUNTA(D98:M98)=0,"",MMULT(D98:M98,'03_Критерии'!$E$4:$E$13)/SUM('03_Критерии'!$E$4:$E$13))</f>
        <v/>
      </c>
      <c r="O98" s="2" t="str">
        <f t="shared" si="6"/>
        <v/>
      </c>
      <c r="P98" s="2" t="str">
        <f t="shared" si="7"/>
        <v/>
      </c>
      <c r="Q98" s="2"/>
      <c r="R98" s="2" t="str">
        <f t="shared" si="8"/>
        <v/>
      </c>
      <c r="S98" s="2"/>
      <c r="T98" s="2"/>
      <c r="U98" s="2"/>
      <c r="V98" s="5"/>
    </row>
    <row r="99" spans="1:22">
      <c r="A99" s="2" t="s">
        <v>176</v>
      </c>
      <c r="B99" s="2">
        <f>IFERROR(INDEX('01_Компании'!$B$4:$B$103,MATCH(A99,'01_Компании'!$A$4:$A$103,0)),"")</f>
        <v>0</v>
      </c>
      <c r="C99" s="2">
        <f>IFERROR(INDEX('01_Компании'!$C$4:$C$103,MATCH(A99,'01_Компании'!$A$4:$A$103,0)),"")</f>
        <v>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6" t="str">
        <f>IF(COUNTA(D99:M99)=0,"",MMULT(D99:M99,'03_Критерии'!$E$4:$E$13)/SUM('03_Критерии'!$E$4:$E$13))</f>
        <v/>
      </c>
      <c r="O99" s="2" t="str">
        <f t="shared" si="6"/>
        <v/>
      </c>
      <c r="P99" s="2" t="str">
        <f t="shared" si="7"/>
        <v/>
      </c>
      <c r="Q99" s="2"/>
      <c r="R99" s="2" t="str">
        <f t="shared" si="8"/>
        <v/>
      </c>
      <c r="S99" s="2"/>
      <c r="T99" s="2"/>
      <c r="U99" s="2"/>
      <c r="V99" s="5"/>
    </row>
    <row r="100" spans="1:22">
      <c r="A100" s="2" t="s">
        <v>177</v>
      </c>
      <c r="B100" s="2">
        <f>IFERROR(INDEX('01_Компании'!$B$4:$B$103,MATCH(A100,'01_Компании'!$A$4:$A$103,0)),"")</f>
        <v>0</v>
      </c>
      <c r="C100" s="2">
        <f>IFERROR(INDEX('01_Компании'!$C$4:$C$103,MATCH(A100,'01_Компании'!$A$4:$A$103,0)),"")</f>
        <v>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6" t="str">
        <f>IF(COUNTA(D100:M100)=0,"",MMULT(D100:M100,'03_Критерии'!$E$4:$E$13)/SUM('03_Критерии'!$E$4:$E$13))</f>
        <v/>
      </c>
      <c r="O100" s="2" t="str">
        <f t="shared" ref="O100:O131" si="9">IF(N100="","",IF(COUNTA(D100:M100)&lt;6,"Недостаточно данных",IF(D100&lt;3,"Низкое совпадение задачи",IF(F100&lt;3,"Низкая товарная заменяемость","Нет"))))</f>
        <v/>
      </c>
      <c r="P100" s="2" t="str">
        <f t="shared" ref="P100:P131" si="10">IF(N100="","",IF(O100="Недостаточно данных","Недостаточно данных",IF(OR(D100&lt;3,F100&lt;3),IF(N100&gt;=2.5,"Косвенный конкурент / заменитель",IF(N100&gt;=1.6,"Смежная или потенциальная конкуренция","Не конкурент / объект наблюдения")),IF(N100&gt;=4.2,"Прямой конкурент",IF(N100&gt;=3.4,"Близкий альтернативный конкурент",IF(N100&gt;=2.5,"Косвенный конкурент / заменитель",IF(N100&gt;=1.6,"Смежная или потенциальная конкуренция","Не конкурент / объект наблюдения")))))))</f>
        <v/>
      </c>
      <c r="Q100" s="2"/>
      <c r="R100" s="2" t="str">
        <f t="shared" ref="R100:R131" si="11">IF(Q100="",P100,Q100)</f>
        <v/>
      </c>
      <c r="S100" s="2"/>
      <c r="T100" s="2"/>
      <c r="U100" s="2"/>
      <c r="V100" s="5"/>
    </row>
    <row r="101" spans="1:22">
      <c r="A101" s="2" t="s">
        <v>178</v>
      </c>
      <c r="B101" s="2">
        <f>IFERROR(INDEX('01_Компании'!$B$4:$B$103,MATCH(A101,'01_Компании'!$A$4:$A$103,0)),"")</f>
        <v>0</v>
      </c>
      <c r="C101" s="2">
        <f>IFERROR(INDEX('01_Компании'!$C$4:$C$103,MATCH(A101,'01_Компании'!$A$4:$A$103,0)),"")</f>
        <v>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6" t="str">
        <f>IF(COUNTA(D101:M101)=0,"",MMULT(D101:M101,'03_Критерии'!$E$4:$E$13)/SUM('03_Критерии'!$E$4:$E$13))</f>
        <v/>
      </c>
      <c r="O101" s="2" t="str">
        <f t="shared" si="9"/>
        <v/>
      </c>
      <c r="P101" s="2" t="str">
        <f t="shared" si="10"/>
        <v/>
      </c>
      <c r="Q101" s="2"/>
      <c r="R101" s="2" t="str">
        <f t="shared" si="11"/>
        <v/>
      </c>
      <c r="S101" s="2"/>
      <c r="T101" s="2"/>
      <c r="U101" s="2"/>
      <c r="V101" s="5"/>
    </row>
    <row r="102" spans="1:22">
      <c r="A102" s="2" t="s">
        <v>179</v>
      </c>
      <c r="B102" s="2">
        <f>IFERROR(INDEX('01_Компании'!$B$4:$B$103,MATCH(A102,'01_Компании'!$A$4:$A$103,0)),"")</f>
        <v>0</v>
      </c>
      <c r="C102" s="2">
        <f>IFERROR(INDEX('01_Компании'!$C$4:$C$103,MATCH(A102,'01_Компании'!$A$4:$A$103,0)),"")</f>
        <v>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6" t="str">
        <f>IF(COUNTA(D102:M102)=0,"",MMULT(D102:M102,'03_Критерии'!$E$4:$E$13)/SUM('03_Критерии'!$E$4:$E$13))</f>
        <v/>
      </c>
      <c r="O102" s="2" t="str">
        <f t="shared" si="9"/>
        <v/>
      </c>
      <c r="P102" s="2" t="str">
        <f t="shared" si="10"/>
        <v/>
      </c>
      <c r="Q102" s="2"/>
      <c r="R102" s="2" t="str">
        <f t="shared" si="11"/>
        <v/>
      </c>
      <c r="S102" s="2"/>
      <c r="T102" s="2"/>
      <c r="U102" s="2"/>
      <c r="V102" s="5"/>
    </row>
    <row r="103" spans="1:22">
      <c r="A103" s="2" t="s">
        <v>180</v>
      </c>
      <c r="B103" s="2">
        <f>IFERROR(INDEX('01_Компании'!$B$4:$B$103,MATCH(A103,'01_Компании'!$A$4:$A$103,0)),"")</f>
        <v>0</v>
      </c>
      <c r="C103" s="2">
        <f>IFERROR(INDEX('01_Компании'!$C$4:$C$103,MATCH(A103,'01_Компании'!$A$4:$A$103,0)),"")</f>
        <v>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6" t="str">
        <f>IF(COUNTA(D103:M103)=0,"",MMULT(D103:M103,'03_Критерии'!$E$4:$E$13)/SUM('03_Критерии'!$E$4:$E$13))</f>
        <v/>
      </c>
      <c r="O103" s="2" t="str">
        <f t="shared" si="9"/>
        <v/>
      </c>
      <c r="P103" s="2" t="str">
        <f t="shared" si="10"/>
        <v/>
      </c>
      <c r="Q103" s="2"/>
      <c r="R103" s="2" t="str">
        <f t="shared" si="11"/>
        <v/>
      </c>
      <c r="S103" s="2"/>
      <c r="T103" s="2"/>
      <c r="U103" s="2"/>
      <c r="V103" s="5"/>
    </row>
  </sheetData>
  <mergeCells count="1">
    <mergeCell ref="A1:V1"/>
  </mergeCells>
  <conditionalFormatting sqref="N4:N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conditionalFormatting sqref="R4:R103">
    <cfRule type="expression" dxfId="5" priority="2">
      <formula>R4="Прямой конкурент"</formula>
    </cfRule>
    <cfRule type="expression" dxfId="4" priority="3">
      <formula>R4="Близкий альтернативный конкурент"</formula>
    </cfRule>
    <cfRule type="expression" dxfId="3" priority="4">
      <formula>R4="Косвенный конкурент / заменитель"</formula>
    </cfRule>
    <cfRule type="expression" dxfId="2" priority="5">
      <formula>R4="Не конкурент / объект наблюдения"</formula>
    </cfRule>
  </conditionalFormatting>
  <conditionalFormatting sqref="S4:S103">
    <cfRule type="expression" dxfId="1" priority="6">
      <formula>S4="Проверено"</formula>
    </cfRule>
    <cfRule type="expression" dxfId="0" priority="7">
      <formula>S4="Требует уточнения"</formula>
    </cfRule>
  </conditionalFormatting>
  <dataValidations count="1">
    <dataValidation sqref="D4:M103" xr:uid="{00000000-0002-0000-0400-000000000000}">
      <formula1>0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'08_Справочники'!$A$2:$A$7</xm:f>
          </x14:formula1>
          <xm:sqref>Q4:R103</xm:sqref>
        </x14:dataValidation>
        <x14:dataValidation type="list" xr:uid="{00000000-0002-0000-0400-000003000000}">
          <x14:formula1>
            <xm:f>'08_Справочники'!$B$2:$B$6</xm:f>
          </x14:formula1>
          <xm:sqref>S4:S103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/>
  </sheetViews>
  <sheetFormatPr defaultRowHeight="13.5"/>
  <cols>
    <col min="1" max="1" width="32" customWidth="1"/>
    <col min="2" max="2" width="45" customWidth="1"/>
    <col min="3" max="3" width="34" customWidth="1"/>
    <col min="4" max="4" width="16" customWidth="1"/>
    <col min="5" max="5" width="32" customWidth="1"/>
    <col min="6" max="6" width="45" customWidth="1"/>
    <col min="7" max="7" width="34" customWidth="1"/>
  </cols>
  <sheetData>
    <row r="1" spans="1:26" ht="16.05" customHeight="1">
      <c r="A1" s="10" t="s">
        <v>306</v>
      </c>
      <c r="B1" s="11" t="s">
        <v>306</v>
      </c>
      <c r="C1" s="11" t="s">
        <v>306</v>
      </c>
      <c r="D1" s="11" t="s">
        <v>306</v>
      </c>
      <c r="E1" s="11" t="s">
        <v>306</v>
      </c>
      <c r="F1" s="11" t="s">
        <v>306</v>
      </c>
      <c r="G1" s="11" t="s">
        <v>306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3.9">
      <c r="A3" s="1" t="s">
        <v>307</v>
      </c>
      <c r="B3" s="1" t="s">
        <v>308</v>
      </c>
      <c r="C3" s="1" t="s">
        <v>309</v>
      </c>
      <c r="D3" s="1" t="s">
        <v>310</v>
      </c>
      <c r="E3" s="1" t="s">
        <v>311</v>
      </c>
      <c r="F3" s="1" t="s">
        <v>312</v>
      </c>
      <c r="G3" s="1" t="s">
        <v>313</v>
      </c>
    </row>
    <row r="4" spans="1:26" ht="40.5">
      <c r="A4" s="2" t="s">
        <v>314</v>
      </c>
      <c r="B4" s="2" t="s">
        <v>315</v>
      </c>
      <c r="C4" s="2" t="s">
        <v>316</v>
      </c>
      <c r="D4" s="2" t="s">
        <v>317</v>
      </c>
      <c r="E4" s="2" t="s">
        <v>318</v>
      </c>
      <c r="F4" s="2" t="s">
        <v>319</v>
      </c>
      <c r="G4" s="2" t="s">
        <v>320</v>
      </c>
    </row>
    <row r="5" spans="1:26" ht="40.5">
      <c r="A5" s="2" t="s">
        <v>321</v>
      </c>
      <c r="B5" s="2" t="s">
        <v>322</v>
      </c>
      <c r="C5" s="2" t="s">
        <v>323</v>
      </c>
      <c r="D5" s="2" t="s">
        <v>324</v>
      </c>
      <c r="E5" s="2" t="s">
        <v>325</v>
      </c>
      <c r="F5" s="2" t="s">
        <v>326</v>
      </c>
      <c r="G5" s="2" t="s">
        <v>327</v>
      </c>
    </row>
    <row r="6" spans="1:26" ht="40.5">
      <c r="A6" s="2" t="s">
        <v>328</v>
      </c>
      <c r="B6" s="2" t="s">
        <v>329</v>
      </c>
      <c r="C6" s="2" t="s">
        <v>330</v>
      </c>
      <c r="D6" s="2" t="s">
        <v>331</v>
      </c>
      <c r="E6" s="2" t="s">
        <v>332</v>
      </c>
      <c r="F6" s="2" t="s">
        <v>333</v>
      </c>
      <c r="G6" s="2" t="s">
        <v>334</v>
      </c>
    </row>
    <row r="7" spans="1:26" ht="54">
      <c r="A7" s="2" t="s">
        <v>335</v>
      </c>
      <c r="B7" s="2" t="s">
        <v>336</v>
      </c>
      <c r="C7" s="2" t="s">
        <v>337</v>
      </c>
      <c r="D7" s="2" t="s">
        <v>338</v>
      </c>
      <c r="E7" s="2" t="s">
        <v>339</v>
      </c>
      <c r="F7" s="2" t="s">
        <v>340</v>
      </c>
      <c r="G7" s="2" t="s">
        <v>341</v>
      </c>
    </row>
    <row r="8" spans="1:26" ht="40.5">
      <c r="A8" s="2" t="s">
        <v>342</v>
      </c>
      <c r="B8" s="2" t="s">
        <v>343</v>
      </c>
      <c r="C8" s="2" t="s">
        <v>344</v>
      </c>
      <c r="D8" s="2" t="s">
        <v>345</v>
      </c>
      <c r="E8" s="2" t="s">
        <v>346</v>
      </c>
      <c r="F8" s="2" t="s">
        <v>347</v>
      </c>
      <c r="G8" s="2" t="s">
        <v>348</v>
      </c>
    </row>
    <row r="9" spans="1:26" ht="27">
      <c r="A9" s="2" t="s">
        <v>349</v>
      </c>
      <c r="B9" s="2" t="s">
        <v>350</v>
      </c>
      <c r="C9" s="2" t="s">
        <v>351</v>
      </c>
      <c r="D9" s="2" t="s">
        <v>352</v>
      </c>
      <c r="E9" s="2" t="s">
        <v>353</v>
      </c>
      <c r="F9" s="2" t="s">
        <v>354</v>
      </c>
      <c r="G9" s="2" t="s">
        <v>355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"/>
  <sheetViews>
    <sheetView workbookViewId="0"/>
  </sheetViews>
  <sheetFormatPr defaultRowHeight="13.5"/>
  <cols>
    <col min="1" max="1" width="38" customWidth="1"/>
    <col min="2" max="2" width="30" customWidth="1"/>
    <col min="3" max="3" width="34" customWidth="1"/>
    <col min="4" max="4" width="12" customWidth="1"/>
    <col min="5" max="5" width="34" customWidth="1"/>
    <col min="6" max="6" width="48" customWidth="1"/>
  </cols>
  <sheetData>
    <row r="1" spans="1:26" ht="16.05" customHeight="1">
      <c r="A1" s="10" t="s">
        <v>356</v>
      </c>
      <c r="B1" s="11" t="s">
        <v>356</v>
      </c>
      <c r="C1" s="11" t="s">
        <v>356</v>
      </c>
      <c r="D1" s="11" t="s">
        <v>356</v>
      </c>
      <c r="E1" s="11" t="s">
        <v>356</v>
      </c>
      <c r="F1" s="11" t="s">
        <v>356</v>
      </c>
      <c r="G1" s="11" t="s">
        <v>356</v>
      </c>
      <c r="H1" s="11" t="s">
        <v>356</v>
      </c>
      <c r="I1" s="11" t="s">
        <v>356</v>
      </c>
      <c r="J1" s="11" t="s">
        <v>356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3.9">
      <c r="A3" s="1" t="s">
        <v>357</v>
      </c>
      <c r="B3" s="1" t="s">
        <v>358</v>
      </c>
      <c r="C3" s="2"/>
      <c r="D3" s="2"/>
      <c r="E3" s="2"/>
      <c r="F3" s="2"/>
    </row>
    <row r="4" spans="1:26">
      <c r="A4" s="2" t="s">
        <v>359</v>
      </c>
      <c r="B4" s="2">
        <f>COUNTA('01_Компании'!$B$4:$B$103)</f>
        <v>10</v>
      </c>
      <c r="C4" s="2"/>
      <c r="D4" s="2"/>
      <c r="E4" s="2"/>
      <c r="F4" s="2"/>
    </row>
    <row r="5" spans="1:26">
      <c r="A5" s="2" t="s">
        <v>360</v>
      </c>
      <c r="B5" s="2">
        <f>COUNT('04_Оценка'!$N$4:$N$103)</f>
        <v>10</v>
      </c>
      <c r="C5" s="2"/>
      <c r="D5" s="2"/>
      <c r="E5" s="2"/>
      <c r="F5" s="2"/>
    </row>
    <row r="6" spans="1:26">
      <c r="A6" s="2" t="s">
        <v>361</v>
      </c>
      <c r="B6" s="6">
        <f>IFERROR(AVERAGE('04_Оценка'!$N$4:$N$103),"")</f>
        <v>3.1530000000000005</v>
      </c>
      <c r="C6" s="2"/>
      <c r="D6" s="2"/>
      <c r="E6" s="2"/>
      <c r="F6" s="2"/>
    </row>
    <row r="7" spans="1:26">
      <c r="A7" s="2" t="s">
        <v>362</v>
      </c>
      <c r="B7" s="2">
        <f>COUNTIF('04_Оценка'!$R$4:$R$103,"Прямой конкурент")</f>
        <v>0</v>
      </c>
      <c r="C7" s="2"/>
      <c r="D7" s="2"/>
      <c r="E7" s="2"/>
      <c r="F7" s="2"/>
    </row>
    <row r="8" spans="1:26" ht="27">
      <c r="A8" s="2" t="s">
        <v>363</v>
      </c>
      <c r="B8" s="2">
        <f>COUNTIF('04_Оценка'!$R$4:$R$103,"Близкий альтернативный конкурент")</f>
        <v>4</v>
      </c>
      <c r="C8" s="2"/>
      <c r="D8" s="2"/>
      <c r="E8" s="2"/>
      <c r="F8" s="2"/>
    </row>
    <row r="9" spans="1:26">
      <c r="A9" s="2"/>
      <c r="B9" s="2"/>
      <c r="C9" s="2"/>
      <c r="D9" s="2"/>
      <c r="E9" s="2"/>
      <c r="F9" s="2"/>
    </row>
    <row r="10" spans="1:26" ht="27.75">
      <c r="A10" s="1" t="s">
        <v>364</v>
      </c>
      <c r="B10" s="1" t="s">
        <v>365</v>
      </c>
      <c r="C10" s="1" t="s">
        <v>366</v>
      </c>
      <c r="D10" s="1" t="s">
        <v>367</v>
      </c>
      <c r="E10" s="2"/>
      <c r="F10" s="2"/>
    </row>
    <row r="11" spans="1:26" ht="67.5">
      <c r="A11" s="2" t="s">
        <v>314</v>
      </c>
      <c r="B11" s="2">
        <f>COUNTIF('04_Оценка'!$R$4:$R$103,A11)</f>
        <v>0</v>
      </c>
      <c r="C11" s="7">
        <f t="shared" ref="C11:C16" si="0">IFERROR(B11/SUM($B$11:$B$16),0)</f>
        <v>0</v>
      </c>
      <c r="D11" s="2" t="s">
        <v>368</v>
      </c>
      <c r="E11" s="2"/>
      <c r="F11" s="2"/>
    </row>
    <row r="12" spans="1:26" ht="67.5">
      <c r="A12" s="2" t="s">
        <v>321</v>
      </c>
      <c r="B12" s="2">
        <f>COUNTIF('04_Оценка'!$R$4:$R$103,A12)</f>
        <v>4</v>
      </c>
      <c r="C12" s="7">
        <f t="shared" si="0"/>
        <v>0.4</v>
      </c>
      <c r="D12" s="2" t="s">
        <v>369</v>
      </c>
      <c r="E12" s="2"/>
      <c r="F12" s="2"/>
    </row>
    <row r="13" spans="1:26" ht="67.5">
      <c r="A13" s="2" t="s">
        <v>328</v>
      </c>
      <c r="B13" s="2">
        <f>COUNTIF('04_Оценка'!$R$4:$R$103,A13)</f>
        <v>6</v>
      </c>
      <c r="C13" s="7">
        <f t="shared" si="0"/>
        <v>0.6</v>
      </c>
      <c r="D13" s="2" t="s">
        <v>370</v>
      </c>
      <c r="E13" s="2"/>
      <c r="F13" s="2"/>
    </row>
    <row r="14" spans="1:26" ht="40.5">
      <c r="A14" s="2" t="s">
        <v>335</v>
      </c>
      <c r="B14" s="2">
        <f>COUNTIF('04_Оценка'!$R$4:$R$103,A14)</f>
        <v>0</v>
      </c>
      <c r="C14" s="7">
        <f t="shared" si="0"/>
        <v>0</v>
      </c>
      <c r="D14" s="2" t="s">
        <v>371</v>
      </c>
      <c r="E14" s="2"/>
      <c r="F14" s="2"/>
    </row>
    <row r="15" spans="1:26" ht="40.5">
      <c r="A15" s="2" t="s">
        <v>342</v>
      </c>
      <c r="B15" s="2">
        <f>COUNTIF('04_Оценка'!$R$4:$R$103,A15)</f>
        <v>0</v>
      </c>
      <c r="C15" s="7">
        <f t="shared" si="0"/>
        <v>0</v>
      </c>
      <c r="D15" s="2" t="s">
        <v>372</v>
      </c>
      <c r="E15" s="2"/>
      <c r="F15" s="2"/>
    </row>
    <row r="16" spans="1:26" ht="40.5">
      <c r="A16" s="2" t="s">
        <v>349</v>
      </c>
      <c r="B16" s="2">
        <f>COUNTIF('04_Оценка'!$R$4:$R$103,A16)</f>
        <v>0</v>
      </c>
      <c r="C16" s="7">
        <f t="shared" si="0"/>
        <v>0</v>
      </c>
      <c r="D16" s="2" t="s">
        <v>373</v>
      </c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 ht="27.75">
      <c r="A18" s="1" t="s">
        <v>374</v>
      </c>
      <c r="B18" s="1" t="s">
        <v>69</v>
      </c>
      <c r="C18" s="1" t="s">
        <v>70</v>
      </c>
      <c r="D18" s="1" t="s">
        <v>375</v>
      </c>
      <c r="E18" s="1" t="s">
        <v>42</v>
      </c>
      <c r="F18" s="1" t="s">
        <v>376</v>
      </c>
    </row>
    <row r="19" spans="1:6">
      <c r="A19" s="2">
        <v>1</v>
      </c>
      <c r="B19" s="2" t="str">
        <f>IF(D19="","",INDEX('04_Оценка'!$B$4:$B$103,MATCH(D19,'04_Оценка'!$N$4:$N$103,0)))</f>
        <v>PerfectXL</v>
      </c>
      <c r="C19" s="2" t="str">
        <f>IF(D19="","",INDEX('04_Оценка'!$C$4:$C$103,MATCH(D19,'04_Оценка'!$N$4:$N$103,0)))</f>
        <v>perfectxl.com</v>
      </c>
      <c r="D19" s="6">
        <f>IFERROR(LARGE('04_Оценка'!$N$4:$N$103,A19),"")</f>
        <v>4.1100000000000003</v>
      </c>
      <c r="E19" s="2" t="str">
        <f>IF(D19="","",INDEX('04_Оценка'!$R$4:$R$103,MATCH(D19,'04_Оценка'!$N$4:$N$103,0)))</f>
        <v>Близкий альтернативный конкурент</v>
      </c>
      <c r="F19" s="2">
        <f>IF(D19="","",INDEX('04_Оценка'!$T$4:$T$103,MATCH(D19,'04_Оценка'!$N$4:$N$103,0)))</f>
        <v>0</v>
      </c>
    </row>
    <row r="20" spans="1:6">
      <c r="A20" s="2">
        <v>2</v>
      </c>
      <c r="B20" s="2" t="str">
        <f>IF(D20="","",INDEX('04_Оценка'!$B$4:$B$103,MATCH(D20,'04_Оценка'!$N$4:$N$103,0)))</f>
        <v>Microsoft 365 Copilot</v>
      </c>
      <c r="C20" s="2" t="str">
        <f>IF(D20="","",INDEX('04_Оценка'!$C$4:$C$103,MATCH(D20,'04_Оценка'!$N$4:$N$103,0)))</f>
        <v>microsoft.com/microsoft-365-copilot</v>
      </c>
      <c r="D20" s="6">
        <f>IFERROR(LARGE('04_Оценка'!$N$4:$N$103,A20),"")</f>
        <v>3.88</v>
      </c>
      <c r="E20" s="2" t="str">
        <f>IF(D20="","",INDEX('04_Оценка'!$R$4:$R$103,MATCH(D20,'04_Оценка'!$N$4:$N$103,0)))</f>
        <v>Близкий альтернативный конкурент</v>
      </c>
      <c r="F20" s="2">
        <f>IF(D20="","",INDEX('04_Оценка'!$T$4:$T$103,MATCH(D20,'04_Оценка'!$N$4:$N$103,0)))</f>
        <v>0</v>
      </c>
    </row>
    <row r="21" spans="1:6">
      <c r="A21" s="2">
        <v>3</v>
      </c>
      <c r="B21" s="2" t="str">
        <f>IF(D21="","",INDEX('04_Оценка'!$B$4:$B$103,MATCH(D21,'04_Оценка'!$N$4:$N$103,0)))</f>
        <v>Shortcut</v>
      </c>
      <c r="C21" s="2" t="str">
        <f>IF(D21="","",INDEX('04_Оценка'!$C$4:$C$103,MATCH(D21,'04_Оценка'!$N$4:$N$103,0)))</f>
        <v>shortcut.ai</v>
      </c>
      <c r="D21" s="6">
        <f>IFERROR(LARGE('04_Оценка'!$N$4:$N$103,A21),"")</f>
        <v>3.47</v>
      </c>
      <c r="E21" s="2" t="str">
        <f>IF(D21="","",INDEX('04_Оценка'!$R$4:$R$103,MATCH(D21,'04_Оценка'!$N$4:$N$103,0)))</f>
        <v>Близкий альтернативный конкурент</v>
      </c>
      <c r="F21" s="2">
        <f>IF(D21="","",INDEX('04_Оценка'!$T$4:$T$103,MATCH(D21,'04_Оценка'!$N$4:$N$103,0)))</f>
        <v>0</v>
      </c>
    </row>
    <row r="22" spans="1:6">
      <c r="A22" s="2">
        <v>4</v>
      </c>
      <c r="B22" s="2" t="str">
        <f>IF(D22="","",INDEX('04_Оценка'!$B$4:$B$103,MATCH(D22,'04_Оценка'!$N$4:$N$103,0)))</f>
        <v>Arixcel</v>
      </c>
      <c r="C22" s="2" t="str">
        <f>IF(D22="","",INDEX('04_Оценка'!$C$4:$C$103,MATCH(D22,'04_Оценка'!$N$4:$N$103,0)))</f>
        <v>arixcel.com</v>
      </c>
      <c r="D22" s="6">
        <f>IFERROR(LARGE('04_Оценка'!$N$4:$N$103,A22),"")</f>
        <v>3.44</v>
      </c>
      <c r="E22" s="2" t="str">
        <f>IF(D22="","",INDEX('04_Оценка'!$R$4:$R$103,MATCH(D22,'04_Оценка'!$N$4:$N$103,0)))</f>
        <v>Близкий альтернативный конкурент</v>
      </c>
      <c r="F22" s="2">
        <f>IF(D22="","",INDEX('04_Оценка'!$T$4:$T$103,MATCH(D22,'04_Оценка'!$N$4:$N$103,0)))</f>
        <v>0</v>
      </c>
    </row>
    <row r="23" spans="1:6">
      <c r="A23" s="2">
        <v>5</v>
      </c>
      <c r="B23" s="2" t="str">
        <f>IF(D23="","",INDEX('04_Оценка'!$B$4:$B$103,MATCH(D23,'04_Оценка'!$N$4:$N$103,0)))</f>
        <v>Operis</v>
      </c>
      <c r="C23" s="2" t="str">
        <f>IF(D23="","",INDEX('04_Оценка'!$C$4:$C$103,MATCH(D23,'04_Оценка'!$N$4:$N$103,0)))</f>
        <v>operis.com</v>
      </c>
      <c r="D23" s="6">
        <f>IFERROR(LARGE('04_Оценка'!$N$4:$N$103,A23),"")</f>
        <v>3.05</v>
      </c>
      <c r="E23" s="2" t="str">
        <f>IF(D23="","",INDEX('04_Оценка'!$R$4:$R$103,MATCH(D23,'04_Оценка'!$N$4:$N$103,0)))</f>
        <v>Косвенный конкурент / заменитель</v>
      </c>
      <c r="F23" s="2">
        <f>IF(D23="","",INDEX('04_Оценка'!$T$4:$T$103,MATCH(D23,'04_Оценка'!$N$4:$N$103,0)))</f>
        <v>0</v>
      </c>
    </row>
    <row r="24" spans="1:6">
      <c r="A24" s="2">
        <v>6</v>
      </c>
      <c r="B24" s="2" t="str">
        <f>IF(D24="","",INDEX('04_Оценка'!$B$4:$B$103,MATCH(D24,'04_Оценка'!$N$4:$N$103,0)))</f>
        <v>DataSnipper</v>
      </c>
      <c r="C24" s="2" t="str">
        <f>IF(D24="","",INDEX('04_Оценка'!$C$4:$C$103,MATCH(D24,'04_Оценка'!$N$4:$N$103,0)))</f>
        <v>datasnipper.com</v>
      </c>
      <c r="D24" s="6">
        <f>IFERROR(LARGE('04_Оценка'!$N$4:$N$103,A24),"")</f>
        <v>3.02</v>
      </c>
      <c r="E24" s="2" t="str">
        <f>IF(D24="","",INDEX('04_Оценка'!$R$4:$R$103,MATCH(D24,'04_Оценка'!$N$4:$N$103,0)))</f>
        <v>Косвенный конкурент / заменитель</v>
      </c>
      <c r="F24" s="2">
        <f>IF(D24="","",INDEX('04_Оценка'!$T$4:$T$103,MATCH(D24,'04_Оценка'!$N$4:$N$103,0)))</f>
        <v>0</v>
      </c>
    </row>
    <row r="25" spans="1:6">
      <c r="A25" s="2">
        <v>7</v>
      </c>
      <c r="B25" s="2" t="str">
        <f>IF(D25="","",INDEX('04_Оценка'!$B$4:$B$103,MATCH(D25,'04_Оценка'!$N$4:$N$103,0)))</f>
        <v>Datarails</v>
      </c>
      <c r="C25" s="2" t="str">
        <f>IF(D25="","",INDEX('04_Оценка'!$C$4:$C$103,MATCH(D25,'04_Оценка'!$N$4:$N$103,0)))</f>
        <v>datarails.com</v>
      </c>
      <c r="D25" s="6">
        <f>IFERROR(LARGE('04_Оценка'!$N$4:$N$103,A25),"")</f>
        <v>2.85</v>
      </c>
      <c r="E25" s="2" t="str">
        <f>IF(D25="","",INDEX('04_Оценка'!$R$4:$R$103,MATCH(D25,'04_Оценка'!$N$4:$N$103,0)))</f>
        <v>Косвенный конкурент / заменитель</v>
      </c>
      <c r="F25" s="2">
        <f>IF(D25="","",INDEX('04_Оценка'!$T$4:$T$103,MATCH(D25,'04_Оценка'!$N$4:$N$103,0)))</f>
        <v>0</v>
      </c>
    </row>
    <row r="26" spans="1:6">
      <c r="A26" s="2">
        <v>8</v>
      </c>
      <c r="B26" s="2" t="str">
        <f>IF(D26="","",INDEX('04_Оценка'!$B$4:$B$103,MATCH(D26,'04_Оценка'!$N$4:$N$103,0)))</f>
        <v>Numerous.ai</v>
      </c>
      <c r="C26" s="2" t="str">
        <f>IF(D26="","",INDEX('04_Оценка'!$C$4:$C$103,MATCH(D26,'04_Оценка'!$N$4:$N$103,0)))</f>
        <v>numerous.ai</v>
      </c>
      <c r="D26" s="6">
        <f>IFERROR(LARGE('04_Оценка'!$N$4:$N$103,A26),"")</f>
        <v>2.61</v>
      </c>
      <c r="E26" s="2" t="str">
        <f>IF(D26="","",INDEX('04_Оценка'!$R$4:$R$103,MATCH(D26,'04_Оценка'!$N$4:$N$103,0)))</f>
        <v>Косвенный конкурент / заменитель</v>
      </c>
      <c r="F26" s="2">
        <f>IF(D26="","",INDEX('04_Оценка'!$T$4:$T$103,MATCH(D26,'04_Оценка'!$N$4:$N$103,0)))</f>
        <v>0</v>
      </c>
    </row>
    <row r="27" spans="1:6">
      <c r="A27" s="2">
        <v>9</v>
      </c>
      <c r="B27" s="2" t="str">
        <f>IF(D27="","",INDEX('04_Оценка'!$B$4:$B$103,MATCH(D27,'04_Оценка'!$N$4:$N$103,0)))</f>
        <v>Formula Bot</v>
      </c>
      <c r="C27" s="2" t="str">
        <f>IF(D27="","",INDEX('04_Оценка'!$C$4:$C$103,MATCH(D27,'04_Оценка'!$N$4:$N$103,0)))</f>
        <v>formulabot.com</v>
      </c>
      <c r="D27" s="6">
        <f>IFERROR(LARGE('04_Оценка'!$N$4:$N$103,A27),"")</f>
        <v>2.58</v>
      </c>
      <c r="E27" s="2" t="str">
        <f>IF(D27="","",INDEX('04_Оценка'!$R$4:$R$103,MATCH(D27,'04_Оценка'!$N$4:$N$103,0)))</f>
        <v>Косвенный конкурент / заменитель</v>
      </c>
      <c r="F27" s="2">
        <f>IF(D27="","",INDEX('04_Оценка'!$T$4:$T$103,MATCH(D27,'04_Оценка'!$N$4:$N$103,0)))</f>
        <v>0</v>
      </c>
    </row>
    <row r="28" spans="1:6">
      <c r="A28" s="2">
        <v>10</v>
      </c>
      <c r="B28" s="2" t="str">
        <f>IF(D28="","",INDEX('04_Оценка'!$B$4:$B$103,MATCH(D28,'04_Оценка'!$N$4:$N$103,0)))</f>
        <v>Rows</v>
      </c>
      <c r="C28" s="2" t="str">
        <f>IF(D28="","",INDEX('04_Оценка'!$C$4:$C$103,MATCH(D28,'04_Оценка'!$N$4:$N$103,0)))</f>
        <v>rows.com</v>
      </c>
      <c r="D28" s="6">
        <f>IFERROR(LARGE('04_Оценка'!$N$4:$N$103,A28),"")</f>
        <v>2.52</v>
      </c>
      <c r="E28" s="2" t="str">
        <f>IF(D28="","",INDEX('04_Оценка'!$R$4:$R$103,MATCH(D28,'04_Оценка'!$N$4:$N$103,0)))</f>
        <v>Косвенный конкурент / заменитель</v>
      </c>
      <c r="F28" s="2">
        <f>IF(D28="","",INDEX('04_Оценка'!$T$4:$T$103,MATCH(D28,'04_Оценка'!$N$4:$N$103,0)))</f>
        <v>0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3"/>
  <sheetViews>
    <sheetView workbookViewId="0"/>
  </sheetViews>
  <sheetFormatPr defaultRowHeight="13.5"/>
  <cols>
    <col min="1" max="1" width="8" customWidth="1"/>
    <col min="2" max="2" width="28" customWidth="1"/>
    <col min="3" max="4" width="22" customWidth="1"/>
    <col min="5" max="5" width="14" customWidth="1"/>
    <col min="6" max="6" width="34" customWidth="1"/>
    <col min="7" max="7" width="30" customWidth="1"/>
    <col min="8" max="9" width="34" customWidth="1"/>
    <col min="10" max="10" width="14" customWidth="1"/>
    <col min="11" max="11" width="18" customWidth="1"/>
  </cols>
  <sheetData>
    <row r="1" spans="1:26" ht="16.05" customHeight="1">
      <c r="A1" s="10" t="s">
        <v>377</v>
      </c>
      <c r="B1" s="11" t="s">
        <v>377</v>
      </c>
      <c r="C1" s="11" t="s">
        <v>377</v>
      </c>
      <c r="D1" s="11" t="s">
        <v>377</v>
      </c>
      <c r="E1" s="11" t="s">
        <v>377</v>
      </c>
      <c r="F1" s="11" t="s">
        <v>377</v>
      </c>
      <c r="G1" s="11" t="s">
        <v>377</v>
      </c>
      <c r="H1" s="11" t="s">
        <v>377</v>
      </c>
      <c r="I1" s="11" t="s">
        <v>377</v>
      </c>
      <c r="J1" s="11" t="s">
        <v>377</v>
      </c>
      <c r="K1" s="11" t="s">
        <v>377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27.75">
      <c r="A3" s="1" t="s">
        <v>68</v>
      </c>
      <c r="B3" s="1" t="s">
        <v>69</v>
      </c>
      <c r="C3" s="1" t="s">
        <v>378</v>
      </c>
      <c r="D3" s="1" t="s">
        <v>379</v>
      </c>
      <c r="E3" s="1" t="s">
        <v>298</v>
      </c>
      <c r="F3" s="1" t="s">
        <v>42</v>
      </c>
      <c r="G3" s="1" t="s">
        <v>380</v>
      </c>
      <c r="H3" s="1" t="s">
        <v>80</v>
      </c>
      <c r="I3" s="1" t="s">
        <v>381</v>
      </c>
      <c r="J3" s="1" t="s">
        <v>76</v>
      </c>
      <c r="K3" s="1" t="s">
        <v>78</v>
      </c>
    </row>
    <row r="4" spans="1:26">
      <c r="A4" s="2" t="s">
        <v>81</v>
      </c>
      <c r="B4" s="2" t="str">
        <f>IFERROR(INDEX('04_Оценка'!$B$4:$B$103,MATCH(A4,'04_Оценка'!$A$4:$A$103,0)),"")</f>
        <v>PerfectXL</v>
      </c>
      <c r="C4" s="6">
        <f>IFERROR(AVERAGE('04_Оценка'!D4,'04_Оценка'!F4),"")</f>
        <v>4.5</v>
      </c>
      <c r="D4" s="6">
        <f>IFERROR(AVERAGE('04_Оценка'!E4,'04_Оценка'!J4),"")</f>
        <v>4</v>
      </c>
      <c r="E4" s="6">
        <f>IFERROR('04_Оценка'!N4,"")</f>
        <v>4.1100000000000003</v>
      </c>
      <c r="F4" s="2" t="str">
        <f>IFERROR('04_Оценка'!R4,"")</f>
        <v>Близкий альтернативный конкурент</v>
      </c>
      <c r="G4" s="2" t="str">
        <f t="shared" ref="G4:G35" si="0">IF(E4="","",IF(AND(C4&gt;=4,D4&gt;=4),"Ядро прямой конкуренции",IF(AND(C4&gt;=3,D4&gt;=3),"Близкая альтернатива",IF(C4&gt;=3,"Функциональный заменитель",IF(D4&gt;=3,"Аудиторное пересечение","Периферия")))))</f>
        <v>Ядро прямой конкуренции</v>
      </c>
      <c r="H4" s="2"/>
      <c r="I4" s="2"/>
      <c r="J4" s="2" t="str">
        <f>IFERROR(INDEX('01_Компании'!$I$4:$I$103,MATCH(A4,'01_Компании'!$A$4:$A$103,0)),"")</f>
        <v>высокий</v>
      </c>
      <c r="K4" s="2">
        <f>IFERROR(INDEX('04_Оценка'!$S$4:$S$103,MATCH(A4,'04_Оценка'!$A$4:$A$103,0)),"")</f>
        <v>0</v>
      </c>
    </row>
    <row r="5" spans="1:26">
      <c r="A5" s="2" t="s">
        <v>82</v>
      </c>
      <c r="B5" s="2" t="str">
        <f>IFERROR(INDEX('04_Оценка'!$B$4:$B$103,MATCH(A5,'04_Оценка'!$A$4:$A$103,0)),"")</f>
        <v>Arixcel</v>
      </c>
      <c r="C5" s="6">
        <f>IFERROR(AVERAGE('04_Оценка'!D5,'04_Оценка'!F5),"")</f>
        <v>3.5</v>
      </c>
      <c r="D5" s="6">
        <f>IFERROR(AVERAGE('04_Оценка'!E5,'04_Оценка'!J5),"")</f>
        <v>4</v>
      </c>
      <c r="E5" s="6">
        <f>IFERROR('04_Оценка'!N5,"")</f>
        <v>3.44</v>
      </c>
      <c r="F5" s="2" t="str">
        <f>IFERROR('04_Оценка'!R5,"")</f>
        <v>Близкий альтернативный конкурент</v>
      </c>
      <c r="G5" s="2" t="str">
        <f t="shared" si="0"/>
        <v>Близкая альтернатива</v>
      </c>
      <c r="H5" s="2"/>
      <c r="I5" s="2"/>
      <c r="J5" s="2" t="str">
        <f>IFERROR(INDEX('01_Компании'!$I$4:$I$103,MATCH(A5,'01_Компании'!$A$4:$A$103,0)),"")</f>
        <v>высокий</v>
      </c>
      <c r="K5" s="2">
        <f>IFERROR(INDEX('04_Оценка'!$S$4:$S$103,MATCH(A5,'04_Оценка'!$A$4:$A$103,0)),"")</f>
        <v>0</v>
      </c>
    </row>
    <row r="6" spans="1:26">
      <c r="A6" s="2" t="s">
        <v>83</v>
      </c>
      <c r="B6" s="2" t="str">
        <f>IFERROR(INDEX('04_Оценка'!$B$4:$B$103,MATCH(A6,'04_Оценка'!$A$4:$A$103,0)),"")</f>
        <v>Operis</v>
      </c>
      <c r="C6" s="6">
        <f>IFERROR(AVERAGE('04_Оценка'!D6,'04_Оценка'!F6),"")</f>
        <v>3.5</v>
      </c>
      <c r="D6" s="6">
        <f>IFERROR(AVERAGE('04_Оценка'!E6,'04_Оценка'!J6),"")</f>
        <v>3</v>
      </c>
      <c r="E6" s="6">
        <f>IFERROR('04_Оценка'!N6,"")</f>
        <v>3.05</v>
      </c>
      <c r="F6" s="2" t="str">
        <f>IFERROR('04_Оценка'!R6,"")</f>
        <v>Косвенный конкурент / заменитель</v>
      </c>
      <c r="G6" s="2" t="str">
        <f t="shared" si="0"/>
        <v>Близкая альтернатива</v>
      </c>
      <c r="H6" s="2"/>
      <c r="I6" s="2"/>
      <c r="J6" s="2" t="str">
        <f>IFERROR(INDEX('01_Компании'!$I$4:$I$103,MATCH(A6,'01_Компании'!$A$4:$A$103,0)),"")</f>
        <v>высокий</v>
      </c>
      <c r="K6" s="2">
        <f>IFERROR(INDEX('04_Оценка'!$S$4:$S$103,MATCH(A6,'04_Оценка'!$A$4:$A$103,0)),"")</f>
        <v>0</v>
      </c>
    </row>
    <row r="7" spans="1:26">
      <c r="A7" s="2" t="s">
        <v>84</v>
      </c>
      <c r="B7" s="2" t="str">
        <f>IFERROR(INDEX('04_Оценка'!$B$4:$B$103,MATCH(A7,'04_Оценка'!$A$4:$A$103,0)),"")</f>
        <v>Shortcut</v>
      </c>
      <c r="C7" s="6">
        <f>IFERROR(AVERAGE('04_Оценка'!D7,'04_Оценка'!F7),"")</f>
        <v>3</v>
      </c>
      <c r="D7" s="6">
        <f>IFERROR(AVERAGE('04_Оценка'!E7,'04_Оценка'!J7),"")</f>
        <v>4</v>
      </c>
      <c r="E7" s="6">
        <f>IFERROR('04_Оценка'!N7,"")</f>
        <v>3.47</v>
      </c>
      <c r="F7" s="2" t="str">
        <f>IFERROR('04_Оценка'!R7,"")</f>
        <v>Близкий альтернативный конкурент</v>
      </c>
      <c r="G7" s="2" t="str">
        <f t="shared" si="0"/>
        <v>Близкая альтернатива</v>
      </c>
      <c r="H7" s="2"/>
      <c r="I7" s="2"/>
      <c r="J7" s="2" t="str">
        <f>IFERROR(INDEX('01_Компании'!$I$4:$I$103,MATCH(A7,'01_Компании'!$A$4:$A$103,0)),"")</f>
        <v>высокий</v>
      </c>
      <c r="K7" s="2">
        <f>IFERROR(INDEX('04_Оценка'!$S$4:$S$103,MATCH(A7,'04_Оценка'!$A$4:$A$103,0)),"")</f>
        <v>0</v>
      </c>
    </row>
    <row r="8" spans="1:26">
      <c r="A8" s="2" t="s">
        <v>85</v>
      </c>
      <c r="B8" s="2" t="str">
        <f>IFERROR(INDEX('04_Оценка'!$B$4:$B$103,MATCH(A8,'04_Оценка'!$A$4:$A$103,0)),"")</f>
        <v>Numerous.ai</v>
      </c>
      <c r="C8" s="6">
        <f>IFERROR(AVERAGE('04_Оценка'!D8,'04_Оценка'!F8),"")</f>
        <v>2</v>
      </c>
      <c r="D8" s="6">
        <f>IFERROR(AVERAGE('04_Оценка'!E8,'04_Оценка'!J8),"")</f>
        <v>3</v>
      </c>
      <c r="E8" s="6">
        <f>IFERROR('04_Оценка'!N8,"")</f>
        <v>2.61</v>
      </c>
      <c r="F8" s="2" t="str">
        <f>IFERROR('04_Оценка'!R8,"")</f>
        <v>Косвенный конкурент / заменитель</v>
      </c>
      <c r="G8" s="2" t="str">
        <f t="shared" si="0"/>
        <v>Аудиторное пересечение</v>
      </c>
      <c r="H8" s="2"/>
      <c r="I8" s="2"/>
      <c r="J8" s="2" t="str">
        <f>IFERROR(INDEX('01_Компании'!$I$4:$I$103,MATCH(A8,'01_Компании'!$A$4:$A$103,0)),"")</f>
        <v>высокий</v>
      </c>
      <c r="K8" s="2">
        <f>IFERROR(INDEX('04_Оценка'!$S$4:$S$103,MATCH(A8,'04_Оценка'!$A$4:$A$103,0)),"")</f>
        <v>0</v>
      </c>
    </row>
    <row r="9" spans="1:26">
      <c r="A9" s="2" t="s">
        <v>86</v>
      </c>
      <c r="B9" s="2" t="str">
        <f>IFERROR(INDEX('04_Оценка'!$B$4:$B$103,MATCH(A9,'04_Оценка'!$A$4:$A$103,0)),"")</f>
        <v>Datarails</v>
      </c>
      <c r="C9" s="6">
        <f>IFERROR(AVERAGE('04_Оценка'!D9,'04_Оценка'!F9),"")</f>
        <v>2</v>
      </c>
      <c r="D9" s="6">
        <f>IFERROR(AVERAGE('04_Оценка'!E9,'04_Оценка'!J9),"")</f>
        <v>3.5</v>
      </c>
      <c r="E9" s="6">
        <f>IFERROR('04_Оценка'!N9,"")</f>
        <v>2.85</v>
      </c>
      <c r="F9" s="2" t="str">
        <f>IFERROR('04_Оценка'!R9,"")</f>
        <v>Косвенный конкурент / заменитель</v>
      </c>
      <c r="G9" s="2" t="str">
        <f t="shared" si="0"/>
        <v>Аудиторное пересечение</v>
      </c>
      <c r="H9" s="2"/>
      <c r="I9" s="2"/>
      <c r="J9" s="2" t="str">
        <f>IFERROR(INDEX('01_Компании'!$I$4:$I$103,MATCH(A9,'01_Компании'!$A$4:$A$103,0)),"")</f>
        <v>высокий</v>
      </c>
      <c r="K9" s="2">
        <f>IFERROR(INDEX('04_Оценка'!$S$4:$S$103,MATCH(A9,'04_Оценка'!$A$4:$A$103,0)),"")</f>
        <v>0</v>
      </c>
    </row>
    <row r="10" spans="1:26">
      <c r="A10" s="2" t="s">
        <v>87</v>
      </c>
      <c r="B10" s="2" t="str">
        <f>IFERROR(INDEX('04_Оценка'!$B$4:$B$103,MATCH(A10,'04_Оценка'!$A$4:$A$103,0)),"")</f>
        <v>DataSnipper</v>
      </c>
      <c r="C10" s="6">
        <f>IFERROR(AVERAGE('04_Оценка'!D10,'04_Оценка'!F10),"")</f>
        <v>2.5</v>
      </c>
      <c r="D10" s="6">
        <f>IFERROR(AVERAGE('04_Оценка'!E10,'04_Оценка'!J10),"")</f>
        <v>3.5</v>
      </c>
      <c r="E10" s="6">
        <f>IFERROR('04_Оценка'!N10,"")</f>
        <v>3.02</v>
      </c>
      <c r="F10" s="2" t="str">
        <f>IFERROR('04_Оценка'!R10,"")</f>
        <v>Косвенный конкурент / заменитель</v>
      </c>
      <c r="G10" s="2" t="str">
        <f t="shared" si="0"/>
        <v>Аудиторное пересечение</v>
      </c>
      <c r="H10" s="2"/>
      <c r="I10" s="2"/>
      <c r="J10" s="2" t="str">
        <f>IFERROR(INDEX('01_Компании'!$I$4:$I$103,MATCH(A10,'01_Компании'!$A$4:$A$103,0)),"")</f>
        <v>высокий</v>
      </c>
      <c r="K10" s="2">
        <f>IFERROR(INDEX('04_Оценка'!$S$4:$S$103,MATCH(A10,'04_Оценка'!$A$4:$A$103,0)),"")</f>
        <v>0</v>
      </c>
    </row>
    <row r="11" spans="1:26">
      <c r="A11" s="2" t="s">
        <v>88</v>
      </c>
      <c r="B11" s="2" t="str">
        <f>IFERROR(INDEX('04_Оценка'!$B$4:$B$103,MATCH(A11,'04_Оценка'!$A$4:$A$103,0)),"")</f>
        <v>Rows</v>
      </c>
      <c r="C11" s="6">
        <f>IFERROR(AVERAGE('04_Оценка'!D11,'04_Оценка'!F11),"")</f>
        <v>1.5</v>
      </c>
      <c r="D11" s="6">
        <f>IFERROR(AVERAGE('04_Оценка'!E11,'04_Оценка'!J11),"")</f>
        <v>3</v>
      </c>
      <c r="E11" s="6">
        <f>IFERROR('04_Оценка'!N11,"")</f>
        <v>2.52</v>
      </c>
      <c r="F11" s="2" t="str">
        <f>IFERROR('04_Оценка'!R11,"")</f>
        <v>Косвенный конкурент / заменитель</v>
      </c>
      <c r="G11" s="2" t="str">
        <f t="shared" si="0"/>
        <v>Аудиторное пересечение</v>
      </c>
      <c r="H11" s="2"/>
      <c r="I11" s="2"/>
      <c r="J11" s="2" t="str">
        <f>IFERROR(INDEX('01_Компании'!$I$4:$I$103,MATCH(A11,'01_Компании'!$A$4:$A$103,0)),"")</f>
        <v>средний</v>
      </c>
      <c r="K11" s="2">
        <f>IFERROR(INDEX('04_Оценка'!$S$4:$S$103,MATCH(A11,'04_Оценка'!$A$4:$A$103,0)),"")</f>
        <v>0</v>
      </c>
    </row>
    <row r="12" spans="1:26">
      <c r="A12" s="2" t="s">
        <v>89</v>
      </c>
      <c r="B12" s="2" t="str">
        <f>IFERROR(INDEX('04_Оценка'!$B$4:$B$103,MATCH(A12,'04_Оценка'!$A$4:$A$103,0)),"")</f>
        <v>Formula Bot</v>
      </c>
      <c r="C12" s="6">
        <f>IFERROR(AVERAGE('04_Оценка'!D12,'04_Оценка'!F12),"")</f>
        <v>2</v>
      </c>
      <c r="D12" s="6">
        <f>IFERROR(AVERAGE('04_Оценка'!E12,'04_Оценка'!J12),"")</f>
        <v>3</v>
      </c>
      <c r="E12" s="6">
        <f>IFERROR('04_Оценка'!N12,"")</f>
        <v>2.58</v>
      </c>
      <c r="F12" s="2" t="str">
        <f>IFERROR('04_Оценка'!R12,"")</f>
        <v>Косвенный конкурент / заменитель</v>
      </c>
      <c r="G12" s="2" t="str">
        <f t="shared" si="0"/>
        <v>Аудиторное пересечение</v>
      </c>
      <c r="H12" s="2"/>
      <c r="I12" s="2"/>
      <c r="J12" s="2" t="str">
        <f>IFERROR(INDEX('01_Компании'!$I$4:$I$103,MATCH(A12,'01_Компании'!$A$4:$A$103,0)),"")</f>
        <v>средний</v>
      </c>
      <c r="K12" s="2">
        <f>IFERROR(INDEX('04_Оценка'!$S$4:$S$103,MATCH(A12,'04_Оценка'!$A$4:$A$103,0)),"")</f>
        <v>0</v>
      </c>
    </row>
    <row r="13" spans="1:26">
      <c r="A13" s="2" t="s">
        <v>90</v>
      </c>
      <c r="B13" s="2" t="str">
        <f>IFERROR(INDEX('04_Оценка'!$B$4:$B$103,MATCH(A13,'04_Оценка'!$A$4:$A$103,0)),"")</f>
        <v>Microsoft 365 Copilot</v>
      </c>
      <c r="C13" s="6">
        <f>IFERROR(AVERAGE('04_Оценка'!D13,'04_Оценка'!F13),"")</f>
        <v>3</v>
      </c>
      <c r="D13" s="6">
        <f>IFERROR(AVERAGE('04_Оценка'!E13,'04_Оценка'!J13),"")</f>
        <v>5</v>
      </c>
      <c r="E13" s="6">
        <f>IFERROR('04_Оценка'!N13,"")</f>
        <v>3.88</v>
      </c>
      <c r="F13" s="2" t="str">
        <f>IFERROR('04_Оценка'!R13,"")</f>
        <v>Близкий альтернативный конкурент</v>
      </c>
      <c r="G13" s="2" t="str">
        <f t="shared" si="0"/>
        <v>Близкая альтернатива</v>
      </c>
      <c r="H13" s="2"/>
      <c r="I13" s="2"/>
      <c r="J13" s="2" t="str">
        <f>IFERROR(INDEX('01_Компании'!$I$4:$I$103,MATCH(A13,'01_Компании'!$A$4:$A$103,0)),"")</f>
        <v>средний</v>
      </c>
      <c r="K13" s="2">
        <f>IFERROR(INDEX('04_Оценка'!$S$4:$S$103,MATCH(A13,'04_Оценка'!$A$4:$A$103,0)),"")</f>
        <v>0</v>
      </c>
    </row>
    <row r="14" spans="1:26">
      <c r="A14" s="2" t="s">
        <v>91</v>
      </c>
      <c r="B14" s="2">
        <f>IFERROR(INDEX('04_Оценка'!$B$4:$B$103,MATCH(A14,'04_Оценка'!$A$4:$A$103,0)),"")</f>
        <v>0</v>
      </c>
      <c r="C14" s="6" t="str">
        <f>IFERROR(AVERAGE('04_Оценка'!D14,'04_Оценка'!F14),"")</f>
        <v/>
      </c>
      <c r="D14" s="6" t="str">
        <f>IFERROR(AVERAGE('04_Оценка'!E14,'04_Оценка'!J14),"")</f>
        <v/>
      </c>
      <c r="E14" s="6" t="str">
        <f>IFERROR('04_Оценка'!N14,"")</f>
        <v/>
      </c>
      <c r="F14" s="2" t="str">
        <f>IFERROR('04_Оценка'!R14,"")</f>
        <v/>
      </c>
      <c r="G14" s="2" t="str">
        <f t="shared" si="0"/>
        <v/>
      </c>
      <c r="H14" s="2"/>
      <c r="I14" s="2"/>
      <c r="J14" s="2">
        <f>IFERROR(INDEX('01_Компании'!$I$4:$I$103,MATCH(A14,'01_Компании'!$A$4:$A$103,0)),"")</f>
        <v>0</v>
      </c>
      <c r="K14" s="2">
        <f>IFERROR(INDEX('04_Оценка'!$S$4:$S$103,MATCH(A14,'04_Оценка'!$A$4:$A$103,0)),"")</f>
        <v>0</v>
      </c>
    </row>
    <row r="15" spans="1:26">
      <c r="A15" s="2" t="s">
        <v>92</v>
      </c>
      <c r="B15" s="2">
        <f>IFERROR(INDEX('04_Оценка'!$B$4:$B$103,MATCH(A15,'04_Оценка'!$A$4:$A$103,0)),"")</f>
        <v>0</v>
      </c>
      <c r="C15" s="6" t="str">
        <f>IFERROR(AVERAGE('04_Оценка'!D15,'04_Оценка'!F15),"")</f>
        <v/>
      </c>
      <c r="D15" s="6" t="str">
        <f>IFERROR(AVERAGE('04_Оценка'!E15,'04_Оценка'!J15),"")</f>
        <v/>
      </c>
      <c r="E15" s="6" t="str">
        <f>IFERROR('04_Оценка'!N15,"")</f>
        <v/>
      </c>
      <c r="F15" s="2" t="str">
        <f>IFERROR('04_Оценка'!R15,"")</f>
        <v/>
      </c>
      <c r="G15" s="2" t="str">
        <f t="shared" si="0"/>
        <v/>
      </c>
      <c r="H15" s="2"/>
      <c r="I15" s="2"/>
      <c r="J15" s="2">
        <f>IFERROR(INDEX('01_Компании'!$I$4:$I$103,MATCH(A15,'01_Компании'!$A$4:$A$103,0)),"")</f>
        <v>0</v>
      </c>
      <c r="K15" s="2">
        <f>IFERROR(INDEX('04_Оценка'!$S$4:$S$103,MATCH(A15,'04_Оценка'!$A$4:$A$103,0)),"")</f>
        <v>0</v>
      </c>
    </row>
    <row r="16" spans="1:26">
      <c r="A16" s="2" t="s">
        <v>93</v>
      </c>
      <c r="B16" s="2">
        <f>IFERROR(INDEX('04_Оценка'!$B$4:$B$103,MATCH(A16,'04_Оценка'!$A$4:$A$103,0)),"")</f>
        <v>0</v>
      </c>
      <c r="C16" s="6" t="str">
        <f>IFERROR(AVERAGE('04_Оценка'!D16,'04_Оценка'!F16),"")</f>
        <v/>
      </c>
      <c r="D16" s="6" t="str">
        <f>IFERROR(AVERAGE('04_Оценка'!E16,'04_Оценка'!J16),"")</f>
        <v/>
      </c>
      <c r="E16" s="6" t="str">
        <f>IFERROR('04_Оценка'!N16,"")</f>
        <v/>
      </c>
      <c r="F16" s="2" t="str">
        <f>IFERROR('04_Оценка'!R16,"")</f>
        <v/>
      </c>
      <c r="G16" s="2" t="str">
        <f t="shared" si="0"/>
        <v/>
      </c>
      <c r="H16" s="2"/>
      <c r="I16" s="2"/>
      <c r="J16" s="2">
        <f>IFERROR(INDEX('01_Компании'!$I$4:$I$103,MATCH(A16,'01_Компании'!$A$4:$A$103,0)),"")</f>
        <v>0</v>
      </c>
      <c r="K16" s="2">
        <f>IFERROR(INDEX('04_Оценка'!$S$4:$S$103,MATCH(A16,'04_Оценка'!$A$4:$A$103,0)),"")</f>
        <v>0</v>
      </c>
    </row>
    <row r="17" spans="1:11">
      <c r="A17" s="2" t="s">
        <v>94</v>
      </c>
      <c r="B17" s="2">
        <f>IFERROR(INDEX('04_Оценка'!$B$4:$B$103,MATCH(A17,'04_Оценка'!$A$4:$A$103,0)),"")</f>
        <v>0</v>
      </c>
      <c r="C17" s="6" t="str">
        <f>IFERROR(AVERAGE('04_Оценка'!D17,'04_Оценка'!F17),"")</f>
        <v/>
      </c>
      <c r="D17" s="6" t="str">
        <f>IFERROR(AVERAGE('04_Оценка'!E17,'04_Оценка'!J17),"")</f>
        <v/>
      </c>
      <c r="E17" s="6" t="str">
        <f>IFERROR('04_Оценка'!N17,"")</f>
        <v/>
      </c>
      <c r="F17" s="2" t="str">
        <f>IFERROR('04_Оценка'!R17,"")</f>
        <v/>
      </c>
      <c r="G17" s="2" t="str">
        <f t="shared" si="0"/>
        <v/>
      </c>
      <c r="H17" s="2"/>
      <c r="I17" s="2"/>
      <c r="J17" s="2">
        <f>IFERROR(INDEX('01_Компании'!$I$4:$I$103,MATCH(A17,'01_Компании'!$A$4:$A$103,0)),"")</f>
        <v>0</v>
      </c>
      <c r="K17" s="2">
        <f>IFERROR(INDEX('04_Оценка'!$S$4:$S$103,MATCH(A17,'04_Оценка'!$A$4:$A$103,0)),"")</f>
        <v>0</v>
      </c>
    </row>
    <row r="18" spans="1:11">
      <c r="A18" s="2" t="s">
        <v>95</v>
      </c>
      <c r="B18" s="2">
        <f>IFERROR(INDEX('04_Оценка'!$B$4:$B$103,MATCH(A18,'04_Оценка'!$A$4:$A$103,0)),"")</f>
        <v>0</v>
      </c>
      <c r="C18" s="6" t="str">
        <f>IFERROR(AVERAGE('04_Оценка'!D18,'04_Оценка'!F18),"")</f>
        <v/>
      </c>
      <c r="D18" s="6" t="str">
        <f>IFERROR(AVERAGE('04_Оценка'!E18,'04_Оценка'!J18),"")</f>
        <v/>
      </c>
      <c r="E18" s="6" t="str">
        <f>IFERROR('04_Оценка'!N18,"")</f>
        <v/>
      </c>
      <c r="F18" s="2" t="str">
        <f>IFERROR('04_Оценка'!R18,"")</f>
        <v/>
      </c>
      <c r="G18" s="2" t="str">
        <f t="shared" si="0"/>
        <v/>
      </c>
      <c r="H18" s="2"/>
      <c r="I18" s="2"/>
      <c r="J18" s="2">
        <f>IFERROR(INDEX('01_Компании'!$I$4:$I$103,MATCH(A18,'01_Компании'!$A$4:$A$103,0)),"")</f>
        <v>0</v>
      </c>
      <c r="K18" s="2">
        <f>IFERROR(INDEX('04_Оценка'!$S$4:$S$103,MATCH(A18,'04_Оценка'!$A$4:$A$103,0)),"")</f>
        <v>0</v>
      </c>
    </row>
    <row r="19" spans="1:11">
      <c r="A19" s="2" t="s">
        <v>96</v>
      </c>
      <c r="B19" s="2">
        <f>IFERROR(INDEX('04_Оценка'!$B$4:$B$103,MATCH(A19,'04_Оценка'!$A$4:$A$103,0)),"")</f>
        <v>0</v>
      </c>
      <c r="C19" s="6" t="str">
        <f>IFERROR(AVERAGE('04_Оценка'!D19,'04_Оценка'!F19),"")</f>
        <v/>
      </c>
      <c r="D19" s="6" t="str">
        <f>IFERROR(AVERAGE('04_Оценка'!E19,'04_Оценка'!J19),"")</f>
        <v/>
      </c>
      <c r="E19" s="6" t="str">
        <f>IFERROR('04_Оценка'!N19,"")</f>
        <v/>
      </c>
      <c r="F19" s="2" t="str">
        <f>IFERROR('04_Оценка'!R19,"")</f>
        <v/>
      </c>
      <c r="G19" s="2" t="str">
        <f t="shared" si="0"/>
        <v/>
      </c>
      <c r="H19" s="2"/>
      <c r="I19" s="2"/>
      <c r="J19" s="2">
        <f>IFERROR(INDEX('01_Компании'!$I$4:$I$103,MATCH(A19,'01_Компании'!$A$4:$A$103,0)),"")</f>
        <v>0</v>
      </c>
      <c r="K19" s="2">
        <f>IFERROR(INDEX('04_Оценка'!$S$4:$S$103,MATCH(A19,'04_Оценка'!$A$4:$A$103,0)),"")</f>
        <v>0</v>
      </c>
    </row>
    <row r="20" spans="1:11">
      <c r="A20" s="2" t="s">
        <v>97</v>
      </c>
      <c r="B20" s="2">
        <f>IFERROR(INDEX('04_Оценка'!$B$4:$B$103,MATCH(A20,'04_Оценка'!$A$4:$A$103,0)),"")</f>
        <v>0</v>
      </c>
      <c r="C20" s="6" t="str">
        <f>IFERROR(AVERAGE('04_Оценка'!D20,'04_Оценка'!F20),"")</f>
        <v/>
      </c>
      <c r="D20" s="6" t="str">
        <f>IFERROR(AVERAGE('04_Оценка'!E20,'04_Оценка'!J20),"")</f>
        <v/>
      </c>
      <c r="E20" s="6" t="str">
        <f>IFERROR('04_Оценка'!N20,"")</f>
        <v/>
      </c>
      <c r="F20" s="2" t="str">
        <f>IFERROR('04_Оценка'!R20,"")</f>
        <v/>
      </c>
      <c r="G20" s="2" t="str">
        <f t="shared" si="0"/>
        <v/>
      </c>
      <c r="H20" s="2"/>
      <c r="I20" s="2"/>
      <c r="J20" s="2">
        <f>IFERROR(INDEX('01_Компании'!$I$4:$I$103,MATCH(A20,'01_Компании'!$A$4:$A$103,0)),"")</f>
        <v>0</v>
      </c>
      <c r="K20" s="2">
        <f>IFERROR(INDEX('04_Оценка'!$S$4:$S$103,MATCH(A20,'04_Оценка'!$A$4:$A$103,0)),"")</f>
        <v>0</v>
      </c>
    </row>
    <row r="21" spans="1:11">
      <c r="A21" s="2" t="s">
        <v>98</v>
      </c>
      <c r="B21" s="2">
        <f>IFERROR(INDEX('04_Оценка'!$B$4:$B$103,MATCH(A21,'04_Оценка'!$A$4:$A$103,0)),"")</f>
        <v>0</v>
      </c>
      <c r="C21" s="6" t="str">
        <f>IFERROR(AVERAGE('04_Оценка'!D21,'04_Оценка'!F21),"")</f>
        <v/>
      </c>
      <c r="D21" s="6" t="str">
        <f>IFERROR(AVERAGE('04_Оценка'!E21,'04_Оценка'!J21),"")</f>
        <v/>
      </c>
      <c r="E21" s="6" t="str">
        <f>IFERROR('04_Оценка'!N21,"")</f>
        <v/>
      </c>
      <c r="F21" s="2" t="str">
        <f>IFERROR('04_Оценка'!R21,"")</f>
        <v/>
      </c>
      <c r="G21" s="2" t="str">
        <f t="shared" si="0"/>
        <v/>
      </c>
      <c r="H21" s="2"/>
      <c r="I21" s="2"/>
      <c r="J21" s="2">
        <f>IFERROR(INDEX('01_Компании'!$I$4:$I$103,MATCH(A21,'01_Компании'!$A$4:$A$103,0)),"")</f>
        <v>0</v>
      </c>
      <c r="K21" s="2">
        <f>IFERROR(INDEX('04_Оценка'!$S$4:$S$103,MATCH(A21,'04_Оценка'!$A$4:$A$103,0)),"")</f>
        <v>0</v>
      </c>
    </row>
    <row r="22" spans="1:11">
      <c r="A22" s="2" t="s">
        <v>99</v>
      </c>
      <c r="B22" s="2">
        <f>IFERROR(INDEX('04_Оценка'!$B$4:$B$103,MATCH(A22,'04_Оценка'!$A$4:$A$103,0)),"")</f>
        <v>0</v>
      </c>
      <c r="C22" s="6" t="str">
        <f>IFERROR(AVERAGE('04_Оценка'!D22,'04_Оценка'!F22),"")</f>
        <v/>
      </c>
      <c r="D22" s="6" t="str">
        <f>IFERROR(AVERAGE('04_Оценка'!E22,'04_Оценка'!J22),"")</f>
        <v/>
      </c>
      <c r="E22" s="6" t="str">
        <f>IFERROR('04_Оценка'!N22,"")</f>
        <v/>
      </c>
      <c r="F22" s="2" t="str">
        <f>IFERROR('04_Оценка'!R22,"")</f>
        <v/>
      </c>
      <c r="G22" s="2" t="str">
        <f t="shared" si="0"/>
        <v/>
      </c>
      <c r="H22" s="2"/>
      <c r="I22" s="2"/>
      <c r="J22" s="2">
        <f>IFERROR(INDEX('01_Компании'!$I$4:$I$103,MATCH(A22,'01_Компании'!$A$4:$A$103,0)),"")</f>
        <v>0</v>
      </c>
      <c r="K22" s="2">
        <f>IFERROR(INDEX('04_Оценка'!$S$4:$S$103,MATCH(A22,'04_Оценка'!$A$4:$A$103,0)),"")</f>
        <v>0</v>
      </c>
    </row>
    <row r="23" spans="1:11">
      <c r="A23" s="2" t="s">
        <v>100</v>
      </c>
      <c r="B23" s="2">
        <f>IFERROR(INDEX('04_Оценка'!$B$4:$B$103,MATCH(A23,'04_Оценка'!$A$4:$A$103,0)),"")</f>
        <v>0</v>
      </c>
      <c r="C23" s="6" t="str">
        <f>IFERROR(AVERAGE('04_Оценка'!D23,'04_Оценка'!F23),"")</f>
        <v/>
      </c>
      <c r="D23" s="6" t="str">
        <f>IFERROR(AVERAGE('04_Оценка'!E23,'04_Оценка'!J23),"")</f>
        <v/>
      </c>
      <c r="E23" s="6" t="str">
        <f>IFERROR('04_Оценка'!N23,"")</f>
        <v/>
      </c>
      <c r="F23" s="2" t="str">
        <f>IFERROR('04_Оценка'!R23,"")</f>
        <v/>
      </c>
      <c r="G23" s="2" t="str">
        <f t="shared" si="0"/>
        <v/>
      </c>
      <c r="H23" s="2"/>
      <c r="I23" s="2"/>
      <c r="J23" s="2">
        <f>IFERROR(INDEX('01_Компании'!$I$4:$I$103,MATCH(A23,'01_Компании'!$A$4:$A$103,0)),"")</f>
        <v>0</v>
      </c>
      <c r="K23" s="2">
        <f>IFERROR(INDEX('04_Оценка'!$S$4:$S$103,MATCH(A23,'04_Оценка'!$A$4:$A$103,0)),"")</f>
        <v>0</v>
      </c>
    </row>
    <row r="24" spans="1:11">
      <c r="A24" s="2" t="s">
        <v>101</v>
      </c>
      <c r="B24" s="2">
        <f>IFERROR(INDEX('04_Оценка'!$B$4:$B$103,MATCH(A24,'04_Оценка'!$A$4:$A$103,0)),"")</f>
        <v>0</v>
      </c>
      <c r="C24" s="6" t="str">
        <f>IFERROR(AVERAGE('04_Оценка'!D24,'04_Оценка'!F24),"")</f>
        <v/>
      </c>
      <c r="D24" s="6" t="str">
        <f>IFERROR(AVERAGE('04_Оценка'!E24,'04_Оценка'!J24),"")</f>
        <v/>
      </c>
      <c r="E24" s="6" t="str">
        <f>IFERROR('04_Оценка'!N24,"")</f>
        <v/>
      </c>
      <c r="F24" s="2" t="str">
        <f>IFERROR('04_Оценка'!R24,"")</f>
        <v/>
      </c>
      <c r="G24" s="2" t="str">
        <f t="shared" si="0"/>
        <v/>
      </c>
      <c r="H24" s="2"/>
      <c r="I24" s="2"/>
      <c r="J24" s="2">
        <f>IFERROR(INDEX('01_Компании'!$I$4:$I$103,MATCH(A24,'01_Компании'!$A$4:$A$103,0)),"")</f>
        <v>0</v>
      </c>
      <c r="K24" s="2">
        <f>IFERROR(INDEX('04_Оценка'!$S$4:$S$103,MATCH(A24,'04_Оценка'!$A$4:$A$103,0)),"")</f>
        <v>0</v>
      </c>
    </row>
    <row r="25" spans="1:11">
      <c r="A25" s="2" t="s">
        <v>102</v>
      </c>
      <c r="B25" s="2">
        <f>IFERROR(INDEX('04_Оценка'!$B$4:$B$103,MATCH(A25,'04_Оценка'!$A$4:$A$103,0)),"")</f>
        <v>0</v>
      </c>
      <c r="C25" s="6" t="str">
        <f>IFERROR(AVERAGE('04_Оценка'!D25,'04_Оценка'!F25),"")</f>
        <v/>
      </c>
      <c r="D25" s="6" t="str">
        <f>IFERROR(AVERAGE('04_Оценка'!E25,'04_Оценка'!J25),"")</f>
        <v/>
      </c>
      <c r="E25" s="6" t="str">
        <f>IFERROR('04_Оценка'!N25,"")</f>
        <v/>
      </c>
      <c r="F25" s="2" t="str">
        <f>IFERROR('04_Оценка'!R25,"")</f>
        <v/>
      </c>
      <c r="G25" s="2" t="str">
        <f t="shared" si="0"/>
        <v/>
      </c>
      <c r="H25" s="2"/>
      <c r="I25" s="2"/>
      <c r="J25" s="2">
        <f>IFERROR(INDEX('01_Компании'!$I$4:$I$103,MATCH(A25,'01_Компании'!$A$4:$A$103,0)),"")</f>
        <v>0</v>
      </c>
      <c r="K25" s="2">
        <f>IFERROR(INDEX('04_Оценка'!$S$4:$S$103,MATCH(A25,'04_Оценка'!$A$4:$A$103,0)),"")</f>
        <v>0</v>
      </c>
    </row>
    <row r="26" spans="1:11">
      <c r="A26" s="2" t="s">
        <v>103</v>
      </c>
      <c r="B26" s="2">
        <f>IFERROR(INDEX('04_Оценка'!$B$4:$B$103,MATCH(A26,'04_Оценка'!$A$4:$A$103,0)),"")</f>
        <v>0</v>
      </c>
      <c r="C26" s="6" t="str">
        <f>IFERROR(AVERAGE('04_Оценка'!D26,'04_Оценка'!F26),"")</f>
        <v/>
      </c>
      <c r="D26" s="6" t="str">
        <f>IFERROR(AVERAGE('04_Оценка'!E26,'04_Оценка'!J26),"")</f>
        <v/>
      </c>
      <c r="E26" s="6" t="str">
        <f>IFERROR('04_Оценка'!N26,"")</f>
        <v/>
      </c>
      <c r="F26" s="2" t="str">
        <f>IFERROR('04_Оценка'!R26,"")</f>
        <v/>
      </c>
      <c r="G26" s="2" t="str">
        <f t="shared" si="0"/>
        <v/>
      </c>
      <c r="H26" s="2"/>
      <c r="I26" s="2"/>
      <c r="J26" s="2">
        <f>IFERROR(INDEX('01_Компании'!$I$4:$I$103,MATCH(A26,'01_Компании'!$A$4:$A$103,0)),"")</f>
        <v>0</v>
      </c>
      <c r="K26" s="2">
        <f>IFERROR(INDEX('04_Оценка'!$S$4:$S$103,MATCH(A26,'04_Оценка'!$A$4:$A$103,0)),"")</f>
        <v>0</v>
      </c>
    </row>
    <row r="27" spans="1:11">
      <c r="A27" s="2" t="s">
        <v>104</v>
      </c>
      <c r="B27" s="2">
        <f>IFERROR(INDEX('04_Оценка'!$B$4:$B$103,MATCH(A27,'04_Оценка'!$A$4:$A$103,0)),"")</f>
        <v>0</v>
      </c>
      <c r="C27" s="6" t="str">
        <f>IFERROR(AVERAGE('04_Оценка'!D27,'04_Оценка'!F27),"")</f>
        <v/>
      </c>
      <c r="D27" s="6" t="str">
        <f>IFERROR(AVERAGE('04_Оценка'!E27,'04_Оценка'!J27),"")</f>
        <v/>
      </c>
      <c r="E27" s="6" t="str">
        <f>IFERROR('04_Оценка'!N27,"")</f>
        <v/>
      </c>
      <c r="F27" s="2" t="str">
        <f>IFERROR('04_Оценка'!R27,"")</f>
        <v/>
      </c>
      <c r="G27" s="2" t="str">
        <f t="shared" si="0"/>
        <v/>
      </c>
      <c r="H27" s="2"/>
      <c r="I27" s="2"/>
      <c r="J27" s="2">
        <f>IFERROR(INDEX('01_Компании'!$I$4:$I$103,MATCH(A27,'01_Компании'!$A$4:$A$103,0)),"")</f>
        <v>0</v>
      </c>
      <c r="K27" s="2">
        <f>IFERROR(INDEX('04_Оценка'!$S$4:$S$103,MATCH(A27,'04_Оценка'!$A$4:$A$103,0)),"")</f>
        <v>0</v>
      </c>
    </row>
    <row r="28" spans="1:11">
      <c r="A28" s="2" t="s">
        <v>105</v>
      </c>
      <c r="B28" s="2">
        <f>IFERROR(INDEX('04_Оценка'!$B$4:$B$103,MATCH(A28,'04_Оценка'!$A$4:$A$103,0)),"")</f>
        <v>0</v>
      </c>
      <c r="C28" s="6" t="str">
        <f>IFERROR(AVERAGE('04_Оценка'!D28,'04_Оценка'!F28),"")</f>
        <v/>
      </c>
      <c r="D28" s="6" t="str">
        <f>IFERROR(AVERAGE('04_Оценка'!E28,'04_Оценка'!J28),"")</f>
        <v/>
      </c>
      <c r="E28" s="6" t="str">
        <f>IFERROR('04_Оценка'!N28,"")</f>
        <v/>
      </c>
      <c r="F28" s="2" t="str">
        <f>IFERROR('04_Оценка'!R28,"")</f>
        <v/>
      </c>
      <c r="G28" s="2" t="str">
        <f t="shared" si="0"/>
        <v/>
      </c>
      <c r="H28" s="2"/>
      <c r="I28" s="2"/>
      <c r="J28" s="2">
        <f>IFERROR(INDEX('01_Компании'!$I$4:$I$103,MATCH(A28,'01_Компании'!$A$4:$A$103,0)),"")</f>
        <v>0</v>
      </c>
      <c r="K28" s="2">
        <f>IFERROR(INDEX('04_Оценка'!$S$4:$S$103,MATCH(A28,'04_Оценка'!$A$4:$A$103,0)),"")</f>
        <v>0</v>
      </c>
    </row>
    <row r="29" spans="1:11">
      <c r="A29" s="2" t="s">
        <v>106</v>
      </c>
      <c r="B29" s="2">
        <f>IFERROR(INDEX('04_Оценка'!$B$4:$B$103,MATCH(A29,'04_Оценка'!$A$4:$A$103,0)),"")</f>
        <v>0</v>
      </c>
      <c r="C29" s="6" t="str">
        <f>IFERROR(AVERAGE('04_Оценка'!D29,'04_Оценка'!F29),"")</f>
        <v/>
      </c>
      <c r="D29" s="6" t="str">
        <f>IFERROR(AVERAGE('04_Оценка'!E29,'04_Оценка'!J29),"")</f>
        <v/>
      </c>
      <c r="E29" s="6" t="str">
        <f>IFERROR('04_Оценка'!N29,"")</f>
        <v/>
      </c>
      <c r="F29" s="2" t="str">
        <f>IFERROR('04_Оценка'!R29,"")</f>
        <v/>
      </c>
      <c r="G29" s="2" t="str">
        <f t="shared" si="0"/>
        <v/>
      </c>
      <c r="H29" s="2"/>
      <c r="I29" s="2"/>
      <c r="J29" s="2">
        <f>IFERROR(INDEX('01_Компании'!$I$4:$I$103,MATCH(A29,'01_Компании'!$A$4:$A$103,0)),"")</f>
        <v>0</v>
      </c>
      <c r="K29" s="2">
        <f>IFERROR(INDEX('04_Оценка'!$S$4:$S$103,MATCH(A29,'04_Оценка'!$A$4:$A$103,0)),"")</f>
        <v>0</v>
      </c>
    </row>
    <row r="30" spans="1:11">
      <c r="A30" s="2" t="s">
        <v>107</v>
      </c>
      <c r="B30" s="2">
        <f>IFERROR(INDEX('04_Оценка'!$B$4:$B$103,MATCH(A30,'04_Оценка'!$A$4:$A$103,0)),"")</f>
        <v>0</v>
      </c>
      <c r="C30" s="6" t="str">
        <f>IFERROR(AVERAGE('04_Оценка'!D30,'04_Оценка'!F30),"")</f>
        <v/>
      </c>
      <c r="D30" s="6" t="str">
        <f>IFERROR(AVERAGE('04_Оценка'!E30,'04_Оценка'!J30),"")</f>
        <v/>
      </c>
      <c r="E30" s="6" t="str">
        <f>IFERROR('04_Оценка'!N30,"")</f>
        <v/>
      </c>
      <c r="F30" s="2" t="str">
        <f>IFERROR('04_Оценка'!R30,"")</f>
        <v/>
      </c>
      <c r="G30" s="2" t="str">
        <f t="shared" si="0"/>
        <v/>
      </c>
      <c r="H30" s="2"/>
      <c r="I30" s="2"/>
      <c r="J30" s="2">
        <f>IFERROR(INDEX('01_Компании'!$I$4:$I$103,MATCH(A30,'01_Компании'!$A$4:$A$103,0)),"")</f>
        <v>0</v>
      </c>
      <c r="K30" s="2">
        <f>IFERROR(INDEX('04_Оценка'!$S$4:$S$103,MATCH(A30,'04_Оценка'!$A$4:$A$103,0)),"")</f>
        <v>0</v>
      </c>
    </row>
    <row r="31" spans="1:11">
      <c r="A31" s="2" t="s">
        <v>108</v>
      </c>
      <c r="B31" s="2">
        <f>IFERROR(INDEX('04_Оценка'!$B$4:$B$103,MATCH(A31,'04_Оценка'!$A$4:$A$103,0)),"")</f>
        <v>0</v>
      </c>
      <c r="C31" s="6" t="str">
        <f>IFERROR(AVERAGE('04_Оценка'!D31,'04_Оценка'!F31),"")</f>
        <v/>
      </c>
      <c r="D31" s="6" t="str">
        <f>IFERROR(AVERAGE('04_Оценка'!E31,'04_Оценка'!J31),"")</f>
        <v/>
      </c>
      <c r="E31" s="6" t="str">
        <f>IFERROR('04_Оценка'!N31,"")</f>
        <v/>
      </c>
      <c r="F31" s="2" t="str">
        <f>IFERROR('04_Оценка'!R31,"")</f>
        <v/>
      </c>
      <c r="G31" s="2" t="str">
        <f t="shared" si="0"/>
        <v/>
      </c>
      <c r="H31" s="2"/>
      <c r="I31" s="2"/>
      <c r="J31" s="2">
        <f>IFERROR(INDEX('01_Компании'!$I$4:$I$103,MATCH(A31,'01_Компании'!$A$4:$A$103,0)),"")</f>
        <v>0</v>
      </c>
      <c r="K31" s="2">
        <f>IFERROR(INDEX('04_Оценка'!$S$4:$S$103,MATCH(A31,'04_Оценка'!$A$4:$A$103,0)),"")</f>
        <v>0</v>
      </c>
    </row>
    <row r="32" spans="1:11">
      <c r="A32" s="2" t="s">
        <v>109</v>
      </c>
      <c r="B32" s="2">
        <f>IFERROR(INDEX('04_Оценка'!$B$4:$B$103,MATCH(A32,'04_Оценка'!$A$4:$A$103,0)),"")</f>
        <v>0</v>
      </c>
      <c r="C32" s="6" t="str">
        <f>IFERROR(AVERAGE('04_Оценка'!D32,'04_Оценка'!F32),"")</f>
        <v/>
      </c>
      <c r="D32" s="6" t="str">
        <f>IFERROR(AVERAGE('04_Оценка'!E32,'04_Оценка'!J32),"")</f>
        <v/>
      </c>
      <c r="E32" s="6" t="str">
        <f>IFERROR('04_Оценка'!N32,"")</f>
        <v/>
      </c>
      <c r="F32" s="2" t="str">
        <f>IFERROR('04_Оценка'!R32,"")</f>
        <v/>
      </c>
      <c r="G32" s="2" t="str">
        <f t="shared" si="0"/>
        <v/>
      </c>
      <c r="H32" s="2"/>
      <c r="I32" s="2"/>
      <c r="J32" s="2">
        <f>IFERROR(INDEX('01_Компании'!$I$4:$I$103,MATCH(A32,'01_Компании'!$A$4:$A$103,0)),"")</f>
        <v>0</v>
      </c>
      <c r="K32" s="2">
        <f>IFERROR(INDEX('04_Оценка'!$S$4:$S$103,MATCH(A32,'04_Оценка'!$A$4:$A$103,0)),"")</f>
        <v>0</v>
      </c>
    </row>
    <row r="33" spans="1:11">
      <c r="A33" s="2" t="s">
        <v>110</v>
      </c>
      <c r="B33" s="2">
        <f>IFERROR(INDEX('04_Оценка'!$B$4:$B$103,MATCH(A33,'04_Оценка'!$A$4:$A$103,0)),"")</f>
        <v>0</v>
      </c>
      <c r="C33" s="6" t="str">
        <f>IFERROR(AVERAGE('04_Оценка'!D33,'04_Оценка'!F33),"")</f>
        <v/>
      </c>
      <c r="D33" s="6" t="str">
        <f>IFERROR(AVERAGE('04_Оценка'!E33,'04_Оценка'!J33),"")</f>
        <v/>
      </c>
      <c r="E33" s="6" t="str">
        <f>IFERROR('04_Оценка'!N33,"")</f>
        <v/>
      </c>
      <c r="F33" s="2" t="str">
        <f>IFERROR('04_Оценка'!R33,"")</f>
        <v/>
      </c>
      <c r="G33" s="2" t="str">
        <f t="shared" si="0"/>
        <v/>
      </c>
      <c r="H33" s="2"/>
      <c r="I33" s="2"/>
      <c r="J33" s="2">
        <f>IFERROR(INDEX('01_Компании'!$I$4:$I$103,MATCH(A33,'01_Компании'!$A$4:$A$103,0)),"")</f>
        <v>0</v>
      </c>
      <c r="K33" s="2">
        <f>IFERROR(INDEX('04_Оценка'!$S$4:$S$103,MATCH(A33,'04_Оценка'!$A$4:$A$103,0)),"")</f>
        <v>0</v>
      </c>
    </row>
    <row r="34" spans="1:11">
      <c r="A34" s="2" t="s">
        <v>111</v>
      </c>
      <c r="B34" s="2">
        <f>IFERROR(INDEX('04_Оценка'!$B$4:$B$103,MATCH(A34,'04_Оценка'!$A$4:$A$103,0)),"")</f>
        <v>0</v>
      </c>
      <c r="C34" s="6" t="str">
        <f>IFERROR(AVERAGE('04_Оценка'!D34,'04_Оценка'!F34),"")</f>
        <v/>
      </c>
      <c r="D34" s="6" t="str">
        <f>IFERROR(AVERAGE('04_Оценка'!E34,'04_Оценка'!J34),"")</f>
        <v/>
      </c>
      <c r="E34" s="6" t="str">
        <f>IFERROR('04_Оценка'!N34,"")</f>
        <v/>
      </c>
      <c r="F34" s="2" t="str">
        <f>IFERROR('04_Оценка'!R34,"")</f>
        <v/>
      </c>
      <c r="G34" s="2" t="str">
        <f t="shared" si="0"/>
        <v/>
      </c>
      <c r="H34" s="2"/>
      <c r="I34" s="2"/>
      <c r="J34" s="2">
        <f>IFERROR(INDEX('01_Компании'!$I$4:$I$103,MATCH(A34,'01_Компании'!$A$4:$A$103,0)),"")</f>
        <v>0</v>
      </c>
      <c r="K34" s="2">
        <f>IFERROR(INDEX('04_Оценка'!$S$4:$S$103,MATCH(A34,'04_Оценка'!$A$4:$A$103,0)),"")</f>
        <v>0</v>
      </c>
    </row>
    <row r="35" spans="1:11">
      <c r="A35" s="2" t="s">
        <v>112</v>
      </c>
      <c r="B35" s="2">
        <f>IFERROR(INDEX('04_Оценка'!$B$4:$B$103,MATCH(A35,'04_Оценка'!$A$4:$A$103,0)),"")</f>
        <v>0</v>
      </c>
      <c r="C35" s="6" t="str">
        <f>IFERROR(AVERAGE('04_Оценка'!D35,'04_Оценка'!F35),"")</f>
        <v/>
      </c>
      <c r="D35" s="6" t="str">
        <f>IFERROR(AVERAGE('04_Оценка'!E35,'04_Оценка'!J35),"")</f>
        <v/>
      </c>
      <c r="E35" s="6" t="str">
        <f>IFERROR('04_Оценка'!N35,"")</f>
        <v/>
      </c>
      <c r="F35" s="2" t="str">
        <f>IFERROR('04_Оценка'!R35,"")</f>
        <v/>
      </c>
      <c r="G35" s="2" t="str">
        <f t="shared" si="0"/>
        <v/>
      </c>
      <c r="H35" s="2"/>
      <c r="I35" s="2"/>
      <c r="J35" s="2">
        <f>IFERROR(INDEX('01_Компании'!$I$4:$I$103,MATCH(A35,'01_Компании'!$A$4:$A$103,0)),"")</f>
        <v>0</v>
      </c>
      <c r="K35" s="2">
        <f>IFERROR(INDEX('04_Оценка'!$S$4:$S$103,MATCH(A35,'04_Оценка'!$A$4:$A$103,0)),"")</f>
        <v>0</v>
      </c>
    </row>
    <row r="36" spans="1:11">
      <c r="A36" s="2" t="s">
        <v>113</v>
      </c>
      <c r="B36" s="2">
        <f>IFERROR(INDEX('04_Оценка'!$B$4:$B$103,MATCH(A36,'04_Оценка'!$A$4:$A$103,0)),"")</f>
        <v>0</v>
      </c>
      <c r="C36" s="6" t="str">
        <f>IFERROR(AVERAGE('04_Оценка'!D36,'04_Оценка'!F36),"")</f>
        <v/>
      </c>
      <c r="D36" s="6" t="str">
        <f>IFERROR(AVERAGE('04_Оценка'!E36,'04_Оценка'!J36),"")</f>
        <v/>
      </c>
      <c r="E36" s="6" t="str">
        <f>IFERROR('04_Оценка'!N36,"")</f>
        <v/>
      </c>
      <c r="F36" s="2" t="str">
        <f>IFERROR('04_Оценка'!R36,"")</f>
        <v/>
      </c>
      <c r="G36" s="2" t="str">
        <f t="shared" ref="G36:G67" si="1">IF(E36="","",IF(AND(C36&gt;=4,D36&gt;=4),"Ядро прямой конкуренции",IF(AND(C36&gt;=3,D36&gt;=3),"Близкая альтернатива",IF(C36&gt;=3,"Функциональный заменитель",IF(D36&gt;=3,"Аудиторное пересечение","Периферия")))))</f>
        <v/>
      </c>
      <c r="H36" s="2"/>
      <c r="I36" s="2"/>
      <c r="J36" s="2">
        <f>IFERROR(INDEX('01_Компании'!$I$4:$I$103,MATCH(A36,'01_Компании'!$A$4:$A$103,0)),"")</f>
        <v>0</v>
      </c>
      <c r="K36" s="2">
        <f>IFERROR(INDEX('04_Оценка'!$S$4:$S$103,MATCH(A36,'04_Оценка'!$A$4:$A$103,0)),"")</f>
        <v>0</v>
      </c>
    </row>
    <row r="37" spans="1:11">
      <c r="A37" s="2" t="s">
        <v>114</v>
      </c>
      <c r="B37" s="2">
        <f>IFERROR(INDEX('04_Оценка'!$B$4:$B$103,MATCH(A37,'04_Оценка'!$A$4:$A$103,0)),"")</f>
        <v>0</v>
      </c>
      <c r="C37" s="6" t="str">
        <f>IFERROR(AVERAGE('04_Оценка'!D37,'04_Оценка'!F37),"")</f>
        <v/>
      </c>
      <c r="D37" s="6" t="str">
        <f>IFERROR(AVERAGE('04_Оценка'!E37,'04_Оценка'!J37),"")</f>
        <v/>
      </c>
      <c r="E37" s="6" t="str">
        <f>IFERROR('04_Оценка'!N37,"")</f>
        <v/>
      </c>
      <c r="F37" s="2" t="str">
        <f>IFERROR('04_Оценка'!R37,"")</f>
        <v/>
      </c>
      <c r="G37" s="2" t="str">
        <f t="shared" si="1"/>
        <v/>
      </c>
      <c r="H37" s="2"/>
      <c r="I37" s="2"/>
      <c r="J37" s="2">
        <f>IFERROR(INDEX('01_Компании'!$I$4:$I$103,MATCH(A37,'01_Компании'!$A$4:$A$103,0)),"")</f>
        <v>0</v>
      </c>
      <c r="K37" s="2">
        <f>IFERROR(INDEX('04_Оценка'!$S$4:$S$103,MATCH(A37,'04_Оценка'!$A$4:$A$103,0)),"")</f>
        <v>0</v>
      </c>
    </row>
    <row r="38" spans="1:11">
      <c r="A38" s="2" t="s">
        <v>115</v>
      </c>
      <c r="B38" s="2">
        <f>IFERROR(INDEX('04_Оценка'!$B$4:$B$103,MATCH(A38,'04_Оценка'!$A$4:$A$103,0)),"")</f>
        <v>0</v>
      </c>
      <c r="C38" s="6" t="str">
        <f>IFERROR(AVERAGE('04_Оценка'!D38,'04_Оценка'!F38),"")</f>
        <v/>
      </c>
      <c r="D38" s="6" t="str">
        <f>IFERROR(AVERAGE('04_Оценка'!E38,'04_Оценка'!J38),"")</f>
        <v/>
      </c>
      <c r="E38" s="6" t="str">
        <f>IFERROR('04_Оценка'!N38,"")</f>
        <v/>
      </c>
      <c r="F38" s="2" t="str">
        <f>IFERROR('04_Оценка'!R38,"")</f>
        <v/>
      </c>
      <c r="G38" s="2" t="str">
        <f t="shared" si="1"/>
        <v/>
      </c>
      <c r="H38" s="2"/>
      <c r="I38" s="2"/>
      <c r="J38" s="2">
        <f>IFERROR(INDEX('01_Компании'!$I$4:$I$103,MATCH(A38,'01_Компании'!$A$4:$A$103,0)),"")</f>
        <v>0</v>
      </c>
      <c r="K38" s="2">
        <f>IFERROR(INDEX('04_Оценка'!$S$4:$S$103,MATCH(A38,'04_Оценка'!$A$4:$A$103,0)),"")</f>
        <v>0</v>
      </c>
    </row>
    <row r="39" spans="1:11">
      <c r="A39" s="2" t="s">
        <v>116</v>
      </c>
      <c r="B39" s="2">
        <f>IFERROR(INDEX('04_Оценка'!$B$4:$B$103,MATCH(A39,'04_Оценка'!$A$4:$A$103,0)),"")</f>
        <v>0</v>
      </c>
      <c r="C39" s="6" t="str">
        <f>IFERROR(AVERAGE('04_Оценка'!D39,'04_Оценка'!F39),"")</f>
        <v/>
      </c>
      <c r="D39" s="6" t="str">
        <f>IFERROR(AVERAGE('04_Оценка'!E39,'04_Оценка'!J39),"")</f>
        <v/>
      </c>
      <c r="E39" s="6" t="str">
        <f>IFERROR('04_Оценка'!N39,"")</f>
        <v/>
      </c>
      <c r="F39" s="2" t="str">
        <f>IFERROR('04_Оценка'!R39,"")</f>
        <v/>
      </c>
      <c r="G39" s="2" t="str">
        <f t="shared" si="1"/>
        <v/>
      </c>
      <c r="H39" s="2"/>
      <c r="I39" s="2"/>
      <c r="J39" s="2">
        <f>IFERROR(INDEX('01_Компании'!$I$4:$I$103,MATCH(A39,'01_Компании'!$A$4:$A$103,0)),"")</f>
        <v>0</v>
      </c>
      <c r="K39" s="2">
        <f>IFERROR(INDEX('04_Оценка'!$S$4:$S$103,MATCH(A39,'04_Оценка'!$A$4:$A$103,0)),"")</f>
        <v>0</v>
      </c>
    </row>
    <row r="40" spans="1:11">
      <c r="A40" s="2" t="s">
        <v>117</v>
      </c>
      <c r="B40" s="2">
        <f>IFERROR(INDEX('04_Оценка'!$B$4:$B$103,MATCH(A40,'04_Оценка'!$A$4:$A$103,0)),"")</f>
        <v>0</v>
      </c>
      <c r="C40" s="6" t="str">
        <f>IFERROR(AVERAGE('04_Оценка'!D40,'04_Оценка'!F40),"")</f>
        <v/>
      </c>
      <c r="D40" s="6" t="str">
        <f>IFERROR(AVERAGE('04_Оценка'!E40,'04_Оценка'!J40),"")</f>
        <v/>
      </c>
      <c r="E40" s="6" t="str">
        <f>IFERROR('04_Оценка'!N40,"")</f>
        <v/>
      </c>
      <c r="F40" s="2" t="str">
        <f>IFERROR('04_Оценка'!R40,"")</f>
        <v/>
      </c>
      <c r="G40" s="2" t="str">
        <f t="shared" si="1"/>
        <v/>
      </c>
      <c r="H40" s="2"/>
      <c r="I40" s="2"/>
      <c r="J40" s="2">
        <f>IFERROR(INDEX('01_Компании'!$I$4:$I$103,MATCH(A40,'01_Компании'!$A$4:$A$103,0)),"")</f>
        <v>0</v>
      </c>
      <c r="K40" s="2">
        <f>IFERROR(INDEX('04_Оценка'!$S$4:$S$103,MATCH(A40,'04_Оценка'!$A$4:$A$103,0)),"")</f>
        <v>0</v>
      </c>
    </row>
    <row r="41" spans="1:11">
      <c r="A41" s="2" t="s">
        <v>118</v>
      </c>
      <c r="B41" s="2">
        <f>IFERROR(INDEX('04_Оценка'!$B$4:$B$103,MATCH(A41,'04_Оценка'!$A$4:$A$103,0)),"")</f>
        <v>0</v>
      </c>
      <c r="C41" s="6" t="str">
        <f>IFERROR(AVERAGE('04_Оценка'!D41,'04_Оценка'!F41),"")</f>
        <v/>
      </c>
      <c r="D41" s="6" t="str">
        <f>IFERROR(AVERAGE('04_Оценка'!E41,'04_Оценка'!J41),"")</f>
        <v/>
      </c>
      <c r="E41" s="6" t="str">
        <f>IFERROR('04_Оценка'!N41,"")</f>
        <v/>
      </c>
      <c r="F41" s="2" t="str">
        <f>IFERROR('04_Оценка'!R41,"")</f>
        <v/>
      </c>
      <c r="G41" s="2" t="str">
        <f t="shared" si="1"/>
        <v/>
      </c>
      <c r="H41" s="2"/>
      <c r="I41" s="2"/>
      <c r="J41" s="2">
        <f>IFERROR(INDEX('01_Компании'!$I$4:$I$103,MATCH(A41,'01_Компании'!$A$4:$A$103,0)),"")</f>
        <v>0</v>
      </c>
      <c r="K41" s="2">
        <f>IFERROR(INDEX('04_Оценка'!$S$4:$S$103,MATCH(A41,'04_Оценка'!$A$4:$A$103,0)),"")</f>
        <v>0</v>
      </c>
    </row>
    <row r="42" spans="1:11">
      <c r="A42" s="2" t="s">
        <v>119</v>
      </c>
      <c r="B42" s="2">
        <f>IFERROR(INDEX('04_Оценка'!$B$4:$B$103,MATCH(A42,'04_Оценка'!$A$4:$A$103,0)),"")</f>
        <v>0</v>
      </c>
      <c r="C42" s="6" t="str">
        <f>IFERROR(AVERAGE('04_Оценка'!D42,'04_Оценка'!F42),"")</f>
        <v/>
      </c>
      <c r="D42" s="6" t="str">
        <f>IFERROR(AVERAGE('04_Оценка'!E42,'04_Оценка'!J42),"")</f>
        <v/>
      </c>
      <c r="E42" s="6" t="str">
        <f>IFERROR('04_Оценка'!N42,"")</f>
        <v/>
      </c>
      <c r="F42" s="2" t="str">
        <f>IFERROR('04_Оценка'!R42,"")</f>
        <v/>
      </c>
      <c r="G42" s="2" t="str">
        <f t="shared" si="1"/>
        <v/>
      </c>
      <c r="H42" s="2"/>
      <c r="I42" s="2"/>
      <c r="J42" s="2">
        <f>IFERROR(INDEX('01_Компании'!$I$4:$I$103,MATCH(A42,'01_Компании'!$A$4:$A$103,0)),"")</f>
        <v>0</v>
      </c>
      <c r="K42" s="2">
        <f>IFERROR(INDEX('04_Оценка'!$S$4:$S$103,MATCH(A42,'04_Оценка'!$A$4:$A$103,0)),"")</f>
        <v>0</v>
      </c>
    </row>
    <row r="43" spans="1:11">
      <c r="A43" s="2" t="s">
        <v>120</v>
      </c>
      <c r="B43" s="2">
        <f>IFERROR(INDEX('04_Оценка'!$B$4:$B$103,MATCH(A43,'04_Оценка'!$A$4:$A$103,0)),"")</f>
        <v>0</v>
      </c>
      <c r="C43" s="6" t="str">
        <f>IFERROR(AVERAGE('04_Оценка'!D43,'04_Оценка'!F43),"")</f>
        <v/>
      </c>
      <c r="D43" s="6" t="str">
        <f>IFERROR(AVERAGE('04_Оценка'!E43,'04_Оценка'!J43),"")</f>
        <v/>
      </c>
      <c r="E43" s="6" t="str">
        <f>IFERROR('04_Оценка'!N43,"")</f>
        <v/>
      </c>
      <c r="F43" s="2" t="str">
        <f>IFERROR('04_Оценка'!R43,"")</f>
        <v/>
      </c>
      <c r="G43" s="2" t="str">
        <f t="shared" si="1"/>
        <v/>
      </c>
      <c r="H43" s="2"/>
      <c r="I43" s="2"/>
      <c r="J43" s="2">
        <f>IFERROR(INDEX('01_Компании'!$I$4:$I$103,MATCH(A43,'01_Компании'!$A$4:$A$103,0)),"")</f>
        <v>0</v>
      </c>
      <c r="K43" s="2">
        <f>IFERROR(INDEX('04_Оценка'!$S$4:$S$103,MATCH(A43,'04_Оценка'!$A$4:$A$103,0)),"")</f>
        <v>0</v>
      </c>
    </row>
    <row r="44" spans="1:11">
      <c r="A44" s="2" t="s">
        <v>121</v>
      </c>
      <c r="B44" s="2">
        <f>IFERROR(INDEX('04_Оценка'!$B$4:$B$103,MATCH(A44,'04_Оценка'!$A$4:$A$103,0)),"")</f>
        <v>0</v>
      </c>
      <c r="C44" s="6" t="str">
        <f>IFERROR(AVERAGE('04_Оценка'!D44,'04_Оценка'!F44),"")</f>
        <v/>
      </c>
      <c r="D44" s="6" t="str">
        <f>IFERROR(AVERAGE('04_Оценка'!E44,'04_Оценка'!J44),"")</f>
        <v/>
      </c>
      <c r="E44" s="6" t="str">
        <f>IFERROR('04_Оценка'!N44,"")</f>
        <v/>
      </c>
      <c r="F44" s="2" t="str">
        <f>IFERROR('04_Оценка'!R44,"")</f>
        <v/>
      </c>
      <c r="G44" s="2" t="str">
        <f t="shared" si="1"/>
        <v/>
      </c>
      <c r="H44" s="2"/>
      <c r="I44" s="2"/>
      <c r="J44" s="2">
        <f>IFERROR(INDEX('01_Компании'!$I$4:$I$103,MATCH(A44,'01_Компании'!$A$4:$A$103,0)),"")</f>
        <v>0</v>
      </c>
      <c r="K44" s="2">
        <f>IFERROR(INDEX('04_Оценка'!$S$4:$S$103,MATCH(A44,'04_Оценка'!$A$4:$A$103,0)),"")</f>
        <v>0</v>
      </c>
    </row>
    <row r="45" spans="1:11">
      <c r="A45" s="2" t="s">
        <v>122</v>
      </c>
      <c r="B45" s="2">
        <f>IFERROR(INDEX('04_Оценка'!$B$4:$B$103,MATCH(A45,'04_Оценка'!$A$4:$A$103,0)),"")</f>
        <v>0</v>
      </c>
      <c r="C45" s="6" t="str">
        <f>IFERROR(AVERAGE('04_Оценка'!D45,'04_Оценка'!F45),"")</f>
        <v/>
      </c>
      <c r="D45" s="6" t="str">
        <f>IFERROR(AVERAGE('04_Оценка'!E45,'04_Оценка'!J45),"")</f>
        <v/>
      </c>
      <c r="E45" s="6" t="str">
        <f>IFERROR('04_Оценка'!N45,"")</f>
        <v/>
      </c>
      <c r="F45" s="2" t="str">
        <f>IFERROR('04_Оценка'!R45,"")</f>
        <v/>
      </c>
      <c r="G45" s="2" t="str">
        <f t="shared" si="1"/>
        <v/>
      </c>
      <c r="H45" s="2"/>
      <c r="I45" s="2"/>
      <c r="J45" s="2">
        <f>IFERROR(INDEX('01_Компании'!$I$4:$I$103,MATCH(A45,'01_Компании'!$A$4:$A$103,0)),"")</f>
        <v>0</v>
      </c>
      <c r="K45" s="2">
        <f>IFERROR(INDEX('04_Оценка'!$S$4:$S$103,MATCH(A45,'04_Оценка'!$A$4:$A$103,0)),"")</f>
        <v>0</v>
      </c>
    </row>
    <row r="46" spans="1:11">
      <c r="A46" s="2" t="s">
        <v>123</v>
      </c>
      <c r="B46" s="2">
        <f>IFERROR(INDEX('04_Оценка'!$B$4:$B$103,MATCH(A46,'04_Оценка'!$A$4:$A$103,0)),"")</f>
        <v>0</v>
      </c>
      <c r="C46" s="6" t="str">
        <f>IFERROR(AVERAGE('04_Оценка'!D46,'04_Оценка'!F46),"")</f>
        <v/>
      </c>
      <c r="D46" s="6" t="str">
        <f>IFERROR(AVERAGE('04_Оценка'!E46,'04_Оценка'!J46),"")</f>
        <v/>
      </c>
      <c r="E46" s="6" t="str">
        <f>IFERROR('04_Оценка'!N46,"")</f>
        <v/>
      </c>
      <c r="F46" s="2" t="str">
        <f>IFERROR('04_Оценка'!R46,"")</f>
        <v/>
      </c>
      <c r="G46" s="2" t="str">
        <f t="shared" si="1"/>
        <v/>
      </c>
      <c r="H46" s="2"/>
      <c r="I46" s="2"/>
      <c r="J46" s="2">
        <f>IFERROR(INDEX('01_Компании'!$I$4:$I$103,MATCH(A46,'01_Компании'!$A$4:$A$103,0)),"")</f>
        <v>0</v>
      </c>
      <c r="K46" s="2">
        <f>IFERROR(INDEX('04_Оценка'!$S$4:$S$103,MATCH(A46,'04_Оценка'!$A$4:$A$103,0)),"")</f>
        <v>0</v>
      </c>
    </row>
    <row r="47" spans="1:11">
      <c r="A47" s="2" t="s">
        <v>124</v>
      </c>
      <c r="B47" s="2">
        <f>IFERROR(INDEX('04_Оценка'!$B$4:$B$103,MATCH(A47,'04_Оценка'!$A$4:$A$103,0)),"")</f>
        <v>0</v>
      </c>
      <c r="C47" s="6" t="str">
        <f>IFERROR(AVERAGE('04_Оценка'!D47,'04_Оценка'!F47),"")</f>
        <v/>
      </c>
      <c r="D47" s="6" t="str">
        <f>IFERROR(AVERAGE('04_Оценка'!E47,'04_Оценка'!J47),"")</f>
        <v/>
      </c>
      <c r="E47" s="6" t="str">
        <f>IFERROR('04_Оценка'!N47,"")</f>
        <v/>
      </c>
      <c r="F47" s="2" t="str">
        <f>IFERROR('04_Оценка'!R47,"")</f>
        <v/>
      </c>
      <c r="G47" s="2" t="str">
        <f t="shared" si="1"/>
        <v/>
      </c>
      <c r="H47" s="2"/>
      <c r="I47" s="2"/>
      <c r="J47" s="2">
        <f>IFERROR(INDEX('01_Компании'!$I$4:$I$103,MATCH(A47,'01_Компании'!$A$4:$A$103,0)),"")</f>
        <v>0</v>
      </c>
      <c r="K47" s="2">
        <f>IFERROR(INDEX('04_Оценка'!$S$4:$S$103,MATCH(A47,'04_Оценка'!$A$4:$A$103,0)),"")</f>
        <v>0</v>
      </c>
    </row>
    <row r="48" spans="1:11">
      <c r="A48" s="2" t="s">
        <v>125</v>
      </c>
      <c r="B48" s="2">
        <f>IFERROR(INDEX('04_Оценка'!$B$4:$B$103,MATCH(A48,'04_Оценка'!$A$4:$A$103,0)),"")</f>
        <v>0</v>
      </c>
      <c r="C48" s="6" t="str">
        <f>IFERROR(AVERAGE('04_Оценка'!D48,'04_Оценка'!F48),"")</f>
        <v/>
      </c>
      <c r="D48" s="6" t="str">
        <f>IFERROR(AVERAGE('04_Оценка'!E48,'04_Оценка'!J48),"")</f>
        <v/>
      </c>
      <c r="E48" s="6" t="str">
        <f>IFERROR('04_Оценка'!N48,"")</f>
        <v/>
      </c>
      <c r="F48" s="2" t="str">
        <f>IFERROR('04_Оценка'!R48,"")</f>
        <v/>
      </c>
      <c r="G48" s="2" t="str">
        <f t="shared" si="1"/>
        <v/>
      </c>
      <c r="H48" s="2"/>
      <c r="I48" s="2"/>
      <c r="J48" s="2">
        <f>IFERROR(INDEX('01_Компании'!$I$4:$I$103,MATCH(A48,'01_Компании'!$A$4:$A$103,0)),"")</f>
        <v>0</v>
      </c>
      <c r="K48" s="2">
        <f>IFERROR(INDEX('04_Оценка'!$S$4:$S$103,MATCH(A48,'04_Оценка'!$A$4:$A$103,0)),"")</f>
        <v>0</v>
      </c>
    </row>
    <row r="49" spans="1:11">
      <c r="A49" s="2" t="s">
        <v>126</v>
      </c>
      <c r="B49" s="2">
        <f>IFERROR(INDEX('04_Оценка'!$B$4:$B$103,MATCH(A49,'04_Оценка'!$A$4:$A$103,0)),"")</f>
        <v>0</v>
      </c>
      <c r="C49" s="6" t="str">
        <f>IFERROR(AVERAGE('04_Оценка'!D49,'04_Оценка'!F49),"")</f>
        <v/>
      </c>
      <c r="D49" s="6" t="str">
        <f>IFERROR(AVERAGE('04_Оценка'!E49,'04_Оценка'!J49),"")</f>
        <v/>
      </c>
      <c r="E49" s="6" t="str">
        <f>IFERROR('04_Оценка'!N49,"")</f>
        <v/>
      </c>
      <c r="F49" s="2" t="str">
        <f>IFERROR('04_Оценка'!R49,"")</f>
        <v/>
      </c>
      <c r="G49" s="2" t="str">
        <f t="shared" si="1"/>
        <v/>
      </c>
      <c r="H49" s="2"/>
      <c r="I49" s="2"/>
      <c r="J49" s="2">
        <f>IFERROR(INDEX('01_Компании'!$I$4:$I$103,MATCH(A49,'01_Компании'!$A$4:$A$103,0)),"")</f>
        <v>0</v>
      </c>
      <c r="K49" s="2">
        <f>IFERROR(INDEX('04_Оценка'!$S$4:$S$103,MATCH(A49,'04_Оценка'!$A$4:$A$103,0)),"")</f>
        <v>0</v>
      </c>
    </row>
    <row r="50" spans="1:11">
      <c r="A50" s="2" t="s">
        <v>127</v>
      </c>
      <c r="B50" s="2">
        <f>IFERROR(INDEX('04_Оценка'!$B$4:$B$103,MATCH(A50,'04_Оценка'!$A$4:$A$103,0)),"")</f>
        <v>0</v>
      </c>
      <c r="C50" s="6" t="str">
        <f>IFERROR(AVERAGE('04_Оценка'!D50,'04_Оценка'!F50),"")</f>
        <v/>
      </c>
      <c r="D50" s="6" t="str">
        <f>IFERROR(AVERAGE('04_Оценка'!E50,'04_Оценка'!J50),"")</f>
        <v/>
      </c>
      <c r="E50" s="6" t="str">
        <f>IFERROR('04_Оценка'!N50,"")</f>
        <v/>
      </c>
      <c r="F50" s="2" t="str">
        <f>IFERROR('04_Оценка'!R50,"")</f>
        <v/>
      </c>
      <c r="G50" s="2" t="str">
        <f t="shared" si="1"/>
        <v/>
      </c>
      <c r="H50" s="2"/>
      <c r="I50" s="2"/>
      <c r="J50" s="2">
        <f>IFERROR(INDEX('01_Компании'!$I$4:$I$103,MATCH(A50,'01_Компании'!$A$4:$A$103,0)),"")</f>
        <v>0</v>
      </c>
      <c r="K50" s="2">
        <f>IFERROR(INDEX('04_Оценка'!$S$4:$S$103,MATCH(A50,'04_Оценка'!$A$4:$A$103,0)),"")</f>
        <v>0</v>
      </c>
    </row>
    <row r="51" spans="1:11">
      <c r="A51" s="2" t="s">
        <v>128</v>
      </c>
      <c r="B51" s="2">
        <f>IFERROR(INDEX('04_Оценка'!$B$4:$B$103,MATCH(A51,'04_Оценка'!$A$4:$A$103,0)),"")</f>
        <v>0</v>
      </c>
      <c r="C51" s="6" t="str">
        <f>IFERROR(AVERAGE('04_Оценка'!D51,'04_Оценка'!F51),"")</f>
        <v/>
      </c>
      <c r="D51" s="6" t="str">
        <f>IFERROR(AVERAGE('04_Оценка'!E51,'04_Оценка'!J51),"")</f>
        <v/>
      </c>
      <c r="E51" s="6" t="str">
        <f>IFERROR('04_Оценка'!N51,"")</f>
        <v/>
      </c>
      <c r="F51" s="2" t="str">
        <f>IFERROR('04_Оценка'!R51,"")</f>
        <v/>
      </c>
      <c r="G51" s="2" t="str">
        <f t="shared" si="1"/>
        <v/>
      </c>
      <c r="H51" s="2"/>
      <c r="I51" s="2"/>
      <c r="J51" s="2">
        <f>IFERROR(INDEX('01_Компании'!$I$4:$I$103,MATCH(A51,'01_Компании'!$A$4:$A$103,0)),"")</f>
        <v>0</v>
      </c>
      <c r="K51" s="2">
        <f>IFERROR(INDEX('04_Оценка'!$S$4:$S$103,MATCH(A51,'04_Оценка'!$A$4:$A$103,0)),"")</f>
        <v>0</v>
      </c>
    </row>
    <row r="52" spans="1:11">
      <c r="A52" s="2" t="s">
        <v>129</v>
      </c>
      <c r="B52" s="2">
        <f>IFERROR(INDEX('04_Оценка'!$B$4:$B$103,MATCH(A52,'04_Оценка'!$A$4:$A$103,0)),"")</f>
        <v>0</v>
      </c>
      <c r="C52" s="6" t="str">
        <f>IFERROR(AVERAGE('04_Оценка'!D52,'04_Оценка'!F52),"")</f>
        <v/>
      </c>
      <c r="D52" s="6" t="str">
        <f>IFERROR(AVERAGE('04_Оценка'!E52,'04_Оценка'!J52),"")</f>
        <v/>
      </c>
      <c r="E52" s="6" t="str">
        <f>IFERROR('04_Оценка'!N52,"")</f>
        <v/>
      </c>
      <c r="F52" s="2" t="str">
        <f>IFERROR('04_Оценка'!R52,"")</f>
        <v/>
      </c>
      <c r="G52" s="2" t="str">
        <f t="shared" si="1"/>
        <v/>
      </c>
      <c r="H52" s="2"/>
      <c r="I52" s="2"/>
      <c r="J52" s="2">
        <f>IFERROR(INDEX('01_Компании'!$I$4:$I$103,MATCH(A52,'01_Компании'!$A$4:$A$103,0)),"")</f>
        <v>0</v>
      </c>
      <c r="K52" s="2">
        <f>IFERROR(INDEX('04_Оценка'!$S$4:$S$103,MATCH(A52,'04_Оценка'!$A$4:$A$103,0)),"")</f>
        <v>0</v>
      </c>
    </row>
    <row r="53" spans="1:11">
      <c r="A53" s="2" t="s">
        <v>130</v>
      </c>
      <c r="B53" s="2">
        <f>IFERROR(INDEX('04_Оценка'!$B$4:$B$103,MATCH(A53,'04_Оценка'!$A$4:$A$103,0)),"")</f>
        <v>0</v>
      </c>
      <c r="C53" s="6" t="str">
        <f>IFERROR(AVERAGE('04_Оценка'!D53,'04_Оценка'!F53),"")</f>
        <v/>
      </c>
      <c r="D53" s="6" t="str">
        <f>IFERROR(AVERAGE('04_Оценка'!E53,'04_Оценка'!J53),"")</f>
        <v/>
      </c>
      <c r="E53" s="6" t="str">
        <f>IFERROR('04_Оценка'!N53,"")</f>
        <v/>
      </c>
      <c r="F53" s="2" t="str">
        <f>IFERROR('04_Оценка'!R53,"")</f>
        <v/>
      </c>
      <c r="G53" s="2" t="str">
        <f t="shared" si="1"/>
        <v/>
      </c>
      <c r="H53" s="2"/>
      <c r="I53" s="2"/>
      <c r="J53" s="2">
        <f>IFERROR(INDEX('01_Компании'!$I$4:$I$103,MATCH(A53,'01_Компании'!$A$4:$A$103,0)),"")</f>
        <v>0</v>
      </c>
      <c r="K53" s="2">
        <f>IFERROR(INDEX('04_Оценка'!$S$4:$S$103,MATCH(A53,'04_Оценка'!$A$4:$A$103,0)),"")</f>
        <v>0</v>
      </c>
    </row>
    <row r="54" spans="1:11">
      <c r="A54" s="2" t="s">
        <v>131</v>
      </c>
      <c r="B54" s="2">
        <f>IFERROR(INDEX('04_Оценка'!$B$4:$B$103,MATCH(A54,'04_Оценка'!$A$4:$A$103,0)),"")</f>
        <v>0</v>
      </c>
      <c r="C54" s="6" t="str">
        <f>IFERROR(AVERAGE('04_Оценка'!D54,'04_Оценка'!F54),"")</f>
        <v/>
      </c>
      <c r="D54" s="6" t="str">
        <f>IFERROR(AVERAGE('04_Оценка'!E54,'04_Оценка'!J54),"")</f>
        <v/>
      </c>
      <c r="E54" s="6" t="str">
        <f>IFERROR('04_Оценка'!N54,"")</f>
        <v/>
      </c>
      <c r="F54" s="2" t="str">
        <f>IFERROR('04_Оценка'!R54,"")</f>
        <v/>
      </c>
      <c r="G54" s="2" t="str">
        <f t="shared" si="1"/>
        <v/>
      </c>
      <c r="H54" s="2"/>
      <c r="I54" s="2"/>
      <c r="J54" s="2">
        <f>IFERROR(INDEX('01_Компании'!$I$4:$I$103,MATCH(A54,'01_Компании'!$A$4:$A$103,0)),"")</f>
        <v>0</v>
      </c>
      <c r="K54" s="2">
        <f>IFERROR(INDEX('04_Оценка'!$S$4:$S$103,MATCH(A54,'04_Оценка'!$A$4:$A$103,0)),"")</f>
        <v>0</v>
      </c>
    </row>
    <row r="55" spans="1:11">
      <c r="A55" s="2" t="s">
        <v>132</v>
      </c>
      <c r="B55" s="2">
        <f>IFERROR(INDEX('04_Оценка'!$B$4:$B$103,MATCH(A55,'04_Оценка'!$A$4:$A$103,0)),"")</f>
        <v>0</v>
      </c>
      <c r="C55" s="6" t="str">
        <f>IFERROR(AVERAGE('04_Оценка'!D55,'04_Оценка'!F55),"")</f>
        <v/>
      </c>
      <c r="D55" s="6" t="str">
        <f>IFERROR(AVERAGE('04_Оценка'!E55,'04_Оценка'!J55),"")</f>
        <v/>
      </c>
      <c r="E55" s="6" t="str">
        <f>IFERROR('04_Оценка'!N55,"")</f>
        <v/>
      </c>
      <c r="F55" s="2" t="str">
        <f>IFERROR('04_Оценка'!R55,"")</f>
        <v/>
      </c>
      <c r="G55" s="2" t="str">
        <f t="shared" si="1"/>
        <v/>
      </c>
      <c r="H55" s="2"/>
      <c r="I55" s="2"/>
      <c r="J55" s="2">
        <f>IFERROR(INDEX('01_Компании'!$I$4:$I$103,MATCH(A55,'01_Компании'!$A$4:$A$103,0)),"")</f>
        <v>0</v>
      </c>
      <c r="K55" s="2">
        <f>IFERROR(INDEX('04_Оценка'!$S$4:$S$103,MATCH(A55,'04_Оценка'!$A$4:$A$103,0)),"")</f>
        <v>0</v>
      </c>
    </row>
    <row r="56" spans="1:11">
      <c r="A56" s="2" t="s">
        <v>133</v>
      </c>
      <c r="B56" s="2">
        <f>IFERROR(INDEX('04_Оценка'!$B$4:$B$103,MATCH(A56,'04_Оценка'!$A$4:$A$103,0)),"")</f>
        <v>0</v>
      </c>
      <c r="C56" s="6" t="str">
        <f>IFERROR(AVERAGE('04_Оценка'!D56,'04_Оценка'!F56),"")</f>
        <v/>
      </c>
      <c r="D56" s="6" t="str">
        <f>IFERROR(AVERAGE('04_Оценка'!E56,'04_Оценка'!J56),"")</f>
        <v/>
      </c>
      <c r="E56" s="6" t="str">
        <f>IFERROR('04_Оценка'!N56,"")</f>
        <v/>
      </c>
      <c r="F56" s="2" t="str">
        <f>IFERROR('04_Оценка'!R56,"")</f>
        <v/>
      </c>
      <c r="G56" s="2" t="str">
        <f t="shared" si="1"/>
        <v/>
      </c>
      <c r="H56" s="2"/>
      <c r="I56" s="2"/>
      <c r="J56" s="2">
        <f>IFERROR(INDEX('01_Компании'!$I$4:$I$103,MATCH(A56,'01_Компании'!$A$4:$A$103,0)),"")</f>
        <v>0</v>
      </c>
      <c r="K56" s="2">
        <f>IFERROR(INDEX('04_Оценка'!$S$4:$S$103,MATCH(A56,'04_Оценка'!$A$4:$A$103,0)),"")</f>
        <v>0</v>
      </c>
    </row>
    <row r="57" spans="1:11">
      <c r="A57" s="2" t="s">
        <v>134</v>
      </c>
      <c r="B57" s="2">
        <f>IFERROR(INDEX('04_Оценка'!$B$4:$B$103,MATCH(A57,'04_Оценка'!$A$4:$A$103,0)),"")</f>
        <v>0</v>
      </c>
      <c r="C57" s="6" t="str">
        <f>IFERROR(AVERAGE('04_Оценка'!D57,'04_Оценка'!F57),"")</f>
        <v/>
      </c>
      <c r="D57" s="6" t="str">
        <f>IFERROR(AVERAGE('04_Оценка'!E57,'04_Оценка'!J57),"")</f>
        <v/>
      </c>
      <c r="E57" s="6" t="str">
        <f>IFERROR('04_Оценка'!N57,"")</f>
        <v/>
      </c>
      <c r="F57" s="2" t="str">
        <f>IFERROR('04_Оценка'!R57,"")</f>
        <v/>
      </c>
      <c r="G57" s="2" t="str">
        <f t="shared" si="1"/>
        <v/>
      </c>
      <c r="H57" s="2"/>
      <c r="I57" s="2"/>
      <c r="J57" s="2">
        <f>IFERROR(INDEX('01_Компании'!$I$4:$I$103,MATCH(A57,'01_Компании'!$A$4:$A$103,0)),"")</f>
        <v>0</v>
      </c>
      <c r="K57" s="2">
        <f>IFERROR(INDEX('04_Оценка'!$S$4:$S$103,MATCH(A57,'04_Оценка'!$A$4:$A$103,0)),"")</f>
        <v>0</v>
      </c>
    </row>
    <row r="58" spans="1:11">
      <c r="A58" s="2" t="s">
        <v>135</v>
      </c>
      <c r="B58" s="2">
        <f>IFERROR(INDEX('04_Оценка'!$B$4:$B$103,MATCH(A58,'04_Оценка'!$A$4:$A$103,0)),"")</f>
        <v>0</v>
      </c>
      <c r="C58" s="6" t="str">
        <f>IFERROR(AVERAGE('04_Оценка'!D58,'04_Оценка'!F58),"")</f>
        <v/>
      </c>
      <c r="D58" s="6" t="str">
        <f>IFERROR(AVERAGE('04_Оценка'!E58,'04_Оценка'!J58),"")</f>
        <v/>
      </c>
      <c r="E58" s="6" t="str">
        <f>IFERROR('04_Оценка'!N58,"")</f>
        <v/>
      </c>
      <c r="F58" s="2" t="str">
        <f>IFERROR('04_Оценка'!R58,"")</f>
        <v/>
      </c>
      <c r="G58" s="2" t="str">
        <f t="shared" si="1"/>
        <v/>
      </c>
      <c r="H58" s="2"/>
      <c r="I58" s="2"/>
      <c r="J58" s="2">
        <f>IFERROR(INDEX('01_Компании'!$I$4:$I$103,MATCH(A58,'01_Компании'!$A$4:$A$103,0)),"")</f>
        <v>0</v>
      </c>
      <c r="K58" s="2">
        <f>IFERROR(INDEX('04_Оценка'!$S$4:$S$103,MATCH(A58,'04_Оценка'!$A$4:$A$103,0)),"")</f>
        <v>0</v>
      </c>
    </row>
    <row r="59" spans="1:11">
      <c r="A59" s="2" t="s">
        <v>136</v>
      </c>
      <c r="B59" s="2">
        <f>IFERROR(INDEX('04_Оценка'!$B$4:$B$103,MATCH(A59,'04_Оценка'!$A$4:$A$103,0)),"")</f>
        <v>0</v>
      </c>
      <c r="C59" s="6" t="str">
        <f>IFERROR(AVERAGE('04_Оценка'!D59,'04_Оценка'!F59),"")</f>
        <v/>
      </c>
      <c r="D59" s="6" t="str">
        <f>IFERROR(AVERAGE('04_Оценка'!E59,'04_Оценка'!J59),"")</f>
        <v/>
      </c>
      <c r="E59" s="6" t="str">
        <f>IFERROR('04_Оценка'!N59,"")</f>
        <v/>
      </c>
      <c r="F59" s="2" t="str">
        <f>IFERROR('04_Оценка'!R59,"")</f>
        <v/>
      </c>
      <c r="G59" s="2" t="str">
        <f t="shared" si="1"/>
        <v/>
      </c>
      <c r="H59" s="2"/>
      <c r="I59" s="2"/>
      <c r="J59" s="2">
        <f>IFERROR(INDEX('01_Компании'!$I$4:$I$103,MATCH(A59,'01_Компании'!$A$4:$A$103,0)),"")</f>
        <v>0</v>
      </c>
      <c r="K59" s="2">
        <f>IFERROR(INDEX('04_Оценка'!$S$4:$S$103,MATCH(A59,'04_Оценка'!$A$4:$A$103,0)),"")</f>
        <v>0</v>
      </c>
    </row>
    <row r="60" spans="1:11">
      <c r="A60" s="2" t="s">
        <v>137</v>
      </c>
      <c r="B60" s="2">
        <f>IFERROR(INDEX('04_Оценка'!$B$4:$B$103,MATCH(A60,'04_Оценка'!$A$4:$A$103,0)),"")</f>
        <v>0</v>
      </c>
      <c r="C60" s="6" t="str">
        <f>IFERROR(AVERAGE('04_Оценка'!D60,'04_Оценка'!F60),"")</f>
        <v/>
      </c>
      <c r="D60" s="6" t="str">
        <f>IFERROR(AVERAGE('04_Оценка'!E60,'04_Оценка'!J60),"")</f>
        <v/>
      </c>
      <c r="E60" s="6" t="str">
        <f>IFERROR('04_Оценка'!N60,"")</f>
        <v/>
      </c>
      <c r="F60" s="2" t="str">
        <f>IFERROR('04_Оценка'!R60,"")</f>
        <v/>
      </c>
      <c r="G60" s="2" t="str">
        <f t="shared" si="1"/>
        <v/>
      </c>
      <c r="H60" s="2"/>
      <c r="I60" s="2"/>
      <c r="J60" s="2">
        <f>IFERROR(INDEX('01_Компании'!$I$4:$I$103,MATCH(A60,'01_Компании'!$A$4:$A$103,0)),"")</f>
        <v>0</v>
      </c>
      <c r="K60" s="2">
        <f>IFERROR(INDEX('04_Оценка'!$S$4:$S$103,MATCH(A60,'04_Оценка'!$A$4:$A$103,0)),"")</f>
        <v>0</v>
      </c>
    </row>
    <row r="61" spans="1:11">
      <c r="A61" s="2" t="s">
        <v>138</v>
      </c>
      <c r="B61" s="2">
        <f>IFERROR(INDEX('04_Оценка'!$B$4:$B$103,MATCH(A61,'04_Оценка'!$A$4:$A$103,0)),"")</f>
        <v>0</v>
      </c>
      <c r="C61" s="6" t="str">
        <f>IFERROR(AVERAGE('04_Оценка'!D61,'04_Оценка'!F61),"")</f>
        <v/>
      </c>
      <c r="D61" s="6" t="str">
        <f>IFERROR(AVERAGE('04_Оценка'!E61,'04_Оценка'!J61),"")</f>
        <v/>
      </c>
      <c r="E61" s="6" t="str">
        <f>IFERROR('04_Оценка'!N61,"")</f>
        <v/>
      </c>
      <c r="F61" s="2" t="str">
        <f>IFERROR('04_Оценка'!R61,"")</f>
        <v/>
      </c>
      <c r="G61" s="2" t="str">
        <f t="shared" si="1"/>
        <v/>
      </c>
      <c r="H61" s="2"/>
      <c r="I61" s="2"/>
      <c r="J61" s="2">
        <f>IFERROR(INDEX('01_Компании'!$I$4:$I$103,MATCH(A61,'01_Компании'!$A$4:$A$103,0)),"")</f>
        <v>0</v>
      </c>
      <c r="K61" s="2">
        <f>IFERROR(INDEX('04_Оценка'!$S$4:$S$103,MATCH(A61,'04_Оценка'!$A$4:$A$103,0)),"")</f>
        <v>0</v>
      </c>
    </row>
    <row r="62" spans="1:11">
      <c r="A62" s="2" t="s">
        <v>139</v>
      </c>
      <c r="B62" s="2">
        <f>IFERROR(INDEX('04_Оценка'!$B$4:$B$103,MATCH(A62,'04_Оценка'!$A$4:$A$103,0)),"")</f>
        <v>0</v>
      </c>
      <c r="C62" s="6" t="str">
        <f>IFERROR(AVERAGE('04_Оценка'!D62,'04_Оценка'!F62),"")</f>
        <v/>
      </c>
      <c r="D62" s="6" t="str">
        <f>IFERROR(AVERAGE('04_Оценка'!E62,'04_Оценка'!J62),"")</f>
        <v/>
      </c>
      <c r="E62" s="6" t="str">
        <f>IFERROR('04_Оценка'!N62,"")</f>
        <v/>
      </c>
      <c r="F62" s="2" t="str">
        <f>IFERROR('04_Оценка'!R62,"")</f>
        <v/>
      </c>
      <c r="G62" s="2" t="str">
        <f t="shared" si="1"/>
        <v/>
      </c>
      <c r="H62" s="2"/>
      <c r="I62" s="2"/>
      <c r="J62" s="2">
        <f>IFERROR(INDEX('01_Компании'!$I$4:$I$103,MATCH(A62,'01_Компании'!$A$4:$A$103,0)),"")</f>
        <v>0</v>
      </c>
      <c r="K62" s="2">
        <f>IFERROR(INDEX('04_Оценка'!$S$4:$S$103,MATCH(A62,'04_Оценка'!$A$4:$A$103,0)),"")</f>
        <v>0</v>
      </c>
    </row>
    <row r="63" spans="1:11">
      <c r="A63" s="2" t="s">
        <v>140</v>
      </c>
      <c r="B63" s="2">
        <f>IFERROR(INDEX('04_Оценка'!$B$4:$B$103,MATCH(A63,'04_Оценка'!$A$4:$A$103,0)),"")</f>
        <v>0</v>
      </c>
      <c r="C63" s="6" t="str">
        <f>IFERROR(AVERAGE('04_Оценка'!D63,'04_Оценка'!F63),"")</f>
        <v/>
      </c>
      <c r="D63" s="6" t="str">
        <f>IFERROR(AVERAGE('04_Оценка'!E63,'04_Оценка'!J63),"")</f>
        <v/>
      </c>
      <c r="E63" s="6" t="str">
        <f>IFERROR('04_Оценка'!N63,"")</f>
        <v/>
      </c>
      <c r="F63" s="2" t="str">
        <f>IFERROR('04_Оценка'!R63,"")</f>
        <v/>
      </c>
      <c r="G63" s="2" t="str">
        <f t="shared" si="1"/>
        <v/>
      </c>
      <c r="H63" s="2"/>
      <c r="I63" s="2"/>
      <c r="J63" s="2">
        <f>IFERROR(INDEX('01_Компании'!$I$4:$I$103,MATCH(A63,'01_Компании'!$A$4:$A$103,0)),"")</f>
        <v>0</v>
      </c>
      <c r="K63" s="2">
        <f>IFERROR(INDEX('04_Оценка'!$S$4:$S$103,MATCH(A63,'04_Оценка'!$A$4:$A$103,0)),"")</f>
        <v>0</v>
      </c>
    </row>
    <row r="64" spans="1:11">
      <c r="A64" s="2" t="s">
        <v>141</v>
      </c>
      <c r="B64" s="2">
        <f>IFERROR(INDEX('04_Оценка'!$B$4:$B$103,MATCH(A64,'04_Оценка'!$A$4:$A$103,0)),"")</f>
        <v>0</v>
      </c>
      <c r="C64" s="6" t="str">
        <f>IFERROR(AVERAGE('04_Оценка'!D64,'04_Оценка'!F64),"")</f>
        <v/>
      </c>
      <c r="D64" s="6" t="str">
        <f>IFERROR(AVERAGE('04_Оценка'!E64,'04_Оценка'!J64),"")</f>
        <v/>
      </c>
      <c r="E64" s="6" t="str">
        <f>IFERROR('04_Оценка'!N64,"")</f>
        <v/>
      </c>
      <c r="F64" s="2" t="str">
        <f>IFERROR('04_Оценка'!R64,"")</f>
        <v/>
      </c>
      <c r="G64" s="2" t="str">
        <f t="shared" si="1"/>
        <v/>
      </c>
      <c r="H64" s="2"/>
      <c r="I64" s="2"/>
      <c r="J64" s="2">
        <f>IFERROR(INDEX('01_Компании'!$I$4:$I$103,MATCH(A64,'01_Компании'!$A$4:$A$103,0)),"")</f>
        <v>0</v>
      </c>
      <c r="K64" s="2">
        <f>IFERROR(INDEX('04_Оценка'!$S$4:$S$103,MATCH(A64,'04_Оценка'!$A$4:$A$103,0)),"")</f>
        <v>0</v>
      </c>
    </row>
    <row r="65" spans="1:11">
      <c r="A65" s="2" t="s">
        <v>142</v>
      </c>
      <c r="B65" s="2">
        <f>IFERROR(INDEX('04_Оценка'!$B$4:$B$103,MATCH(A65,'04_Оценка'!$A$4:$A$103,0)),"")</f>
        <v>0</v>
      </c>
      <c r="C65" s="6" t="str">
        <f>IFERROR(AVERAGE('04_Оценка'!D65,'04_Оценка'!F65),"")</f>
        <v/>
      </c>
      <c r="D65" s="6" t="str">
        <f>IFERROR(AVERAGE('04_Оценка'!E65,'04_Оценка'!J65),"")</f>
        <v/>
      </c>
      <c r="E65" s="6" t="str">
        <f>IFERROR('04_Оценка'!N65,"")</f>
        <v/>
      </c>
      <c r="F65" s="2" t="str">
        <f>IFERROR('04_Оценка'!R65,"")</f>
        <v/>
      </c>
      <c r="G65" s="2" t="str">
        <f t="shared" si="1"/>
        <v/>
      </c>
      <c r="H65" s="2"/>
      <c r="I65" s="2"/>
      <c r="J65" s="2">
        <f>IFERROR(INDEX('01_Компании'!$I$4:$I$103,MATCH(A65,'01_Компании'!$A$4:$A$103,0)),"")</f>
        <v>0</v>
      </c>
      <c r="K65" s="2">
        <f>IFERROR(INDEX('04_Оценка'!$S$4:$S$103,MATCH(A65,'04_Оценка'!$A$4:$A$103,0)),"")</f>
        <v>0</v>
      </c>
    </row>
    <row r="66" spans="1:11">
      <c r="A66" s="2" t="s">
        <v>143</v>
      </c>
      <c r="B66" s="2">
        <f>IFERROR(INDEX('04_Оценка'!$B$4:$B$103,MATCH(A66,'04_Оценка'!$A$4:$A$103,0)),"")</f>
        <v>0</v>
      </c>
      <c r="C66" s="6" t="str">
        <f>IFERROR(AVERAGE('04_Оценка'!D66,'04_Оценка'!F66),"")</f>
        <v/>
      </c>
      <c r="D66" s="6" t="str">
        <f>IFERROR(AVERAGE('04_Оценка'!E66,'04_Оценка'!J66),"")</f>
        <v/>
      </c>
      <c r="E66" s="6" t="str">
        <f>IFERROR('04_Оценка'!N66,"")</f>
        <v/>
      </c>
      <c r="F66" s="2" t="str">
        <f>IFERROR('04_Оценка'!R66,"")</f>
        <v/>
      </c>
      <c r="G66" s="2" t="str">
        <f t="shared" si="1"/>
        <v/>
      </c>
      <c r="H66" s="2"/>
      <c r="I66" s="2"/>
      <c r="J66" s="2">
        <f>IFERROR(INDEX('01_Компании'!$I$4:$I$103,MATCH(A66,'01_Компании'!$A$4:$A$103,0)),"")</f>
        <v>0</v>
      </c>
      <c r="K66" s="2">
        <f>IFERROR(INDEX('04_Оценка'!$S$4:$S$103,MATCH(A66,'04_Оценка'!$A$4:$A$103,0)),"")</f>
        <v>0</v>
      </c>
    </row>
    <row r="67" spans="1:11">
      <c r="A67" s="2" t="s">
        <v>144</v>
      </c>
      <c r="B67" s="2">
        <f>IFERROR(INDEX('04_Оценка'!$B$4:$B$103,MATCH(A67,'04_Оценка'!$A$4:$A$103,0)),"")</f>
        <v>0</v>
      </c>
      <c r="C67" s="6" t="str">
        <f>IFERROR(AVERAGE('04_Оценка'!D67,'04_Оценка'!F67),"")</f>
        <v/>
      </c>
      <c r="D67" s="6" t="str">
        <f>IFERROR(AVERAGE('04_Оценка'!E67,'04_Оценка'!J67),"")</f>
        <v/>
      </c>
      <c r="E67" s="6" t="str">
        <f>IFERROR('04_Оценка'!N67,"")</f>
        <v/>
      </c>
      <c r="F67" s="2" t="str">
        <f>IFERROR('04_Оценка'!R67,"")</f>
        <v/>
      </c>
      <c r="G67" s="2" t="str">
        <f t="shared" si="1"/>
        <v/>
      </c>
      <c r="H67" s="2"/>
      <c r="I67" s="2"/>
      <c r="J67" s="2">
        <f>IFERROR(INDEX('01_Компании'!$I$4:$I$103,MATCH(A67,'01_Компании'!$A$4:$A$103,0)),"")</f>
        <v>0</v>
      </c>
      <c r="K67" s="2">
        <f>IFERROR(INDEX('04_Оценка'!$S$4:$S$103,MATCH(A67,'04_Оценка'!$A$4:$A$103,0)),"")</f>
        <v>0</v>
      </c>
    </row>
    <row r="68" spans="1:11">
      <c r="A68" s="2" t="s">
        <v>145</v>
      </c>
      <c r="B68" s="2">
        <f>IFERROR(INDEX('04_Оценка'!$B$4:$B$103,MATCH(A68,'04_Оценка'!$A$4:$A$103,0)),"")</f>
        <v>0</v>
      </c>
      <c r="C68" s="6" t="str">
        <f>IFERROR(AVERAGE('04_Оценка'!D68,'04_Оценка'!F68),"")</f>
        <v/>
      </c>
      <c r="D68" s="6" t="str">
        <f>IFERROR(AVERAGE('04_Оценка'!E68,'04_Оценка'!J68),"")</f>
        <v/>
      </c>
      <c r="E68" s="6" t="str">
        <f>IFERROR('04_Оценка'!N68,"")</f>
        <v/>
      </c>
      <c r="F68" s="2" t="str">
        <f>IFERROR('04_Оценка'!R68,"")</f>
        <v/>
      </c>
      <c r="G68" s="2" t="str">
        <f t="shared" ref="G68:G103" si="2">IF(E68="","",IF(AND(C68&gt;=4,D68&gt;=4),"Ядро прямой конкуренции",IF(AND(C68&gt;=3,D68&gt;=3),"Близкая альтернатива",IF(C68&gt;=3,"Функциональный заменитель",IF(D68&gt;=3,"Аудиторное пересечение","Периферия")))))</f>
        <v/>
      </c>
      <c r="H68" s="2"/>
      <c r="I68" s="2"/>
      <c r="J68" s="2">
        <f>IFERROR(INDEX('01_Компании'!$I$4:$I$103,MATCH(A68,'01_Компании'!$A$4:$A$103,0)),"")</f>
        <v>0</v>
      </c>
      <c r="K68" s="2">
        <f>IFERROR(INDEX('04_Оценка'!$S$4:$S$103,MATCH(A68,'04_Оценка'!$A$4:$A$103,0)),"")</f>
        <v>0</v>
      </c>
    </row>
    <row r="69" spans="1:11">
      <c r="A69" s="2" t="s">
        <v>146</v>
      </c>
      <c r="B69" s="2">
        <f>IFERROR(INDEX('04_Оценка'!$B$4:$B$103,MATCH(A69,'04_Оценка'!$A$4:$A$103,0)),"")</f>
        <v>0</v>
      </c>
      <c r="C69" s="6" t="str">
        <f>IFERROR(AVERAGE('04_Оценка'!D69,'04_Оценка'!F69),"")</f>
        <v/>
      </c>
      <c r="D69" s="6" t="str">
        <f>IFERROR(AVERAGE('04_Оценка'!E69,'04_Оценка'!J69),"")</f>
        <v/>
      </c>
      <c r="E69" s="6" t="str">
        <f>IFERROR('04_Оценка'!N69,"")</f>
        <v/>
      </c>
      <c r="F69" s="2" t="str">
        <f>IFERROR('04_Оценка'!R69,"")</f>
        <v/>
      </c>
      <c r="G69" s="2" t="str">
        <f t="shared" si="2"/>
        <v/>
      </c>
      <c r="H69" s="2"/>
      <c r="I69" s="2"/>
      <c r="J69" s="2">
        <f>IFERROR(INDEX('01_Компании'!$I$4:$I$103,MATCH(A69,'01_Компании'!$A$4:$A$103,0)),"")</f>
        <v>0</v>
      </c>
      <c r="K69" s="2">
        <f>IFERROR(INDEX('04_Оценка'!$S$4:$S$103,MATCH(A69,'04_Оценка'!$A$4:$A$103,0)),"")</f>
        <v>0</v>
      </c>
    </row>
    <row r="70" spans="1:11">
      <c r="A70" s="2" t="s">
        <v>147</v>
      </c>
      <c r="B70" s="2">
        <f>IFERROR(INDEX('04_Оценка'!$B$4:$B$103,MATCH(A70,'04_Оценка'!$A$4:$A$103,0)),"")</f>
        <v>0</v>
      </c>
      <c r="C70" s="6" t="str">
        <f>IFERROR(AVERAGE('04_Оценка'!D70,'04_Оценка'!F70),"")</f>
        <v/>
      </c>
      <c r="D70" s="6" t="str">
        <f>IFERROR(AVERAGE('04_Оценка'!E70,'04_Оценка'!J70),"")</f>
        <v/>
      </c>
      <c r="E70" s="6" t="str">
        <f>IFERROR('04_Оценка'!N70,"")</f>
        <v/>
      </c>
      <c r="F70" s="2" t="str">
        <f>IFERROR('04_Оценка'!R70,"")</f>
        <v/>
      </c>
      <c r="G70" s="2" t="str">
        <f t="shared" si="2"/>
        <v/>
      </c>
      <c r="H70" s="2"/>
      <c r="I70" s="2"/>
      <c r="J70" s="2">
        <f>IFERROR(INDEX('01_Компании'!$I$4:$I$103,MATCH(A70,'01_Компании'!$A$4:$A$103,0)),"")</f>
        <v>0</v>
      </c>
      <c r="K70" s="2">
        <f>IFERROR(INDEX('04_Оценка'!$S$4:$S$103,MATCH(A70,'04_Оценка'!$A$4:$A$103,0)),"")</f>
        <v>0</v>
      </c>
    </row>
    <row r="71" spans="1:11">
      <c r="A71" s="2" t="s">
        <v>148</v>
      </c>
      <c r="B71" s="2">
        <f>IFERROR(INDEX('04_Оценка'!$B$4:$B$103,MATCH(A71,'04_Оценка'!$A$4:$A$103,0)),"")</f>
        <v>0</v>
      </c>
      <c r="C71" s="6" t="str">
        <f>IFERROR(AVERAGE('04_Оценка'!D71,'04_Оценка'!F71),"")</f>
        <v/>
      </c>
      <c r="D71" s="6" t="str">
        <f>IFERROR(AVERAGE('04_Оценка'!E71,'04_Оценка'!J71),"")</f>
        <v/>
      </c>
      <c r="E71" s="6" t="str">
        <f>IFERROR('04_Оценка'!N71,"")</f>
        <v/>
      </c>
      <c r="F71" s="2" t="str">
        <f>IFERROR('04_Оценка'!R71,"")</f>
        <v/>
      </c>
      <c r="G71" s="2" t="str">
        <f t="shared" si="2"/>
        <v/>
      </c>
      <c r="H71" s="2"/>
      <c r="I71" s="2"/>
      <c r="J71" s="2">
        <f>IFERROR(INDEX('01_Компании'!$I$4:$I$103,MATCH(A71,'01_Компании'!$A$4:$A$103,0)),"")</f>
        <v>0</v>
      </c>
      <c r="K71" s="2">
        <f>IFERROR(INDEX('04_Оценка'!$S$4:$S$103,MATCH(A71,'04_Оценка'!$A$4:$A$103,0)),"")</f>
        <v>0</v>
      </c>
    </row>
    <row r="72" spans="1:11">
      <c r="A72" s="2" t="s">
        <v>149</v>
      </c>
      <c r="B72" s="2">
        <f>IFERROR(INDEX('04_Оценка'!$B$4:$B$103,MATCH(A72,'04_Оценка'!$A$4:$A$103,0)),"")</f>
        <v>0</v>
      </c>
      <c r="C72" s="6" t="str">
        <f>IFERROR(AVERAGE('04_Оценка'!D72,'04_Оценка'!F72),"")</f>
        <v/>
      </c>
      <c r="D72" s="6" t="str">
        <f>IFERROR(AVERAGE('04_Оценка'!E72,'04_Оценка'!J72),"")</f>
        <v/>
      </c>
      <c r="E72" s="6" t="str">
        <f>IFERROR('04_Оценка'!N72,"")</f>
        <v/>
      </c>
      <c r="F72" s="2" t="str">
        <f>IFERROR('04_Оценка'!R72,"")</f>
        <v/>
      </c>
      <c r="G72" s="2" t="str">
        <f t="shared" si="2"/>
        <v/>
      </c>
      <c r="H72" s="2"/>
      <c r="I72" s="2"/>
      <c r="J72" s="2">
        <f>IFERROR(INDEX('01_Компании'!$I$4:$I$103,MATCH(A72,'01_Компании'!$A$4:$A$103,0)),"")</f>
        <v>0</v>
      </c>
      <c r="K72" s="2">
        <f>IFERROR(INDEX('04_Оценка'!$S$4:$S$103,MATCH(A72,'04_Оценка'!$A$4:$A$103,0)),"")</f>
        <v>0</v>
      </c>
    </row>
    <row r="73" spans="1:11">
      <c r="A73" s="2" t="s">
        <v>150</v>
      </c>
      <c r="B73" s="2">
        <f>IFERROR(INDEX('04_Оценка'!$B$4:$B$103,MATCH(A73,'04_Оценка'!$A$4:$A$103,0)),"")</f>
        <v>0</v>
      </c>
      <c r="C73" s="6" t="str">
        <f>IFERROR(AVERAGE('04_Оценка'!D73,'04_Оценка'!F73),"")</f>
        <v/>
      </c>
      <c r="D73" s="6" t="str">
        <f>IFERROR(AVERAGE('04_Оценка'!E73,'04_Оценка'!J73),"")</f>
        <v/>
      </c>
      <c r="E73" s="6" t="str">
        <f>IFERROR('04_Оценка'!N73,"")</f>
        <v/>
      </c>
      <c r="F73" s="2" t="str">
        <f>IFERROR('04_Оценка'!R73,"")</f>
        <v/>
      </c>
      <c r="G73" s="2" t="str">
        <f t="shared" si="2"/>
        <v/>
      </c>
      <c r="H73" s="2"/>
      <c r="I73" s="2"/>
      <c r="J73" s="2">
        <f>IFERROR(INDEX('01_Компании'!$I$4:$I$103,MATCH(A73,'01_Компании'!$A$4:$A$103,0)),"")</f>
        <v>0</v>
      </c>
      <c r="K73" s="2">
        <f>IFERROR(INDEX('04_Оценка'!$S$4:$S$103,MATCH(A73,'04_Оценка'!$A$4:$A$103,0)),"")</f>
        <v>0</v>
      </c>
    </row>
    <row r="74" spans="1:11">
      <c r="A74" s="2" t="s">
        <v>151</v>
      </c>
      <c r="B74" s="2">
        <f>IFERROR(INDEX('04_Оценка'!$B$4:$B$103,MATCH(A74,'04_Оценка'!$A$4:$A$103,0)),"")</f>
        <v>0</v>
      </c>
      <c r="C74" s="6" t="str">
        <f>IFERROR(AVERAGE('04_Оценка'!D74,'04_Оценка'!F74),"")</f>
        <v/>
      </c>
      <c r="D74" s="6" t="str">
        <f>IFERROR(AVERAGE('04_Оценка'!E74,'04_Оценка'!J74),"")</f>
        <v/>
      </c>
      <c r="E74" s="6" t="str">
        <f>IFERROR('04_Оценка'!N74,"")</f>
        <v/>
      </c>
      <c r="F74" s="2" t="str">
        <f>IFERROR('04_Оценка'!R74,"")</f>
        <v/>
      </c>
      <c r="G74" s="2" t="str">
        <f t="shared" si="2"/>
        <v/>
      </c>
      <c r="H74" s="2"/>
      <c r="I74" s="2"/>
      <c r="J74" s="2">
        <f>IFERROR(INDEX('01_Компании'!$I$4:$I$103,MATCH(A74,'01_Компании'!$A$4:$A$103,0)),"")</f>
        <v>0</v>
      </c>
      <c r="K74" s="2">
        <f>IFERROR(INDEX('04_Оценка'!$S$4:$S$103,MATCH(A74,'04_Оценка'!$A$4:$A$103,0)),"")</f>
        <v>0</v>
      </c>
    </row>
    <row r="75" spans="1:11">
      <c r="A75" s="2" t="s">
        <v>152</v>
      </c>
      <c r="B75" s="2">
        <f>IFERROR(INDEX('04_Оценка'!$B$4:$B$103,MATCH(A75,'04_Оценка'!$A$4:$A$103,0)),"")</f>
        <v>0</v>
      </c>
      <c r="C75" s="6" t="str">
        <f>IFERROR(AVERAGE('04_Оценка'!D75,'04_Оценка'!F75),"")</f>
        <v/>
      </c>
      <c r="D75" s="6" t="str">
        <f>IFERROR(AVERAGE('04_Оценка'!E75,'04_Оценка'!J75),"")</f>
        <v/>
      </c>
      <c r="E75" s="6" t="str">
        <f>IFERROR('04_Оценка'!N75,"")</f>
        <v/>
      </c>
      <c r="F75" s="2" t="str">
        <f>IFERROR('04_Оценка'!R75,"")</f>
        <v/>
      </c>
      <c r="G75" s="2" t="str">
        <f t="shared" si="2"/>
        <v/>
      </c>
      <c r="H75" s="2"/>
      <c r="I75" s="2"/>
      <c r="J75" s="2">
        <f>IFERROR(INDEX('01_Компании'!$I$4:$I$103,MATCH(A75,'01_Компании'!$A$4:$A$103,0)),"")</f>
        <v>0</v>
      </c>
      <c r="K75" s="2">
        <f>IFERROR(INDEX('04_Оценка'!$S$4:$S$103,MATCH(A75,'04_Оценка'!$A$4:$A$103,0)),"")</f>
        <v>0</v>
      </c>
    </row>
    <row r="76" spans="1:11">
      <c r="A76" s="2" t="s">
        <v>153</v>
      </c>
      <c r="B76" s="2">
        <f>IFERROR(INDEX('04_Оценка'!$B$4:$B$103,MATCH(A76,'04_Оценка'!$A$4:$A$103,0)),"")</f>
        <v>0</v>
      </c>
      <c r="C76" s="6" t="str">
        <f>IFERROR(AVERAGE('04_Оценка'!D76,'04_Оценка'!F76),"")</f>
        <v/>
      </c>
      <c r="D76" s="6" t="str">
        <f>IFERROR(AVERAGE('04_Оценка'!E76,'04_Оценка'!J76),"")</f>
        <v/>
      </c>
      <c r="E76" s="6" t="str">
        <f>IFERROR('04_Оценка'!N76,"")</f>
        <v/>
      </c>
      <c r="F76" s="2" t="str">
        <f>IFERROR('04_Оценка'!R76,"")</f>
        <v/>
      </c>
      <c r="G76" s="2" t="str">
        <f t="shared" si="2"/>
        <v/>
      </c>
      <c r="H76" s="2"/>
      <c r="I76" s="2"/>
      <c r="J76" s="2">
        <f>IFERROR(INDEX('01_Компании'!$I$4:$I$103,MATCH(A76,'01_Компании'!$A$4:$A$103,0)),"")</f>
        <v>0</v>
      </c>
      <c r="K76" s="2">
        <f>IFERROR(INDEX('04_Оценка'!$S$4:$S$103,MATCH(A76,'04_Оценка'!$A$4:$A$103,0)),"")</f>
        <v>0</v>
      </c>
    </row>
    <row r="77" spans="1:11">
      <c r="A77" s="2" t="s">
        <v>154</v>
      </c>
      <c r="B77" s="2">
        <f>IFERROR(INDEX('04_Оценка'!$B$4:$B$103,MATCH(A77,'04_Оценка'!$A$4:$A$103,0)),"")</f>
        <v>0</v>
      </c>
      <c r="C77" s="6" t="str">
        <f>IFERROR(AVERAGE('04_Оценка'!D77,'04_Оценка'!F77),"")</f>
        <v/>
      </c>
      <c r="D77" s="6" t="str">
        <f>IFERROR(AVERAGE('04_Оценка'!E77,'04_Оценка'!J77),"")</f>
        <v/>
      </c>
      <c r="E77" s="6" t="str">
        <f>IFERROR('04_Оценка'!N77,"")</f>
        <v/>
      </c>
      <c r="F77" s="2" t="str">
        <f>IFERROR('04_Оценка'!R77,"")</f>
        <v/>
      </c>
      <c r="G77" s="2" t="str">
        <f t="shared" si="2"/>
        <v/>
      </c>
      <c r="H77" s="2"/>
      <c r="I77" s="2"/>
      <c r="J77" s="2">
        <f>IFERROR(INDEX('01_Компании'!$I$4:$I$103,MATCH(A77,'01_Компании'!$A$4:$A$103,0)),"")</f>
        <v>0</v>
      </c>
      <c r="K77" s="2">
        <f>IFERROR(INDEX('04_Оценка'!$S$4:$S$103,MATCH(A77,'04_Оценка'!$A$4:$A$103,0)),"")</f>
        <v>0</v>
      </c>
    </row>
    <row r="78" spans="1:11">
      <c r="A78" s="2" t="s">
        <v>155</v>
      </c>
      <c r="B78" s="2">
        <f>IFERROR(INDEX('04_Оценка'!$B$4:$B$103,MATCH(A78,'04_Оценка'!$A$4:$A$103,0)),"")</f>
        <v>0</v>
      </c>
      <c r="C78" s="6" t="str">
        <f>IFERROR(AVERAGE('04_Оценка'!D78,'04_Оценка'!F78),"")</f>
        <v/>
      </c>
      <c r="D78" s="6" t="str">
        <f>IFERROR(AVERAGE('04_Оценка'!E78,'04_Оценка'!J78),"")</f>
        <v/>
      </c>
      <c r="E78" s="6" t="str">
        <f>IFERROR('04_Оценка'!N78,"")</f>
        <v/>
      </c>
      <c r="F78" s="2" t="str">
        <f>IFERROR('04_Оценка'!R78,"")</f>
        <v/>
      </c>
      <c r="G78" s="2" t="str">
        <f t="shared" si="2"/>
        <v/>
      </c>
      <c r="H78" s="2"/>
      <c r="I78" s="2"/>
      <c r="J78" s="2">
        <f>IFERROR(INDEX('01_Компании'!$I$4:$I$103,MATCH(A78,'01_Компании'!$A$4:$A$103,0)),"")</f>
        <v>0</v>
      </c>
      <c r="K78" s="2">
        <f>IFERROR(INDEX('04_Оценка'!$S$4:$S$103,MATCH(A78,'04_Оценка'!$A$4:$A$103,0)),"")</f>
        <v>0</v>
      </c>
    </row>
    <row r="79" spans="1:11">
      <c r="A79" s="2" t="s">
        <v>156</v>
      </c>
      <c r="B79" s="2">
        <f>IFERROR(INDEX('04_Оценка'!$B$4:$B$103,MATCH(A79,'04_Оценка'!$A$4:$A$103,0)),"")</f>
        <v>0</v>
      </c>
      <c r="C79" s="6" t="str">
        <f>IFERROR(AVERAGE('04_Оценка'!D79,'04_Оценка'!F79),"")</f>
        <v/>
      </c>
      <c r="D79" s="6" t="str">
        <f>IFERROR(AVERAGE('04_Оценка'!E79,'04_Оценка'!J79),"")</f>
        <v/>
      </c>
      <c r="E79" s="6" t="str">
        <f>IFERROR('04_Оценка'!N79,"")</f>
        <v/>
      </c>
      <c r="F79" s="2" t="str">
        <f>IFERROR('04_Оценка'!R79,"")</f>
        <v/>
      </c>
      <c r="G79" s="2" t="str">
        <f t="shared" si="2"/>
        <v/>
      </c>
      <c r="H79" s="2"/>
      <c r="I79" s="2"/>
      <c r="J79" s="2">
        <f>IFERROR(INDEX('01_Компании'!$I$4:$I$103,MATCH(A79,'01_Компании'!$A$4:$A$103,0)),"")</f>
        <v>0</v>
      </c>
      <c r="K79" s="2">
        <f>IFERROR(INDEX('04_Оценка'!$S$4:$S$103,MATCH(A79,'04_Оценка'!$A$4:$A$103,0)),"")</f>
        <v>0</v>
      </c>
    </row>
    <row r="80" spans="1:11">
      <c r="A80" s="2" t="s">
        <v>157</v>
      </c>
      <c r="B80" s="2">
        <f>IFERROR(INDEX('04_Оценка'!$B$4:$B$103,MATCH(A80,'04_Оценка'!$A$4:$A$103,0)),"")</f>
        <v>0</v>
      </c>
      <c r="C80" s="6" t="str">
        <f>IFERROR(AVERAGE('04_Оценка'!D80,'04_Оценка'!F80),"")</f>
        <v/>
      </c>
      <c r="D80" s="6" t="str">
        <f>IFERROR(AVERAGE('04_Оценка'!E80,'04_Оценка'!J80),"")</f>
        <v/>
      </c>
      <c r="E80" s="6" t="str">
        <f>IFERROR('04_Оценка'!N80,"")</f>
        <v/>
      </c>
      <c r="F80" s="2" t="str">
        <f>IFERROR('04_Оценка'!R80,"")</f>
        <v/>
      </c>
      <c r="G80" s="2" t="str">
        <f t="shared" si="2"/>
        <v/>
      </c>
      <c r="H80" s="2"/>
      <c r="I80" s="2"/>
      <c r="J80" s="2">
        <f>IFERROR(INDEX('01_Компании'!$I$4:$I$103,MATCH(A80,'01_Компании'!$A$4:$A$103,0)),"")</f>
        <v>0</v>
      </c>
      <c r="K80" s="2">
        <f>IFERROR(INDEX('04_Оценка'!$S$4:$S$103,MATCH(A80,'04_Оценка'!$A$4:$A$103,0)),"")</f>
        <v>0</v>
      </c>
    </row>
    <row r="81" spans="1:11">
      <c r="A81" s="2" t="s">
        <v>158</v>
      </c>
      <c r="B81" s="2">
        <f>IFERROR(INDEX('04_Оценка'!$B$4:$B$103,MATCH(A81,'04_Оценка'!$A$4:$A$103,0)),"")</f>
        <v>0</v>
      </c>
      <c r="C81" s="6" t="str">
        <f>IFERROR(AVERAGE('04_Оценка'!D81,'04_Оценка'!F81),"")</f>
        <v/>
      </c>
      <c r="D81" s="6" t="str">
        <f>IFERROR(AVERAGE('04_Оценка'!E81,'04_Оценка'!J81),"")</f>
        <v/>
      </c>
      <c r="E81" s="6" t="str">
        <f>IFERROR('04_Оценка'!N81,"")</f>
        <v/>
      </c>
      <c r="F81" s="2" t="str">
        <f>IFERROR('04_Оценка'!R81,"")</f>
        <v/>
      </c>
      <c r="G81" s="2" t="str">
        <f t="shared" si="2"/>
        <v/>
      </c>
      <c r="H81" s="2"/>
      <c r="I81" s="2"/>
      <c r="J81" s="2">
        <f>IFERROR(INDEX('01_Компании'!$I$4:$I$103,MATCH(A81,'01_Компании'!$A$4:$A$103,0)),"")</f>
        <v>0</v>
      </c>
      <c r="K81" s="2">
        <f>IFERROR(INDEX('04_Оценка'!$S$4:$S$103,MATCH(A81,'04_Оценка'!$A$4:$A$103,0)),"")</f>
        <v>0</v>
      </c>
    </row>
    <row r="82" spans="1:11">
      <c r="A82" s="2" t="s">
        <v>159</v>
      </c>
      <c r="B82" s="2">
        <f>IFERROR(INDEX('04_Оценка'!$B$4:$B$103,MATCH(A82,'04_Оценка'!$A$4:$A$103,0)),"")</f>
        <v>0</v>
      </c>
      <c r="C82" s="6" t="str">
        <f>IFERROR(AVERAGE('04_Оценка'!D82,'04_Оценка'!F82),"")</f>
        <v/>
      </c>
      <c r="D82" s="6" t="str">
        <f>IFERROR(AVERAGE('04_Оценка'!E82,'04_Оценка'!J82),"")</f>
        <v/>
      </c>
      <c r="E82" s="6" t="str">
        <f>IFERROR('04_Оценка'!N82,"")</f>
        <v/>
      </c>
      <c r="F82" s="2" t="str">
        <f>IFERROR('04_Оценка'!R82,"")</f>
        <v/>
      </c>
      <c r="G82" s="2" t="str">
        <f t="shared" si="2"/>
        <v/>
      </c>
      <c r="H82" s="2"/>
      <c r="I82" s="2"/>
      <c r="J82" s="2">
        <f>IFERROR(INDEX('01_Компании'!$I$4:$I$103,MATCH(A82,'01_Компании'!$A$4:$A$103,0)),"")</f>
        <v>0</v>
      </c>
      <c r="K82" s="2">
        <f>IFERROR(INDEX('04_Оценка'!$S$4:$S$103,MATCH(A82,'04_Оценка'!$A$4:$A$103,0)),"")</f>
        <v>0</v>
      </c>
    </row>
    <row r="83" spans="1:11">
      <c r="A83" s="2" t="s">
        <v>160</v>
      </c>
      <c r="B83" s="2">
        <f>IFERROR(INDEX('04_Оценка'!$B$4:$B$103,MATCH(A83,'04_Оценка'!$A$4:$A$103,0)),"")</f>
        <v>0</v>
      </c>
      <c r="C83" s="6" t="str">
        <f>IFERROR(AVERAGE('04_Оценка'!D83,'04_Оценка'!F83),"")</f>
        <v/>
      </c>
      <c r="D83" s="6" t="str">
        <f>IFERROR(AVERAGE('04_Оценка'!E83,'04_Оценка'!J83),"")</f>
        <v/>
      </c>
      <c r="E83" s="6" t="str">
        <f>IFERROR('04_Оценка'!N83,"")</f>
        <v/>
      </c>
      <c r="F83" s="2" t="str">
        <f>IFERROR('04_Оценка'!R83,"")</f>
        <v/>
      </c>
      <c r="G83" s="2" t="str">
        <f t="shared" si="2"/>
        <v/>
      </c>
      <c r="H83" s="2"/>
      <c r="I83" s="2"/>
      <c r="J83" s="2">
        <f>IFERROR(INDEX('01_Компании'!$I$4:$I$103,MATCH(A83,'01_Компании'!$A$4:$A$103,0)),"")</f>
        <v>0</v>
      </c>
      <c r="K83" s="2">
        <f>IFERROR(INDEX('04_Оценка'!$S$4:$S$103,MATCH(A83,'04_Оценка'!$A$4:$A$103,0)),"")</f>
        <v>0</v>
      </c>
    </row>
    <row r="84" spans="1:11">
      <c r="A84" s="2" t="s">
        <v>161</v>
      </c>
      <c r="B84" s="2">
        <f>IFERROR(INDEX('04_Оценка'!$B$4:$B$103,MATCH(A84,'04_Оценка'!$A$4:$A$103,0)),"")</f>
        <v>0</v>
      </c>
      <c r="C84" s="6" t="str">
        <f>IFERROR(AVERAGE('04_Оценка'!D84,'04_Оценка'!F84),"")</f>
        <v/>
      </c>
      <c r="D84" s="6" t="str">
        <f>IFERROR(AVERAGE('04_Оценка'!E84,'04_Оценка'!J84),"")</f>
        <v/>
      </c>
      <c r="E84" s="6" t="str">
        <f>IFERROR('04_Оценка'!N84,"")</f>
        <v/>
      </c>
      <c r="F84" s="2" t="str">
        <f>IFERROR('04_Оценка'!R84,"")</f>
        <v/>
      </c>
      <c r="G84" s="2" t="str">
        <f t="shared" si="2"/>
        <v/>
      </c>
      <c r="H84" s="2"/>
      <c r="I84" s="2"/>
      <c r="J84" s="2">
        <f>IFERROR(INDEX('01_Компании'!$I$4:$I$103,MATCH(A84,'01_Компании'!$A$4:$A$103,0)),"")</f>
        <v>0</v>
      </c>
      <c r="K84" s="2">
        <f>IFERROR(INDEX('04_Оценка'!$S$4:$S$103,MATCH(A84,'04_Оценка'!$A$4:$A$103,0)),"")</f>
        <v>0</v>
      </c>
    </row>
    <row r="85" spans="1:11">
      <c r="A85" s="2" t="s">
        <v>162</v>
      </c>
      <c r="B85" s="2">
        <f>IFERROR(INDEX('04_Оценка'!$B$4:$B$103,MATCH(A85,'04_Оценка'!$A$4:$A$103,0)),"")</f>
        <v>0</v>
      </c>
      <c r="C85" s="6" t="str">
        <f>IFERROR(AVERAGE('04_Оценка'!D85,'04_Оценка'!F85),"")</f>
        <v/>
      </c>
      <c r="D85" s="6" t="str">
        <f>IFERROR(AVERAGE('04_Оценка'!E85,'04_Оценка'!J85),"")</f>
        <v/>
      </c>
      <c r="E85" s="6" t="str">
        <f>IFERROR('04_Оценка'!N85,"")</f>
        <v/>
      </c>
      <c r="F85" s="2" t="str">
        <f>IFERROR('04_Оценка'!R85,"")</f>
        <v/>
      </c>
      <c r="G85" s="2" t="str">
        <f t="shared" si="2"/>
        <v/>
      </c>
      <c r="H85" s="2"/>
      <c r="I85" s="2"/>
      <c r="J85" s="2">
        <f>IFERROR(INDEX('01_Компании'!$I$4:$I$103,MATCH(A85,'01_Компании'!$A$4:$A$103,0)),"")</f>
        <v>0</v>
      </c>
      <c r="K85" s="2">
        <f>IFERROR(INDEX('04_Оценка'!$S$4:$S$103,MATCH(A85,'04_Оценка'!$A$4:$A$103,0)),"")</f>
        <v>0</v>
      </c>
    </row>
    <row r="86" spans="1:11">
      <c r="A86" s="2" t="s">
        <v>163</v>
      </c>
      <c r="B86" s="2">
        <f>IFERROR(INDEX('04_Оценка'!$B$4:$B$103,MATCH(A86,'04_Оценка'!$A$4:$A$103,0)),"")</f>
        <v>0</v>
      </c>
      <c r="C86" s="6" t="str">
        <f>IFERROR(AVERAGE('04_Оценка'!D86,'04_Оценка'!F86),"")</f>
        <v/>
      </c>
      <c r="D86" s="6" t="str">
        <f>IFERROR(AVERAGE('04_Оценка'!E86,'04_Оценка'!J86),"")</f>
        <v/>
      </c>
      <c r="E86" s="6" t="str">
        <f>IFERROR('04_Оценка'!N86,"")</f>
        <v/>
      </c>
      <c r="F86" s="2" t="str">
        <f>IFERROR('04_Оценка'!R86,"")</f>
        <v/>
      </c>
      <c r="G86" s="2" t="str">
        <f t="shared" si="2"/>
        <v/>
      </c>
      <c r="H86" s="2"/>
      <c r="I86" s="2"/>
      <c r="J86" s="2">
        <f>IFERROR(INDEX('01_Компании'!$I$4:$I$103,MATCH(A86,'01_Компании'!$A$4:$A$103,0)),"")</f>
        <v>0</v>
      </c>
      <c r="K86" s="2">
        <f>IFERROR(INDEX('04_Оценка'!$S$4:$S$103,MATCH(A86,'04_Оценка'!$A$4:$A$103,0)),"")</f>
        <v>0</v>
      </c>
    </row>
    <row r="87" spans="1:11">
      <c r="A87" s="2" t="s">
        <v>164</v>
      </c>
      <c r="B87" s="2">
        <f>IFERROR(INDEX('04_Оценка'!$B$4:$B$103,MATCH(A87,'04_Оценка'!$A$4:$A$103,0)),"")</f>
        <v>0</v>
      </c>
      <c r="C87" s="6" t="str">
        <f>IFERROR(AVERAGE('04_Оценка'!D87,'04_Оценка'!F87),"")</f>
        <v/>
      </c>
      <c r="D87" s="6" t="str">
        <f>IFERROR(AVERAGE('04_Оценка'!E87,'04_Оценка'!J87),"")</f>
        <v/>
      </c>
      <c r="E87" s="6" t="str">
        <f>IFERROR('04_Оценка'!N87,"")</f>
        <v/>
      </c>
      <c r="F87" s="2" t="str">
        <f>IFERROR('04_Оценка'!R87,"")</f>
        <v/>
      </c>
      <c r="G87" s="2" t="str">
        <f t="shared" si="2"/>
        <v/>
      </c>
      <c r="H87" s="2"/>
      <c r="I87" s="2"/>
      <c r="J87" s="2">
        <f>IFERROR(INDEX('01_Компании'!$I$4:$I$103,MATCH(A87,'01_Компании'!$A$4:$A$103,0)),"")</f>
        <v>0</v>
      </c>
      <c r="K87" s="2">
        <f>IFERROR(INDEX('04_Оценка'!$S$4:$S$103,MATCH(A87,'04_Оценка'!$A$4:$A$103,0)),"")</f>
        <v>0</v>
      </c>
    </row>
    <row r="88" spans="1:11">
      <c r="A88" s="2" t="s">
        <v>165</v>
      </c>
      <c r="B88" s="2">
        <f>IFERROR(INDEX('04_Оценка'!$B$4:$B$103,MATCH(A88,'04_Оценка'!$A$4:$A$103,0)),"")</f>
        <v>0</v>
      </c>
      <c r="C88" s="6" t="str">
        <f>IFERROR(AVERAGE('04_Оценка'!D88,'04_Оценка'!F88),"")</f>
        <v/>
      </c>
      <c r="D88" s="6" t="str">
        <f>IFERROR(AVERAGE('04_Оценка'!E88,'04_Оценка'!J88),"")</f>
        <v/>
      </c>
      <c r="E88" s="6" t="str">
        <f>IFERROR('04_Оценка'!N88,"")</f>
        <v/>
      </c>
      <c r="F88" s="2" t="str">
        <f>IFERROR('04_Оценка'!R88,"")</f>
        <v/>
      </c>
      <c r="G88" s="2" t="str">
        <f t="shared" si="2"/>
        <v/>
      </c>
      <c r="H88" s="2"/>
      <c r="I88" s="2"/>
      <c r="J88" s="2">
        <f>IFERROR(INDEX('01_Компании'!$I$4:$I$103,MATCH(A88,'01_Компании'!$A$4:$A$103,0)),"")</f>
        <v>0</v>
      </c>
      <c r="K88" s="2">
        <f>IFERROR(INDEX('04_Оценка'!$S$4:$S$103,MATCH(A88,'04_Оценка'!$A$4:$A$103,0)),"")</f>
        <v>0</v>
      </c>
    </row>
    <row r="89" spans="1:11">
      <c r="A89" s="2" t="s">
        <v>166</v>
      </c>
      <c r="B89" s="2">
        <f>IFERROR(INDEX('04_Оценка'!$B$4:$B$103,MATCH(A89,'04_Оценка'!$A$4:$A$103,0)),"")</f>
        <v>0</v>
      </c>
      <c r="C89" s="6" t="str">
        <f>IFERROR(AVERAGE('04_Оценка'!D89,'04_Оценка'!F89),"")</f>
        <v/>
      </c>
      <c r="D89" s="6" t="str">
        <f>IFERROR(AVERAGE('04_Оценка'!E89,'04_Оценка'!J89),"")</f>
        <v/>
      </c>
      <c r="E89" s="6" t="str">
        <f>IFERROR('04_Оценка'!N89,"")</f>
        <v/>
      </c>
      <c r="F89" s="2" t="str">
        <f>IFERROR('04_Оценка'!R89,"")</f>
        <v/>
      </c>
      <c r="G89" s="2" t="str">
        <f t="shared" si="2"/>
        <v/>
      </c>
      <c r="H89" s="2"/>
      <c r="I89" s="2"/>
      <c r="J89" s="2">
        <f>IFERROR(INDEX('01_Компании'!$I$4:$I$103,MATCH(A89,'01_Компании'!$A$4:$A$103,0)),"")</f>
        <v>0</v>
      </c>
      <c r="K89" s="2">
        <f>IFERROR(INDEX('04_Оценка'!$S$4:$S$103,MATCH(A89,'04_Оценка'!$A$4:$A$103,0)),"")</f>
        <v>0</v>
      </c>
    </row>
    <row r="90" spans="1:11">
      <c r="A90" s="2" t="s">
        <v>167</v>
      </c>
      <c r="B90" s="2">
        <f>IFERROR(INDEX('04_Оценка'!$B$4:$B$103,MATCH(A90,'04_Оценка'!$A$4:$A$103,0)),"")</f>
        <v>0</v>
      </c>
      <c r="C90" s="6" t="str">
        <f>IFERROR(AVERAGE('04_Оценка'!D90,'04_Оценка'!F90),"")</f>
        <v/>
      </c>
      <c r="D90" s="6" t="str">
        <f>IFERROR(AVERAGE('04_Оценка'!E90,'04_Оценка'!J90),"")</f>
        <v/>
      </c>
      <c r="E90" s="6" t="str">
        <f>IFERROR('04_Оценка'!N90,"")</f>
        <v/>
      </c>
      <c r="F90" s="2" t="str">
        <f>IFERROR('04_Оценка'!R90,"")</f>
        <v/>
      </c>
      <c r="G90" s="2" t="str">
        <f t="shared" si="2"/>
        <v/>
      </c>
      <c r="H90" s="2"/>
      <c r="I90" s="2"/>
      <c r="J90" s="2">
        <f>IFERROR(INDEX('01_Компании'!$I$4:$I$103,MATCH(A90,'01_Компании'!$A$4:$A$103,0)),"")</f>
        <v>0</v>
      </c>
      <c r="K90" s="2">
        <f>IFERROR(INDEX('04_Оценка'!$S$4:$S$103,MATCH(A90,'04_Оценка'!$A$4:$A$103,0)),"")</f>
        <v>0</v>
      </c>
    </row>
    <row r="91" spans="1:11">
      <c r="A91" s="2" t="s">
        <v>168</v>
      </c>
      <c r="B91" s="2">
        <f>IFERROR(INDEX('04_Оценка'!$B$4:$B$103,MATCH(A91,'04_Оценка'!$A$4:$A$103,0)),"")</f>
        <v>0</v>
      </c>
      <c r="C91" s="6" t="str">
        <f>IFERROR(AVERAGE('04_Оценка'!D91,'04_Оценка'!F91),"")</f>
        <v/>
      </c>
      <c r="D91" s="6" t="str">
        <f>IFERROR(AVERAGE('04_Оценка'!E91,'04_Оценка'!J91),"")</f>
        <v/>
      </c>
      <c r="E91" s="6" t="str">
        <f>IFERROR('04_Оценка'!N91,"")</f>
        <v/>
      </c>
      <c r="F91" s="2" t="str">
        <f>IFERROR('04_Оценка'!R91,"")</f>
        <v/>
      </c>
      <c r="G91" s="2" t="str">
        <f t="shared" si="2"/>
        <v/>
      </c>
      <c r="H91" s="2"/>
      <c r="I91" s="2"/>
      <c r="J91" s="2">
        <f>IFERROR(INDEX('01_Компании'!$I$4:$I$103,MATCH(A91,'01_Компании'!$A$4:$A$103,0)),"")</f>
        <v>0</v>
      </c>
      <c r="K91" s="2">
        <f>IFERROR(INDEX('04_Оценка'!$S$4:$S$103,MATCH(A91,'04_Оценка'!$A$4:$A$103,0)),"")</f>
        <v>0</v>
      </c>
    </row>
    <row r="92" spans="1:11">
      <c r="A92" s="2" t="s">
        <v>169</v>
      </c>
      <c r="B92" s="2">
        <f>IFERROR(INDEX('04_Оценка'!$B$4:$B$103,MATCH(A92,'04_Оценка'!$A$4:$A$103,0)),"")</f>
        <v>0</v>
      </c>
      <c r="C92" s="6" t="str">
        <f>IFERROR(AVERAGE('04_Оценка'!D92,'04_Оценка'!F92),"")</f>
        <v/>
      </c>
      <c r="D92" s="6" t="str">
        <f>IFERROR(AVERAGE('04_Оценка'!E92,'04_Оценка'!J92),"")</f>
        <v/>
      </c>
      <c r="E92" s="6" t="str">
        <f>IFERROR('04_Оценка'!N92,"")</f>
        <v/>
      </c>
      <c r="F92" s="2" t="str">
        <f>IFERROR('04_Оценка'!R92,"")</f>
        <v/>
      </c>
      <c r="G92" s="2" t="str">
        <f t="shared" si="2"/>
        <v/>
      </c>
      <c r="H92" s="2"/>
      <c r="I92" s="2"/>
      <c r="J92" s="2">
        <f>IFERROR(INDEX('01_Компании'!$I$4:$I$103,MATCH(A92,'01_Компании'!$A$4:$A$103,0)),"")</f>
        <v>0</v>
      </c>
      <c r="K92" s="2">
        <f>IFERROR(INDEX('04_Оценка'!$S$4:$S$103,MATCH(A92,'04_Оценка'!$A$4:$A$103,0)),"")</f>
        <v>0</v>
      </c>
    </row>
    <row r="93" spans="1:11">
      <c r="A93" s="2" t="s">
        <v>170</v>
      </c>
      <c r="B93" s="2">
        <f>IFERROR(INDEX('04_Оценка'!$B$4:$B$103,MATCH(A93,'04_Оценка'!$A$4:$A$103,0)),"")</f>
        <v>0</v>
      </c>
      <c r="C93" s="6" t="str">
        <f>IFERROR(AVERAGE('04_Оценка'!D93,'04_Оценка'!F93),"")</f>
        <v/>
      </c>
      <c r="D93" s="6" t="str">
        <f>IFERROR(AVERAGE('04_Оценка'!E93,'04_Оценка'!J93),"")</f>
        <v/>
      </c>
      <c r="E93" s="6" t="str">
        <f>IFERROR('04_Оценка'!N93,"")</f>
        <v/>
      </c>
      <c r="F93" s="2" t="str">
        <f>IFERROR('04_Оценка'!R93,"")</f>
        <v/>
      </c>
      <c r="G93" s="2" t="str">
        <f t="shared" si="2"/>
        <v/>
      </c>
      <c r="H93" s="2"/>
      <c r="I93" s="2"/>
      <c r="J93" s="2">
        <f>IFERROR(INDEX('01_Компании'!$I$4:$I$103,MATCH(A93,'01_Компании'!$A$4:$A$103,0)),"")</f>
        <v>0</v>
      </c>
      <c r="K93" s="2">
        <f>IFERROR(INDEX('04_Оценка'!$S$4:$S$103,MATCH(A93,'04_Оценка'!$A$4:$A$103,0)),"")</f>
        <v>0</v>
      </c>
    </row>
    <row r="94" spans="1:11">
      <c r="A94" s="2" t="s">
        <v>171</v>
      </c>
      <c r="B94" s="2">
        <f>IFERROR(INDEX('04_Оценка'!$B$4:$B$103,MATCH(A94,'04_Оценка'!$A$4:$A$103,0)),"")</f>
        <v>0</v>
      </c>
      <c r="C94" s="6" t="str">
        <f>IFERROR(AVERAGE('04_Оценка'!D94,'04_Оценка'!F94),"")</f>
        <v/>
      </c>
      <c r="D94" s="6" t="str">
        <f>IFERROR(AVERAGE('04_Оценка'!E94,'04_Оценка'!J94),"")</f>
        <v/>
      </c>
      <c r="E94" s="6" t="str">
        <f>IFERROR('04_Оценка'!N94,"")</f>
        <v/>
      </c>
      <c r="F94" s="2" t="str">
        <f>IFERROR('04_Оценка'!R94,"")</f>
        <v/>
      </c>
      <c r="G94" s="2" t="str">
        <f t="shared" si="2"/>
        <v/>
      </c>
      <c r="H94" s="2"/>
      <c r="I94" s="2"/>
      <c r="J94" s="2">
        <f>IFERROR(INDEX('01_Компании'!$I$4:$I$103,MATCH(A94,'01_Компании'!$A$4:$A$103,0)),"")</f>
        <v>0</v>
      </c>
      <c r="K94" s="2">
        <f>IFERROR(INDEX('04_Оценка'!$S$4:$S$103,MATCH(A94,'04_Оценка'!$A$4:$A$103,0)),"")</f>
        <v>0</v>
      </c>
    </row>
    <row r="95" spans="1:11">
      <c r="A95" s="2" t="s">
        <v>172</v>
      </c>
      <c r="B95" s="2">
        <f>IFERROR(INDEX('04_Оценка'!$B$4:$B$103,MATCH(A95,'04_Оценка'!$A$4:$A$103,0)),"")</f>
        <v>0</v>
      </c>
      <c r="C95" s="6" t="str">
        <f>IFERROR(AVERAGE('04_Оценка'!D95,'04_Оценка'!F95),"")</f>
        <v/>
      </c>
      <c r="D95" s="6" t="str">
        <f>IFERROR(AVERAGE('04_Оценка'!E95,'04_Оценка'!J95),"")</f>
        <v/>
      </c>
      <c r="E95" s="6" t="str">
        <f>IFERROR('04_Оценка'!N95,"")</f>
        <v/>
      </c>
      <c r="F95" s="2" t="str">
        <f>IFERROR('04_Оценка'!R95,"")</f>
        <v/>
      </c>
      <c r="G95" s="2" t="str">
        <f t="shared" si="2"/>
        <v/>
      </c>
      <c r="H95" s="2"/>
      <c r="I95" s="2"/>
      <c r="J95" s="2">
        <f>IFERROR(INDEX('01_Компании'!$I$4:$I$103,MATCH(A95,'01_Компании'!$A$4:$A$103,0)),"")</f>
        <v>0</v>
      </c>
      <c r="K95" s="2">
        <f>IFERROR(INDEX('04_Оценка'!$S$4:$S$103,MATCH(A95,'04_Оценка'!$A$4:$A$103,0)),"")</f>
        <v>0</v>
      </c>
    </row>
    <row r="96" spans="1:11">
      <c r="A96" s="2" t="s">
        <v>173</v>
      </c>
      <c r="B96" s="2">
        <f>IFERROR(INDEX('04_Оценка'!$B$4:$B$103,MATCH(A96,'04_Оценка'!$A$4:$A$103,0)),"")</f>
        <v>0</v>
      </c>
      <c r="C96" s="6" t="str">
        <f>IFERROR(AVERAGE('04_Оценка'!D96,'04_Оценка'!F96),"")</f>
        <v/>
      </c>
      <c r="D96" s="6" t="str">
        <f>IFERROR(AVERAGE('04_Оценка'!E96,'04_Оценка'!J96),"")</f>
        <v/>
      </c>
      <c r="E96" s="6" t="str">
        <f>IFERROR('04_Оценка'!N96,"")</f>
        <v/>
      </c>
      <c r="F96" s="2" t="str">
        <f>IFERROR('04_Оценка'!R96,"")</f>
        <v/>
      </c>
      <c r="G96" s="2" t="str">
        <f t="shared" si="2"/>
        <v/>
      </c>
      <c r="H96" s="2"/>
      <c r="I96" s="2"/>
      <c r="J96" s="2">
        <f>IFERROR(INDEX('01_Компании'!$I$4:$I$103,MATCH(A96,'01_Компании'!$A$4:$A$103,0)),"")</f>
        <v>0</v>
      </c>
      <c r="K96" s="2">
        <f>IFERROR(INDEX('04_Оценка'!$S$4:$S$103,MATCH(A96,'04_Оценка'!$A$4:$A$103,0)),"")</f>
        <v>0</v>
      </c>
    </row>
    <row r="97" spans="1:11">
      <c r="A97" s="2" t="s">
        <v>174</v>
      </c>
      <c r="B97" s="2">
        <f>IFERROR(INDEX('04_Оценка'!$B$4:$B$103,MATCH(A97,'04_Оценка'!$A$4:$A$103,0)),"")</f>
        <v>0</v>
      </c>
      <c r="C97" s="6" t="str">
        <f>IFERROR(AVERAGE('04_Оценка'!D97,'04_Оценка'!F97),"")</f>
        <v/>
      </c>
      <c r="D97" s="6" t="str">
        <f>IFERROR(AVERAGE('04_Оценка'!E97,'04_Оценка'!J97),"")</f>
        <v/>
      </c>
      <c r="E97" s="6" t="str">
        <f>IFERROR('04_Оценка'!N97,"")</f>
        <v/>
      </c>
      <c r="F97" s="2" t="str">
        <f>IFERROR('04_Оценка'!R97,"")</f>
        <v/>
      </c>
      <c r="G97" s="2" t="str">
        <f t="shared" si="2"/>
        <v/>
      </c>
      <c r="H97" s="2"/>
      <c r="I97" s="2"/>
      <c r="J97" s="2">
        <f>IFERROR(INDEX('01_Компании'!$I$4:$I$103,MATCH(A97,'01_Компании'!$A$4:$A$103,0)),"")</f>
        <v>0</v>
      </c>
      <c r="K97" s="2">
        <f>IFERROR(INDEX('04_Оценка'!$S$4:$S$103,MATCH(A97,'04_Оценка'!$A$4:$A$103,0)),"")</f>
        <v>0</v>
      </c>
    </row>
    <row r="98" spans="1:11">
      <c r="A98" s="2" t="s">
        <v>175</v>
      </c>
      <c r="B98" s="2">
        <f>IFERROR(INDEX('04_Оценка'!$B$4:$B$103,MATCH(A98,'04_Оценка'!$A$4:$A$103,0)),"")</f>
        <v>0</v>
      </c>
      <c r="C98" s="6" t="str">
        <f>IFERROR(AVERAGE('04_Оценка'!D98,'04_Оценка'!F98),"")</f>
        <v/>
      </c>
      <c r="D98" s="6" t="str">
        <f>IFERROR(AVERAGE('04_Оценка'!E98,'04_Оценка'!J98),"")</f>
        <v/>
      </c>
      <c r="E98" s="6" t="str">
        <f>IFERROR('04_Оценка'!N98,"")</f>
        <v/>
      </c>
      <c r="F98" s="2" t="str">
        <f>IFERROR('04_Оценка'!R98,"")</f>
        <v/>
      </c>
      <c r="G98" s="2" t="str">
        <f t="shared" si="2"/>
        <v/>
      </c>
      <c r="H98" s="2"/>
      <c r="I98" s="2"/>
      <c r="J98" s="2">
        <f>IFERROR(INDEX('01_Компании'!$I$4:$I$103,MATCH(A98,'01_Компании'!$A$4:$A$103,0)),"")</f>
        <v>0</v>
      </c>
      <c r="K98" s="2">
        <f>IFERROR(INDEX('04_Оценка'!$S$4:$S$103,MATCH(A98,'04_Оценка'!$A$4:$A$103,0)),"")</f>
        <v>0</v>
      </c>
    </row>
    <row r="99" spans="1:11">
      <c r="A99" s="2" t="s">
        <v>176</v>
      </c>
      <c r="B99" s="2">
        <f>IFERROR(INDEX('04_Оценка'!$B$4:$B$103,MATCH(A99,'04_Оценка'!$A$4:$A$103,0)),"")</f>
        <v>0</v>
      </c>
      <c r="C99" s="6" t="str">
        <f>IFERROR(AVERAGE('04_Оценка'!D99,'04_Оценка'!F99),"")</f>
        <v/>
      </c>
      <c r="D99" s="6" t="str">
        <f>IFERROR(AVERAGE('04_Оценка'!E99,'04_Оценка'!J99),"")</f>
        <v/>
      </c>
      <c r="E99" s="6" t="str">
        <f>IFERROR('04_Оценка'!N99,"")</f>
        <v/>
      </c>
      <c r="F99" s="2" t="str">
        <f>IFERROR('04_Оценка'!R99,"")</f>
        <v/>
      </c>
      <c r="G99" s="2" t="str">
        <f t="shared" si="2"/>
        <v/>
      </c>
      <c r="H99" s="2"/>
      <c r="I99" s="2"/>
      <c r="J99" s="2">
        <f>IFERROR(INDEX('01_Компании'!$I$4:$I$103,MATCH(A99,'01_Компании'!$A$4:$A$103,0)),"")</f>
        <v>0</v>
      </c>
      <c r="K99" s="2">
        <f>IFERROR(INDEX('04_Оценка'!$S$4:$S$103,MATCH(A99,'04_Оценка'!$A$4:$A$103,0)),"")</f>
        <v>0</v>
      </c>
    </row>
    <row r="100" spans="1:11">
      <c r="A100" s="2" t="s">
        <v>177</v>
      </c>
      <c r="B100" s="2">
        <f>IFERROR(INDEX('04_Оценка'!$B$4:$B$103,MATCH(A100,'04_Оценка'!$A$4:$A$103,0)),"")</f>
        <v>0</v>
      </c>
      <c r="C100" s="6" t="str">
        <f>IFERROR(AVERAGE('04_Оценка'!D100,'04_Оценка'!F100),"")</f>
        <v/>
      </c>
      <c r="D100" s="6" t="str">
        <f>IFERROR(AVERAGE('04_Оценка'!E100,'04_Оценка'!J100),"")</f>
        <v/>
      </c>
      <c r="E100" s="6" t="str">
        <f>IFERROR('04_Оценка'!N100,"")</f>
        <v/>
      </c>
      <c r="F100" s="2" t="str">
        <f>IFERROR('04_Оценка'!R100,"")</f>
        <v/>
      </c>
      <c r="G100" s="2" t="str">
        <f t="shared" si="2"/>
        <v/>
      </c>
      <c r="H100" s="2"/>
      <c r="I100" s="2"/>
      <c r="J100" s="2">
        <f>IFERROR(INDEX('01_Компании'!$I$4:$I$103,MATCH(A100,'01_Компании'!$A$4:$A$103,0)),"")</f>
        <v>0</v>
      </c>
      <c r="K100" s="2">
        <f>IFERROR(INDEX('04_Оценка'!$S$4:$S$103,MATCH(A100,'04_Оценка'!$A$4:$A$103,0)),"")</f>
        <v>0</v>
      </c>
    </row>
    <row r="101" spans="1:11">
      <c r="A101" s="2" t="s">
        <v>178</v>
      </c>
      <c r="B101" s="2">
        <f>IFERROR(INDEX('04_Оценка'!$B$4:$B$103,MATCH(A101,'04_Оценка'!$A$4:$A$103,0)),"")</f>
        <v>0</v>
      </c>
      <c r="C101" s="6" t="str">
        <f>IFERROR(AVERAGE('04_Оценка'!D101,'04_Оценка'!F101),"")</f>
        <v/>
      </c>
      <c r="D101" s="6" t="str">
        <f>IFERROR(AVERAGE('04_Оценка'!E101,'04_Оценка'!J101),"")</f>
        <v/>
      </c>
      <c r="E101" s="6" t="str">
        <f>IFERROR('04_Оценка'!N101,"")</f>
        <v/>
      </c>
      <c r="F101" s="2" t="str">
        <f>IFERROR('04_Оценка'!R101,"")</f>
        <v/>
      </c>
      <c r="G101" s="2" t="str">
        <f t="shared" si="2"/>
        <v/>
      </c>
      <c r="H101" s="2"/>
      <c r="I101" s="2"/>
      <c r="J101" s="2">
        <f>IFERROR(INDEX('01_Компании'!$I$4:$I$103,MATCH(A101,'01_Компании'!$A$4:$A$103,0)),"")</f>
        <v>0</v>
      </c>
      <c r="K101" s="2">
        <f>IFERROR(INDEX('04_Оценка'!$S$4:$S$103,MATCH(A101,'04_Оценка'!$A$4:$A$103,0)),"")</f>
        <v>0</v>
      </c>
    </row>
    <row r="102" spans="1:11">
      <c r="A102" s="2" t="s">
        <v>179</v>
      </c>
      <c r="B102" s="2">
        <f>IFERROR(INDEX('04_Оценка'!$B$4:$B$103,MATCH(A102,'04_Оценка'!$A$4:$A$103,0)),"")</f>
        <v>0</v>
      </c>
      <c r="C102" s="6" t="str">
        <f>IFERROR(AVERAGE('04_Оценка'!D102,'04_Оценка'!F102),"")</f>
        <v/>
      </c>
      <c r="D102" s="6" t="str">
        <f>IFERROR(AVERAGE('04_Оценка'!E102,'04_Оценка'!J102),"")</f>
        <v/>
      </c>
      <c r="E102" s="6" t="str">
        <f>IFERROR('04_Оценка'!N102,"")</f>
        <v/>
      </c>
      <c r="F102" s="2" t="str">
        <f>IFERROR('04_Оценка'!R102,"")</f>
        <v/>
      </c>
      <c r="G102" s="2" t="str">
        <f t="shared" si="2"/>
        <v/>
      </c>
      <c r="H102" s="2"/>
      <c r="I102" s="2"/>
      <c r="J102" s="2">
        <f>IFERROR(INDEX('01_Компании'!$I$4:$I$103,MATCH(A102,'01_Компании'!$A$4:$A$103,0)),"")</f>
        <v>0</v>
      </c>
      <c r="K102" s="2">
        <f>IFERROR(INDEX('04_Оценка'!$S$4:$S$103,MATCH(A102,'04_Оценка'!$A$4:$A$103,0)),"")</f>
        <v>0</v>
      </c>
    </row>
    <row r="103" spans="1:11">
      <c r="A103" s="2" t="s">
        <v>180</v>
      </c>
      <c r="B103" s="2">
        <f>IFERROR(INDEX('04_Оценка'!$B$4:$B$103,MATCH(A103,'04_Оценка'!$A$4:$A$103,0)),"")</f>
        <v>0</v>
      </c>
      <c r="C103" s="6" t="str">
        <f>IFERROR(AVERAGE('04_Оценка'!D103,'04_Оценка'!F103),"")</f>
        <v/>
      </c>
      <c r="D103" s="6" t="str">
        <f>IFERROR(AVERAGE('04_Оценка'!E103,'04_Оценка'!J103),"")</f>
        <v/>
      </c>
      <c r="E103" s="6" t="str">
        <f>IFERROR('04_Оценка'!N103,"")</f>
        <v/>
      </c>
      <c r="F103" s="2" t="str">
        <f>IFERROR('04_Оценка'!R103,"")</f>
        <v/>
      </c>
      <c r="G103" s="2" t="str">
        <f t="shared" si="2"/>
        <v/>
      </c>
      <c r="H103" s="2"/>
      <c r="I103" s="2"/>
      <c r="J103" s="2">
        <f>IFERROR(INDEX('01_Компании'!$I$4:$I$103,MATCH(A103,'01_Компании'!$A$4:$A$103,0)),"")</f>
        <v>0</v>
      </c>
      <c r="K103" s="2">
        <f>IFERROR(INDEX('04_Оценка'!$S$4:$S$103,MATCH(A103,'04_Оценка'!$A$4:$A$103,0)),"")</f>
        <v>0</v>
      </c>
    </row>
  </sheetData>
  <mergeCells count="1">
    <mergeCell ref="A1:K1"/>
  </mergeCells>
  <conditionalFormatting sqref="C4:E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"/>
  <sheetViews>
    <sheetView workbookViewId="0"/>
  </sheetViews>
  <sheetFormatPr defaultRowHeight="13.5"/>
  <cols>
    <col min="1" max="1" width="32" customWidth="1"/>
    <col min="2" max="2" width="20" customWidth="1"/>
    <col min="3" max="3" width="14" customWidth="1"/>
    <col min="4" max="4" width="28" customWidth="1"/>
    <col min="6" max="6" width="12" customWidth="1"/>
    <col min="7" max="7" width="36" customWidth="1"/>
  </cols>
  <sheetData>
    <row r="1" spans="1:26" ht="16.05" customHeight="1">
      <c r="A1" s="14" t="s">
        <v>382</v>
      </c>
      <c r="B1" s="14" t="s">
        <v>383</v>
      </c>
      <c r="C1" s="14" t="s">
        <v>384</v>
      </c>
      <c r="D1" s="14" t="s">
        <v>385</v>
      </c>
      <c r="E1" s="11" t="s">
        <v>386</v>
      </c>
      <c r="F1" s="14" t="s">
        <v>387</v>
      </c>
      <c r="G1" s="14" t="s">
        <v>388</v>
      </c>
      <c r="H1" s="11" t="s">
        <v>386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2" t="s">
        <v>314</v>
      </c>
      <c r="B2" s="2" t="s">
        <v>389</v>
      </c>
      <c r="C2" s="2" t="s">
        <v>390</v>
      </c>
      <c r="D2" s="2" t="s">
        <v>204</v>
      </c>
      <c r="E2" s="2"/>
      <c r="F2" s="2" t="s">
        <v>391</v>
      </c>
      <c r="G2" s="2" t="s">
        <v>392</v>
      </c>
    </row>
    <row r="3" spans="1:26">
      <c r="A3" s="2" t="s">
        <v>321</v>
      </c>
      <c r="B3" s="2" t="s">
        <v>393</v>
      </c>
      <c r="C3" s="2" t="s">
        <v>394</v>
      </c>
      <c r="D3" s="2" t="s">
        <v>213</v>
      </c>
      <c r="E3" s="2"/>
      <c r="F3" s="2">
        <v>0</v>
      </c>
      <c r="G3" s="2" t="s">
        <v>395</v>
      </c>
    </row>
    <row r="4" spans="1:26">
      <c r="A4" s="2" t="s">
        <v>328</v>
      </c>
      <c r="B4" s="2" t="s">
        <v>396</v>
      </c>
      <c r="C4" s="2" t="s">
        <v>397</v>
      </c>
      <c r="D4" s="2" t="s">
        <v>398</v>
      </c>
      <c r="E4" s="2"/>
      <c r="F4" s="2">
        <v>1</v>
      </c>
      <c r="G4" s="2" t="s">
        <v>399</v>
      </c>
    </row>
    <row r="5" spans="1:26" ht="27">
      <c r="A5" s="2" t="s">
        <v>335</v>
      </c>
      <c r="B5" s="2" t="s">
        <v>400</v>
      </c>
      <c r="C5" s="2"/>
      <c r="D5" s="2" t="s">
        <v>401</v>
      </c>
      <c r="E5" s="2"/>
      <c r="F5" s="2">
        <v>2</v>
      </c>
      <c r="G5" s="2" t="s">
        <v>402</v>
      </c>
    </row>
    <row r="6" spans="1:26">
      <c r="A6" s="2" t="s">
        <v>342</v>
      </c>
      <c r="B6" s="2" t="s">
        <v>403</v>
      </c>
      <c r="C6" s="2"/>
      <c r="D6" s="2" t="s">
        <v>404</v>
      </c>
      <c r="E6" s="2"/>
      <c r="F6" s="2">
        <v>3</v>
      </c>
      <c r="G6" s="2" t="s">
        <v>405</v>
      </c>
    </row>
    <row r="7" spans="1:26">
      <c r="A7" s="2" t="s">
        <v>349</v>
      </c>
      <c r="B7" s="2"/>
      <c r="C7" s="2"/>
      <c r="D7" s="2" t="s">
        <v>406</v>
      </c>
      <c r="E7" s="2"/>
      <c r="F7" s="2">
        <v>4</v>
      </c>
      <c r="G7" s="2" t="s">
        <v>407</v>
      </c>
    </row>
    <row r="8" spans="1:26">
      <c r="A8" s="2"/>
      <c r="B8" s="2"/>
      <c r="C8" s="2"/>
      <c r="D8" s="2" t="s">
        <v>408</v>
      </c>
      <c r="E8" s="2"/>
      <c r="F8" s="2">
        <v>5</v>
      </c>
      <c r="G8" s="2" t="s">
        <v>409</v>
      </c>
    </row>
    <row r="9" spans="1:26">
      <c r="A9" s="2"/>
      <c r="B9" s="2"/>
      <c r="C9" s="2"/>
      <c r="D9" s="2" t="s">
        <v>410</v>
      </c>
      <c r="E9" s="2"/>
      <c r="F9" s="2"/>
      <c r="G9" s="2"/>
    </row>
    <row r="10" spans="1:26">
      <c r="A10" s="2"/>
      <c r="B10" s="2"/>
      <c r="C10" s="2"/>
      <c r="D10" s="2" t="s">
        <v>411</v>
      </c>
      <c r="E10" s="2"/>
      <c r="F10" s="2"/>
      <c r="G10" s="2"/>
    </row>
    <row r="11" spans="1:26">
      <c r="A11" s="2"/>
      <c r="B11" s="2"/>
      <c r="C11" s="2"/>
      <c r="D11" s="2" t="s">
        <v>412</v>
      </c>
      <c r="E11" s="2"/>
      <c r="F11" s="2"/>
      <c r="G11" s="2"/>
    </row>
    <row r="12" spans="1:26">
      <c r="A12" s="2"/>
      <c r="B12" s="2"/>
      <c r="C12" s="2"/>
      <c r="D12" s="2"/>
      <c r="E12" s="2"/>
      <c r="F12" s="2"/>
      <c r="G12" s="2"/>
    </row>
    <row r="13" spans="1:26">
      <c r="A13" s="2"/>
      <c r="B13" s="2"/>
      <c r="C13" s="2"/>
      <c r="D13" s="2"/>
      <c r="E13" s="2"/>
      <c r="F13" s="2"/>
      <c r="G13" s="2"/>
    </row>
    <row r="14" spans="1:26">
      <c r="A14" s="2"/>
      <c r="B14" s="2"/>
      <c r="C14" s="2"/>
      <c r="D14" s="2"/>
      <c r="E14" s="2"/>
      <c r="F14" s="2"/>
      <c r="G14" s="2"/>
    </row>
    <row r="15" spans="1:26">
      <c r="A15" s="2"/>
      <c r="B15" s="2"/>
      <c r="C15" s="2"/>
      <c r="D15" s="2"/>
      <c r="E15" s="2"/>
      <c r="F15" s="2"/>
      <c r="G15" s="2"/>
    </row>
    <row r="16" spans="1:26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00_Инструкция</vt:lpstr>
      <vt:lpstr>01_Компании</vt:lpstr>
      <vt:lpstr>02_Доказательства</vt:lpstr>
      <vt:lpstr>03_Критерии</vt:lpstr>
      <vt:lpstr>04_Оценка</vt:lpstr>
      <vt:lpstr>05_Уровни</vt:lpstr>
      <vt:lpstr>06_Сводка</vt:lpstr>
      <vt:lpstr>07_Карта</vt:lpstr>
      <vt:lpstr>08_Справочники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2026-10-04T11:40:09Z</dcterms:modified>
</cp:coreProperties>
</file>