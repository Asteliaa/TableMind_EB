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6.xml" ContentType="application/vnd.openxmlformats-officedocument.spreadsheetml.tab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5_Анализ_конкурентов\Excel\"/>
    </mc:Choice>
  </mc:AlternateContent>
  <xr:revisionPtr revIDLastSave="0" documentId="13_ncr:1_{BFC70629-8D4E-49B4-AACC-E9465B7E6B0B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Инструкция" sheetId="1" r:id="rId1"/>
    <sheet name="01_Компании" sheetId="2" r:id="rId2"/>
    <sheet name="02_Доказательства" sheetId="3" r:id="rId3"/>
    <sheet name="03_Критерии" sheetId="4" r:id="rId4"/>
    <sheet name="04_Оценка" sheetId="5" r:id="rId5"/>
    <sheet name="05_Уровни" sheetId="6" r:id="rId6"/>
    <sheet name="06_Сводка" sheetId="7" r:id="rId7"/>
    <sheet name="07_Карта" sheetId="8" r:id="rId8"/>
    <sheet name="08_Справ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2" i="8" l="1"/>
  <c r="E22" i="8"/>
  <c r="G22" i="8" s="1"/>
  <c r="D22" i="8"/>
  <c r="C22" i="8"/>
  <c r="F21" i="8"/>
  <c r="E21" i="8"/>
  <c r="G21" i="8" s="1"/>
  <c r="D21" i="8"/>
  <c r="C21" i="8"/>
  <c r="F20" i="8"/>
  <c r="E20" i="8"/>
  <c r="G20" i="8" s="1"/>
  <c r="D20" i="8"/>
  <c r="C20" i="8"/>
  <c r="G19" i="8"/>
  <c r="F19" i="8"/>
  <c r="E19" i="8"/>
  <c r="D19" i="8"/>
  <c r="C19" i="8"/>
  <c r="F18" i="8"/>
  <c r="E18" i="8"/>
  <c r="G18" i="8" s="1"/>
  <c r="D18" i="8"/>
  <c r="C18" i="8"/>
  <c r="F17" i="8"/>
  <c r="E17" i="8"/>
  <c r="G17" i="8" s="1"/>
  <c r="D17" i="8"/>
  <c r="C17" i="8"/>
  <c r="G16" i="8"/>
  <c r="F16" i="8"/>
  <c r="E16" i="8"/>
  <c r="D16" i="8"/>
  <c r="C16" i="8"/>
  <c r="F15" i="8"/>
  <c r="E15" i="8"/>
  <c r="G15" i="8" s="1"/>
  <c r="D15" i="8"/>
  <c r="C15" i="8"/>
  <c r="F14" i="8"/>
  <c r="E14" i="8"/>
  <c r="G14" i="8" s="1"/>
  <c r="D14" i="8"/>
  <c r="C14" i="8"/>
  <c r="F13" i="8"/>
  <c r="E13" i="8"/>
  <c r="G13" i="8" s="1"/>
  <c r="D13" i="8"/>
  <c r="C13" i="8"/>
  <c r="K22" i="8"/>
  <c r="J22" i="8"/>
  <c r="K21" i="8"/>
  <c r="J21" i="8"/>
  <c r="K20" i="8"/>
  <c r="J20" i="8"/>
  <c r="K19" i="8"/>
  <c r="J19" i="8"/>
  <c r="K18" i="8"/>
  <c r="J18" i="8"/>
  <c r="K17" i="8"/>
  <c r="J17" i="8"/>
  <c r="K16" i="8"/>
  <c r="J16" i="8"/>
  <c r="K15" i="8"/>
  <c r="J15" i="8"/>
  <c r="K14" i="8"/>
  <c r="J14" i="8"/>
  <c r="K13" i="8"/>
  <c r="J13" i="8"/>
  <c r="K12" i="8"/>
  <c r="J12" i="8"/>
  <c r="K11" i="8"/>
  <c r="J11" i="8"/>
  <c r="K10" i="8"/>
  <c r="J10" i="8"/>
  <c r="K9" i="8"/>
  <c r="J9" i="8"/>
  <c r="K8" i="8"/>
  <c r="J8" i="8"/>
  <c r="K7" i="8"/>
  <c r="J7" i="8"/>
  <c r="K6" i="8"/>
  <c r="J6" i="8"/>
  <c r="K5" i="8"/>
  <c r="J5" i="8"/>
  <c r="K4" i="8"/>
  <c r="J4" i="8"/>
  <c r="K3" i="8"/>
  <c r="J3" i="8"/>
  <c r="B22" i="8"/>
  <c r="B21" i="8"/>
  <c r="B20" i="8"/>
  <c r="B19" i="8"/>
  <c r="B18" i="8"/>
  <c r="B17" i="8"/>
  <c r="B16" i="8"/>
  <c r="B15" i="8"/>
  <c r="B14" i="8"/>
  <c r="B13" i="8"/>
  <c r="N12" i="5"/>
  <c r="C12" i="5"/>
  <c r="B12" i="5"/>
  <c r="B12" i="8" s="1"/>
  <c r="N11" i="5"/>
  <c r="O11" i="5" s="1"/>
  <c r="C11" i="5"/>
  <c r="B11" i="5"/>
  <c r="B11" i="8" s="1"/>
  <c r="N10" i="5"/>
  <c r="O10" i="5" s="1"/>
  <c r="C10" i="5"/>
  <c r="B10" i="5"/>
  <c r="B10" i="8" s="1"/>
  <c r="N9" i="5"/>
  <c r="O9" i="5" s="1"/>
  <c r="C9" i="5"/>
  <c r="B9" i="5"/>
  <c r="B9" i="8" s="1"/>
  <c r="N8" i="5"/>
  <c r="O8" i="5" s="1"/>
  <c r="P8" i="5" s="1"/>
  <c r="R8" i="5" s="1"/>
  <c r="C8" i="5"/>
  <c r="B8" i="5"/>
  <c r="B8" i="8" s="1"/>
  <c r="N7" i="5"/>
  <c r="C7" i="5"/>
  <c r="B7" i="5"/>
  <c r="B7" i="8" s="1"/>
  <c r="N6" i="5"/>
  <c r="C6" i="5"/>
  <c r="B6" i="5"/>
  <c r="B6" i="8" s="1"/>
  <c r="N5" i="5"/>
  <c r="O5" i="5" s="1"/>
  <c r="C5" i="5"/>
  <c r="B5" i="5"/>
  <c r="B5" i="8" s="1"/>
  <c r="N4" i="5"/>
  <c r="C4" i="5"/>
  <c r="B4" i="5"/>
  <c r="B4" i="8" s="1"/>
  <c r="N3" i="5"/>
  <c r="C3" i="5"/>
  <c r="B3" i="5"/>
  <c r="B3" i="8" s="1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D3" i="8"/>
  <c r="C3" i="8"/>
  <c r="B3" i="7"/>
  <c r="F8" i="8" l="1"/>
  <c r="E9" i="8"/>
  <c r="G9" i="8" s="1"/>
  <c r="P9" i="5"/>
  <c r="E8" i="8"/>
  <c r="G8" i="8" s="1"/>
  <c r="E7" i="8"/>
  <c r="G7" i="8" s="1"/>
  <c r="O7" i="5"/>
  <c r="P7" i="5" s="1"/>
  <c r="O6" i="5"/>
  <c r="P6" i="5" s="1"/>
  <c r="E6" i="8"/>
  <c r="G6" i="8" s="1"/>
  <c r="E5" i="8"/>
  <c r="G5" i="8" s="1"/>
  <c r="P5" i="5"/>
  <c r="B5" i="7"/>
  <c r="D21" i="7"/>
  <c r="C21" i="7" s="1"/>
  <c r="E10" i="8"/>
  <c r="G10" i="8" s="1"/>
  <c r="P10" i="5"/>
  <c r="P11" i="5"/>
  <c r="E11" i="8"/>
  <c r="G11" i="8" s="1"/>
  <c r="D24" i="7"/>
  <c r="B4" i="7"/>
  <c r="D20" i="7"/>
  <c r="D23" i="7"/>
  <c r="D26" i="7"/>
  <c r="D19" i="7"/>
  <c r="D22" i="7"/>
  <c r="E3" i="8"/>
  <c r="G3" i="8" s="1"/>
  <c r="D25" i="7"/>
  <c r="D27" i="7"/>
  <c r="O3" i="5"/>
  <c r="P3" i="5" s="1"/>
  <c r="R3" i="5" s="1"/>
  <c r="O12" i="5"/>
  <c r="P12" i="5" s="1"/>
  <c r="E12" i="8"/>
  <c r="G12" i="8" s="1"/>
  <c r="D18" i="7"/>
  <c r="O4" i="5"/>
  <c r="P4" i="5" s="1"/>
  <c r="E4" i="8"/>
  <c r="G4" i="8" s="1"/>
  <c r="R10" i="5" l="1"/>
  <c r="F10" i="8" s="1"/>
  <c r="R5" i="5"/>
  <c r="B14" i="7" s="1"/>
  <c r="R11" i="5"/>
  <c r="F11" i="8" s="1"/>
  <c r="R9" i="5"/>
  <c r="F9" i="8" s="1"/>
  <c r="R4" i="5"/>
  <c r="F4" i="8" s="1"/>
  <c r="R6" i="5"/>
  <c r="E20" i="7" s="1"/>
  <c r="R7" i="5"/>
  <c r="F7" i="8" s="1"/>
  <c r="R12" i="5"/>
  <c r="F12" i="8" s="1"/>
  <c r="E21" i="7"/>
  <c r="B21" i="7"/>
  <c r="F21" i="7"/>
  <c r="E27" i="7"/>
  <c r="B27" i="7"/>
  <c r="F27" i="7"/>
  <c r="C27" i="7"/>
  <c r="C20" i="7"/>
  <c r="B20" i="7"/>
  <c r="F20" i="7"/>
  <c r="F23" i="7"/>
  <c r="E23" i="7"/>
  <c r="C23" i="7"/>
  <c r="B23" i="7"/>
  <c r="F24" i="7"/>
  <c r="E24" i="7"/>
  <c r="C24" i="7"/>
  <c r="B24" i="7"/>
  <c r="F25" i="7"/>
  <c r="E25" i="7"/>
  <c r="C25" i="7"/>
  <c r="B25" i="7"/>
  <c r="C22" i="7"/>
  <c r="B22" i="7"/>
  <c r="F22" i="7"/>
  <c r="F19" i="7"/>
  <c r="C19" i="7"/>
  <c r="B19" i="7"/>
  <c r="E19" i="7"/>
  <c r="B18" i="7"/>
  <c r="F18" i="7"/>
  <c r="E18" i="7"/>
  <c r="C18" i="7"/>
  <c r="F26" i="7"/>
  <c r="E26" i="7"/>
  <c r="C26" i="7"/>
  <c r="B26" i="7"/>
  <c r="F3" i="8"/>
  <c r="F6" i="8" l="1"/>
  <c r="B12" i="7"/>
  <c r="F5" i="8"/>
  <c r="B7" i="7"/>
  <c r="B10" i="7"/>
  <c r="B6" i="7"/>
  <c r="B11" i="7"/>
  <c r="B13" i="7"/>
  <c r="C13" i="7" s="1"/>
  <c r="B15" i="7"/>
  <c r="E22" i="7"/>
  <c r="C15" i="7" l="1"/>
  <c r="C11" i="7"/>
  <c r="C14" i="7"/>
  <c r="C10" i="7"/>
  <c r="C12" i="7"/>
</calcChain>
</file>

<file path=xl/sharedStrings.xml><?xml version="1.0" encoding="utf-8"?>
<sst xmlns="http://schemas.openxmlformats.org/spreadsheetml/2006/main" count="1024" uniqueCount="523">
  <si>
    <t>Блок</t>
  </si>
  <si>
    <t>Что делает аналитик</t>
  </si>
  <si>
    <t>Результат</t>
  </si>
  <si>
    <t>Контроль качества</t>
  </si>
  <si>
    <t>Тип ошибки</t>
  </si>
  <si>
    <t>Как исправлять</t>
  </si>
  <si>
    <t>Итог</t>
  </si>
  <si>
    <t>1. Формирование списка</t>
  </si>
  <si>
    <t>Собрать первичный перечень компаний из поиска, отраслевых обзоров, каталогов, рекламы, рекомендаций и найденных на сайтах ссылок.</t>
  </si>
  <si>
    <t>01_Компании</t>
  </si>
  <si>
    <t>Единый реестр компаний</t>
  </si>
  <si>
    <t>У каждой компании есть сайт и краткое описание товара.</t>
  </si>
  <si>
    <t>В список попали нерелевантные компании без объяснения.</t>
  </si>
  <si>
    <t>Оставлять только с пометкой «объект наблюдения» или исключать.</t>
  </si>
  <si>
    <t>Сформирован массив для проверки.</t>
  </si>
  <si>
    <t>2. Сбор доказательств</t>
  </si>
  <si>
    <t>02_Доказательства</t>
  </si>
  <si>
    <t>Набор проверяемых сигналов</t>
  </si>
  <si>
    <t>Каждый вывод имеет URL и наблюдаемый факт.</t>
  </si>
  <si>
    <t>Аналитик записывает мнение без факта.</t>
  </si>
  <si>
    <t>Разделять факт и вывод; добавлять ссылку.</t>
  </si>
  <si>
    <t>Создана доказательная база.</t>
  </si>
  <si>
    <t>3. Оценка по критериям</t>
  </si>
  <si>
    <t>Присвоить баллы 0–5 по каждому критерию согласно листу 03.</t>
  </si>
  <si>
    <t>04_Оценка</t>
  </si>
  <si>
    <t>Взвешенный балл близости</t>
  </si>
  <si>
    <t>Оценка не ставится без доказательств.</t>
  </si>
  <si>
    <t>Завышение баллов из-за общего отраслевого сходства.</t>
  </si>
  <si>
    <t>Проверять заменяемость товара и потребительскую задачу.</t>
  </si>
  <si>
    <t>Получена расчетная классификация.</t>
  </si>
  <si>
    <t>4. Проверка ограничителей</t>
  </si>
  <si>
    <t>Проверить, не мешает ли низкое совпадение задачи или заменяемости присвоить прямую конкуренцию.</t>
  </si>
  <si>
    <t>Автоматическое ограничение уровня</t>
  </si>
  <si>
    <t>Прямой конкурент невозможен без совпадения задачи и заменяемости.</t>
  </si>
  <si>
    <t>Компания названа прямым конкурентом только из-за известности.</t>
  </si>
  <si>
    <t>Снизить уровень до альтернативы или заменителя.</t>
  </si>
  <si>
    <t>Классификация становится строгой.</t>
  </si>
  <si>
    <t>5. Экспертная корректировка</t>
  </si>
  <si>
    <t>При необходимости изменить уровень, но только с письменным обоснованием.</t>
  </si>
  <si>
    <t>Итоговый уровень</t>
  </si>
  <si>
    <t>У корректировки есть причина и ссылка.</t>
  </si>
  <si>
    <t>Корректировка без объяснения.</t>
  </si>
  <si>
    <t>Получена финальная классификация.</t>
  </si>
  <si>
    <t>6. Сводный анализ</t>
  </si>
  <si>
    <t>Оценить распределение компаний по уровням, выделить прямых конкурентов и ближайшие альтернативы.</t>
  </si>
  <si>
    <t>06_Сводка, 07_Карта</t>
  </si>
  <si>
    <t>Карта конкурентного окружения</t>
  </si>
  <si>
    <t>Прямые конкуренты отделены от заменителей и смежных компаний.</t>
  </si>
  <si>
    <t>Все компании смешаны в одну группу.</t>
  </si>
  <si>
    <t>Использовать уровни и зоны карты отдельно.</t>
  </si>
  <si>
    <t>Сформирован список для последующего анализа сайтов, товара и бизнес-модели.</t>
  </si>
  <si>
    <t>Правило</t>
  </si>
  <si>
    <t>Содержание</t>
  </si>
  <si>
    <t>Факт важнее предположения</t>
  </si>
  <si>
    <t>Прямым конкурентом считается только тот, кто решает ту же задачу для близкой аудитории с функционально заменяемым цифровым товаром.</t>
  </si>
  <si>
    <t>Заменитель не равен прямому конкуренту</t>
  </si>
  <si>
    <t>Если конечная потребность похожа, но способ решения другой, компания относится к косвенной конкуренции или заменителям.</t>
  </si>
  <si>
    <t>Потенциальный конкурент требует сигнала</t>
  </si>
  <si>
    <t>Экспертная корректировка допустима</t>
  </si>
  <si>
    <t>Она нужна для спорных случаев, но всегда должна сопровождаться обоснованием и ссылками на доказательства.</t>
  </si>
  <si>
    <t>Реестр компаний для классификации по уровням конкуренции</t>
  </si>
  <si>
    <t>ID</t>
  </si>
  <si>
    <t>Компания</t>
  </si>
  <si>
    <t>Сайт</t>
  </si>
  <si>
    <t>Рынок / страна</t>
  </si>
  <si>
    <t>Тип компании</t>
  </si>
  <si>
    <t>Основной цифровой товар</t>
  </si>
  <si>
    <t>Целевой сегмент</t>
  </si>
  <si>
    <t>Предварительная гипотеза</t>
  </si>
  <si>
    <t>Приоритет</t>
  </si>
  <si>
    <t>Ответственный</t>
  </si>
  <si>
    <t>Статус</t>
  </si>
  <si>
    <t>Дата обновления</t>
  </si>
  <si>
    <t>Комментарий</t>
  </si>
  <si>
    <t>K001</t>
  </si>
  <si>
    <t>K002</t>
  </si>
  <si>
    <t>K003</t>
  </si>
  <si>
    <t>K004</t>
  </si>
  <si>
    <t>K005</t>
  </si>
  <si>
    <t>K006</t>
  </si>
  <si>
    <t>K007</t>
  </si>
  <si>
    <t>K008</t>
  </si>
  <si>
    <t>K009</t>
  </si>
  <si>
    <t>K010</t>
  </si>
  <si>
    <t>K011</t>
  </si>
  <si>
    <t>K012</t>
  </si>
  <si>
    <t>K013</t>
  </si>
  <si>
    <t>K014</t>
  </si>
  <si>
    <t>K015</t>
  </si>
  <si>
    <t>K016</t>
  </si>
  <si>
    <t>K017</t>
  </si>
  <si>
    <t>K018</t>
  </si>
  <si>
    <t>K019</t>
  </si>
  <si>
    <t>K020</t>
  </si>
  <si>
    <t>Доказательства и сигналы с сайтов конкурентов</t>
  </si>
  <si>
    <t>ID компании</t>
  </si>
  <si>
    <t>Раздел сайта</t>
  </si>
  <si>
    <t>URL</t>
  </si>
  <si>
    <t>Наблюдаемый факт</t>
  </si>
  <si>
    <t>Тип сигнала</t>
  </si>
  <si>
    <t>Сила сигнала 1–5</t>
  </si>
  <si>
    <t>Дата фиксации</t>
  </si>
  <si>
    <t>Вывод для классификации</t>
  </si>
  <si>
    <t>Достоверность 1–5</t>
  </si>
  <si>
    <t>Скриншот / архив</t>
  </si>
  <si>
    <t>Критерии оценки уровня конкуренции</t>
  </si>
  <si>
    <t>Код</t>
  </si>
  <si>
    <t>Критерий</t>
  </si>
  <si>
    <t>Что проверяется по сайту</t>
  </si>
  <si>
    <t>Индикаторы</t>
  </si>
  <si>
    <t>Вес</t>
  </si>
  <si>
    <t>0 баллов</t>
  </si>
  <si>
    <t>1 балл</t>
  </si>
  <si>
    <t>3 балла</t>
  </si>
  <si>
    <t>5 баллов</t>
  </si>
  <si>
    <t>Обязателен для прямого конкурента</t>
  </si>
  <si>
    <t>C1</t>
  </si>
  <si>
    <t>Потребительская задача</t>
  </si>
  <si>
    <t>Какую проблему клиента компания обещает решить.</t>
  </si>
  <si>
    <t>Формулировки на главной странице, страницы продукта, выгоды, результаты, случаи применения.</t>
  </si>
  <si>
    <t>Задача не совпадает</t>
  </si>
  <si>
    <t>Есть общее отраслевое сходство</t>
  </si>
  <si>
    <t>Задача в значительной степени совпадает</t>
  </si>
  <si>
    <t>Та же задача и тот же ожидаемый результат</t>
  </si>
  <si>
    <t>Да</t>
  </si>
  <si>
    <t>C2</t>
  </si>
  <si>
    <t>Целевая аудитория</t>
  </si>
  <si>
    <t>Для кого предназначен товар.</t>
  </si>
  <si>
    <t>Сегменты, отрасли, роли пользователей, размер клиента, B2B/B2C/B2G.</t>
  </si>
  <si>
    <t>Иная аудитория</t>
  </si>
  <si>
    <t>Частичное пересечение</t>
  </si>
  <si>
    <t>Существенное пересечение</t>
  </si>
  <si>
    <t>Та же целевая аудитория</t>
  </si>
  <si>
    <t>C3</t>
  </si>
  <si>
    <t>Функциональная заменяемость товара</t>
  </si>
  <si>
    <t>Может ли товар заменить анализируемое решение.</t>
  </si>
  <si>
    <t>Функции, модули, демонстрации, страницы возможностей, интеграции.</t>
  </si>
  <si>
    <t>Не заменяет</t>
  </si>
  <si>
    <t>Заменяет отдельный участок</t>
  </si>
  <si>
    <t>Заменяет значимую часть задачи</t>
  </si>
  <si>
    <t>Может полностью заменить товар</t>
  </si>
  <si>
    <t>C4</t>
  </si>
  <si>
    <t>Сценарий использования</t>
  </si>
  <si>
    <t>В каком процессе и в какой ситуации используется товар.</t>
  </si>
  <si>
    <t>Путь пользователя, описания внедрения, варианты использования, инструкции.</t>
  </si>
  <si>
    <t>Иной сценарий</t>
  </si>
  <si>
    <t>Слабое совпадение сценария</t>
  </si>
  <si>
    <t>Сценарии близки</t>
  </si>
  <si>
    <t>Сценарии практически одинаковы</t>
  </si>
  <si>
    <t>Нет</t>
  </si>
  <si>
    <t>C5</t>
  </si>
  <si>
    <t>Ценовой уровень и форма оплаты</t>
  </si>
  <si>
    <t>Сопоставима ли экономическая логика покупки.</t>
  </si>
  <si>
    <t>Тарифы, подписка, комиссия, пакет, бесплатный период, корпоративный расчет.</t>
  </si>
  <si>
    <t>Нет данных/иная экономика</t>
  </si>
  <si>
    <t>Частично сопоставимо</t>
  </si>
  <si>
    <t>Сопоставимый диапазон</t>
  </si>
  <si>
    <t>Почти тот же диапазон и форма оплаты</t>
  </si>
  <si>
    <t>C6</t>
  </si>
  <si>
    <t>Каналы продаж и привлечения</t>
  </si>
  <si>
    <t>Как клиент приходит к покупке и получает доступ.</t>
  </si>
  <si>
    <t>Сайт, приложение, маркетплейсы, партнеры, личные продажи, демонстрация, пробный доступ.</t>
  </si>
  <si>
    <t>Каналы не совпадают</t>
  </si>
  <si>
    <t>Есть один общий канал</t>
  </si>
  <si>
    <t>Несколько общих каналов</t>
  </si>
  <si>
    <t>Путь к покупке почти одинаков</t>
  </si>
  <si>
    <t>C7</t>
  </si>
  <si>
    <t>География, язык, регулирование</t>
  </si>
  <si>
    <t>Работает ли компания на том же рынке в сопоставимых условиях.</t>
  </si>
  <si>
    <t>Страны, языки, валюта, юридическая информация, требования отрасли.</t>
  </si>
  <si>
    <t>Иной рынок</t>
  </si>
  <si>
    <t>Потенциально релевантно</t>
  </si>
  <si>
    <t>Рынки частично совпадают</t>
  </si>
  <si>
    <t>Тот же рынок и условия</t>
  </si>
  <si>
    <t>C8</t>
  </si>
  <si>
    <t>Модель монетизации</t>
  </si>
  <si>
    <t>Как компания получает выручку.</t>
  </si>
  <si>
    <t>Тарифные планы, комиссия, freemium, лицензия, платные модули, реклама.</t>
  </si>
  <si>
    <t>Иная логика выручки</t>
  </si>
  <si>
    <t>Есть отдельные сходства</t>
  </si>
  <si>
    <t>Модель близка</t>
  </si>
  <si>
    <t>Модель практически совпадает</t>
  </si>
  <si>
    <t>C9</t>
  </si>
  <si>
    <t>Уровень зрелости и доверия</t>
  </si>
  <si>
    <t>Способна ли компания реально конкурировать за выбор клиента.</t>
  </si>
  <si>
    <t>Кейсы, клиенты, отзывы, сертификаты, партнеры, история, служба поддержки.</t>
  </si>
  <si>
    <t>Слабые признаки зрелости</t>
  </si>
  <si>
    <t>Единичные признаки</t>
  </si>
  <si>
    <t>Достаточные признаки надежности</t>
  </si>
  <si>
    <t>Сильная доказанная рыночная позиция</t>
  </si>
  <si>
    <t>C10</t>
  </si>
  <si>
    <t>Вероятность переключения клиента</t>
  </si>
  <si>
    <t>Насколько реалистично, что клиент заменит одно решение другим.</t>
  </si>
  <si>
    <t>Миграция, импорт данных, интеграции, поддержка перехода, сравнения, обещания простого старта.</t>
  </si>
  <si>
    <t>Переключение маловероятно</t>
  </si>
  <si>
    <t>Требует значительных усилий</t>
  </si>
  <si>
    <t>Переключение возможно</t>
  </si>
  <si>
    <t>Переключение явно поддерживается</t>
  </si>
  <si>
    <t>Примечание</t>
  </si>
  <si>
    <t>Вес можно изменять под отрасль. Итоговая оценка на листе 04 автоматически пересчитывается по измененным весам.</t>
  </si>
  <si>
    <t>Матрица оценки и автоматическая классификация уровня конкуренции</t>
  </si>
  <si>
    <t>C1 задача</t>
  </si>
  <si>
    <t>C2 аудитория</t>
  </si>
  <si>
    <t>C3 заменяемость</t>
  </si>
  <si>
    <t>C4 сценарий</t>
  </si>
  <si>
    <t>C5 цена</t>
  </si>
  <si>
    <t>C6 каналы</t>
  </si>
  <si>
    <t>C7 география</t>
  </si>
  <si>
    <t>C8 монетизация</t>
  </si>
  <si>
    <t>C9 зрелость</t>
  </si>
  <si>
    <t>C10 переключение</t>
  </si>
  <si>
    <t>Взвешенный балл</t>
  </si>
  <si>
    <t>Ограничитель</t>
  </si>
  <si>
    <t>Расчетный уровень</t>
  </si>
  <si>
    <t>Экспертная корректировка</t>
  </si>
  <si>
    <t>Статус решения</t>
  </si>
  <si>
    <t>Ключевое обоснование</t>
  </si>
  <si>
    <t>Ключевые ссылки</t>
  </si>
  <si>
    <t>Дата проверки</t>
  </si>
  <si>
    <t>Классификация компаний по уровням конкуренции</t>
  </si>
  <si>
    <t>Уровень</t>
  </si>
  <si>
    <t>Определение</t>
  </si>
  <si>
    <t>Ключевой критерий</t>
  </si>
  <si>
    <t>Порог по баллу</t>
  </si>
  <si>
    <t>Обязательные условия</t>
  </si>
  <si>
    <t>Типовые признаки на сайте</t>
  </si>
  <si>
    <t>Решение аналитика</t>
  </si>
  <si>
    <t>Прямой конкурент</t>
  </si>
  <si>
    <t>Компания удовлетворяет ту же потребительскую задачу для той же или близкой аудитории сопоставимым цифровым товаром.</t>
  </si>
  <si>
    <t>Высокая заменяемость товара и совпадение целевого сегмента.</t>
  </si>
  <si>
    <t>4,20–5,00</t>
  </si>
  <si>
    <t>Потребительская задача ≥ 3; функциональная заменяемость ≥ 3.</t>
  </si>
  <si>
    <t>Сходные тарифы, сценарии использования, обещания результата, демонстрации товара, одинаковые категории клиентов.</t>
  </si>
  <si>
    <t>Включить в постоянный конкурентный мониторинг.</t>
  </si>
  <si>
    <t>Близкий альтернативный конкурент</t>
  </si>
  <si>
    <t>Компания решает ту же или близкую задачу, но делает это через иной формат товара, канал, сегмент или модель оплаты.</t>
  </si>
  <si>
    <t>Клиент может рассматривать решение как практическую альтернативу.</t>
  </si>
  <si>
    <t>3,40–4,19</t>
  </si>
  <si>
    <t>Нет критического расхождения по потребительской задаче.</t>
  </si>
  <si>
    <t>Похожие выгоды, частично отличающаяся функциональность, иной формат доступа, другая тарифная логика.</t>
  </si>
  <si>
    <t>Сравнивать по ценностному предложению и причинам выбора.</t>
  </si>
  <si>
    <t>Косвенный конкурент / заменитель</t>
  </si>
  <si>
    <t>Компания закрывает ту же потребность и может заменить покупку, но товарная категория или способ решения заметно отличаются.</t>
  </si>
  <si>
    <t>Есть конкуренция за бюджет, внимание или способ выполнения задачи.</t>
  </si>
  <si>
    <t>2,50–3,39</t>
  </si>
  <si>
    <t>Достаточно доказательств заменяемости.</t>
  </si>
  <si>
    <t>Иные продукты, услуги или платформы, которые дают сходный конечный результат.</t>
  </si>
  <si>
    <t>Анализировать как угрозу замещения.</t>
  </si>
  <si>
    <t>Смежная или потенциальная конкуренция</t>
  </si>
  <si>
    <t>Компания пока не является прямым конкурентом, но имеет близкую аудиторию, смежный товар, инфраструктуру или возможность расшириться в рассматриваемый рынок.</t>
  </si>
  <si>
    <t>Вероятность входа в рынок или расширения товарной линейки.</t>
  </si>
  <si>
    <t>1,60–2,49</t>
  </si>
  <si>
    <t>Наличие хотя бы одного сильного сигнала пересечения.</t>
  </si>
  <si>
    <t>Смежные разделы сайта, близкие категории клиентов, партнерства, вакансии, дорожная карта, упоминания планов развития.</t>
  </si>
  <si>
    <t>Наблюдать периодически; не смешивать с прямыми конкурентами.</t>
  </si>
  <si>
    <t>Не конкурент / объект наблюдения</t>
  </si>
  <si>
    <t>Компания не показывает значимого пересечения по задаче, аудитории, товару и заменяемости.</t>
  </si>
  <si>
    <t>Недостаточная рыночная и товарная близость.</t>
  </si>
  <si>
    <t>0,00–1,59</t>
  </si>
  <si>
    <t>Нет значимых доказательств конкуренции.</t>
  </si>
  <si>
    <t>Общее сходство отрасли без совпадения задачи и товара.</t>
  </si>
  <si>
    <t>Исключить из основной матрицы, оставить только при методической необходимости.</t>
  </si>
  <si>
    <t>Недостаточно данных</t>
  </si>
  <si>
    <t>По сайту невозможно надежно установить уровень конкуренции.</t>
  </si>
  <si>
    <t>Недостаток фактов или противоречивые сигналы.</t>
  </si>
  <si>
    <t>не применяется</t>
  </si>
  <si>
    <t>Менее трех содержательных доказательств.</t>
  </si>
  <si>
    <t>Закрытые тарифы, неполные описания, отсутствие страниц товара, нет сегментации клиентов.</t>
  </si>
  <si>
    <t>Вернуться к анализу после сбора дополнительных источников.</t>
  </si>
  <si>
    <t>Сводка классификации компаний по уровням конкуренции</t>
  </si>
  <si>
    <t>Показатель</t>
  </si>
  <si>
    <t>Значение</t>
  </si>
  <si>
    <t>Всего компаний в реестре</t>
  </si>
  <si>
    <t>Компаний с заполненной оценкой</t>
  </si>
  <si>
    <t>Средний взвешенный балл</t>
  </si>
  <si>
    <t>Компаний с уровнем «Прямой конкурент»</t>
  </si>
  <si>
    <t>Компаний с уровнем «Близкий альтернативный конкурент»</t>
  </si>
  <si>
    <t>Уровень конкуренции</t>
  </si>
  <si>
    <t>Количество</t>
  </si>
  <si>
    <t>Доля</t>
  </si>
  <si>
    <t>Методическое действие</t>
  </si>
  <si>
    <t>Включить в основной бенчмарк и регулярный мониторинг</t>
  </si>
  <si>
    <t>Сравнивать по причинам выбора и формату ценности</t>
  </si>
  <si>
    <t>Оценивать угрозу замещения и конкуренцию за бюджет</t>
  </si>
  <si>
    <t>Наблюдать по сигналам расширения</t>
  </si>
  <si>
    <t>Исключить из основной матрицы</t>
  </si>
  <si>
    <t>Дособрать доказательства</t>
  </si>
  <si>
    <t>Топ компаний по близости к прямой конкуренции</t>
  </si>
  <si>
    <t>Бал</t>
  </si>
  <si>
    <t>Обоснование</t>
  </si>
  <si>
    <t>Карта конкурентной близости</t>
  </si>
  <si>
    <t>X: задача + заменяемость</t>
  </si>
  <si>
    <t>Y: аудитория + рынок</t>
  </si>
  <si>
    <t>Зона карты</t>
  </si>
  <si>
    <t>Доказательства</t>
  </si>
  <si>
    <t>Уровни конкуренции</t>
  </si>
  <si>
    <t>Статусы</t>
  </si>
  <si>
    <t>Приоритеты</t>
  </si>
  <si>
    <t>Типы сигналов с сайта</t>
  </si>
  <si>
    <t>Справочники для выпадающих списков</t>
  </si>
  <si>
    <t>Шкала оценки</t>
  </si>
  <si>
    <t>Интерпретация</t>
  </si>
  <si>
    <t>Не начато</t>
  </si>
  <si>
    <t>Высокий</t>
  </si>
  <si>
    <t>Балл</t>
  </si>
  <si>
    <t>Смысл</t>
  </si>
  <si>
    <t>В работе</t>
  </si>
  <si>
    <t>Средний</t>
  </si>
  <si>
    <t>нет признака / данных</t>
  </si>
  <si>
    <t>Проверено</t>
  </si>
  <si>
    <t>Низкий</t>
  </si>
  <si>
    <t>Цифровой товар</t>
  </si>
  <si>
    <t>слабое или косвенное совпадение</t>
  </si>
  <si>
    <t>Требует уточнения</t>
  </si>
  <si>
    <t>Функциональность</t>
  </si>
  <si>
    <t>частичное совпадение</t>
  </si>
  <si>
    <t>Исключено</t>
  </si>
  <si>
    <t>Цена и тарифы</t>
  </si>
  <si>
    <t>существенное совпадение</t>
  </si>
  <si>
    <t>Монетизация</t>
  </si>
  <si>
    <t>высокое совпадение</t>
  </si>
  <si>
    <t>Каналы продаж</t>
  </si>
  <si>
    <t>полное совпадение</t>
  </si>
  <si>
    <t>PerfectXL</t>
  </si>
  <si>
    <t>perfectxl.com</t>
  </si>
  <si>
    <t>Нидерланды, мир</t>
  </si>
  <si>
    <t>специализированный инструмент</t>
  </si>
  <si>
    <t>аудит, консалтинг, страхование</t>
  </si>
  <si>
    <t>гипотеза уточняется оценкой</t>
  </si>
  <si>
    <t>высокий</t>
  </si>
  <si>
    <t>Р. В. Земляник</t>
  </si>
  <si>
    <t>Подтверждено</t>
  </si>
  <si>
    <t>-</t>
  </si>
  <si>
    <t>ЛР5</t>
  </si>
  <si>
    <t>Arixcel</t>
  </si>
  <si>
    <t>arixcel.com</t>
  </si>
  <si>
    <t>мир</t>
  </si>
  <si>
    <t>надстройка навигации и аудита моделей</t>
  </si>
  <si>
    <t>аналитики, моделисты</t>
  </si>
  <si>
    <t>Operis</t>
  </si>
  <si>
    <t>operis.com</t>
  </si>
  <si>
    <t>Великобритания, мир</t>
  </si>
  <si>
    <t>консалтинг и инструмент</t>
  </si>
  <si>
    <t>аудит моделей и надстройка OAK</t>
  </si>
  <si>
    <t>проектное финансирование</t>
  </si>
  <si>
    <t>Shortcut</t>
  </si>
  <si>
    <t>shortcut.ai</t>
  </si>
  <si>
    <t>США, мир</t>
  </si>
  <si>
    <t>AI-агент</t>
  </si>
  <si>
    <t>AI-агент для финансовых моделей в Excel</t>
  </si>
  <si>
    <t>финансовые институты, FP&amp;A</t>
  </si>
  <si>
    <t>Numerous.ai</t>
  </si>
  <si>
    <t>numerous.ai</t>
  </si>
  <si>
    <t>AI-помощник</t>
  </si>
  <si>
    <t>функция =AI в Sheets и Excel</t>
  </si>
  <si>
    <t>массовые пользователи</t>
  </si>
  <si>
    <t>Datarails</t>
  </si>
  <si>
    <t>datarails.com</t>
  </si>
  <si>
    <t>США, Израиль</t>
  </si>
  <si>
    <t>FP&amp;A-платформа</t>
  </si>
  <si>
    <t>FinanceOS над Excel</t>
  </si>
  <si>
    <t>финансовые команды среднего размера</t>
  </si>
  <si>
    <t>DataSnipper</t>
  </si>
  <si>
    <t>datasnipper.com</t>
  </si>
  <si>
    <t>платформа аудита</t>
  </si>
  <si>
    <t>агентная автоматизация аудита</t>
  </si>
  <si>
    <t>аудиторские фирмы</t>
  </si>
  <si>
    <t>Rows</t>
  </si>
  <si>
    <t>rows.com</t>
  </si>
  <si>
    <t>Португалия, мир</t>
  </si>
  <si>
    <t>электронная таблица с AI</t>
  </si>
  <si>
    <t>альтернативная таблица с AI-функциями</t>
  </si>
  <si>
    <t>команды и бизнес</t>
  </si>
  <si>
    <t>средний</t>
  </si>
  <si>
    <t>Formula Bot</t>
  </si>
  <si>
    <t>formulabot.com</t>
  </si>
  <si>
    <t>генерация формул и анализ данных</t>
  </si>
  <si>
    <t>Microsoft 365 Copilot</t>
  </si>
  <si>
    <t>microsoft.com/microsoft-365-copilot</t>
  </si>
  <si>
    <t>встроенный AI</t>
  </si>
  <si>
    <t>AI-ассистент внутри Excel</t>
  </si>
  <si>
    <t>корпоративные пользователи Microsoft 365</t>
  </si>
  <si>
    <t>Главная</t>
  </si>
  <si>
    <t>https://www.perfectxl.com/</t>
  </si>
  <si>
    <t>Software That Helps You Master Excel; клиенты Deloitte, Grant Thornton, BDO; премия 2026</t>
  </si>
  <si>
    <t>Позиционирование на контроле качества и рисках</t>
  </si>
  <si>
    <t>страница сайта</t>
  </si>
  <si>
    <t>Цены</t>
  </si>
  <si>
    <t>https://www.perfectxl.com/pricing/</t>
  </si>
  <si>
    <t>Цены раскрыты частично</t>
  </si>
  <si>
    <t>https://www.arixcel.com/</t>
  </si>
  <si>
    <t>Узкий инструмент без цен и без отзывов</t>
  </si>
  <si>
    <t>https://www.operis.com/</t>
  </si>
  <si>
    <t>Advisory, Modelling, Model Audit, Tax &amp; Accounting, OAK, Training; с 1990 г., более 1 200 проектов</t>
  </si>
  <si>
    <t>Консалтинговый бизнес с надстройкой</t>
  </si>
  <si>
    <t>https://www.shortcut.ai/</t>
  </si>
  <si>
    <t>AI-агент для финансистов, SOC 2 Type II, Excel Add-in, веб, CLI</t>
  </si>
  <si>
    <t>Сильное доверие и безопасность на первом экране</t>
  </si>
  <si>
    <t>https://www.shortcut.ai/pricing</t>
  </si>
  <si>
    <t>Прозрачные тарифы</t>
  </si>
  <si>
    <t>https://www.numerous.ai/</t>
  </si>
  <si>
    <t>ChatGPT в Sheets и Excel, функция =AI, без API-ключей</t>
  </si>
  <si>
    <t>Простое предложение для массового пользователя</t>
  </si>
  <si>
    <t>https://www.numerous.ai/pricing</t>
  </si>
  <si>
    <t>Один тариф</t>
  </si>
  <si>
    <t>https://datarails.com/</t>
  </si>
  <si>
    <t>Trusted AI for Finance Teams; 600+ интеграций; 2 000+ клиентов</t>
  </si>
  <si>
    <t>Платформа, а не инструмент проверки</t>
  </si>
  <si>
    <t>https://www.datasnipper.com/</t>
  </si>
  <si>
    <t>End-to-end Agentic Automation for Audit and Finance; SOC 2, GDPR, AI Act</t>
  </si>
  <si>
    <t>Сильная позиция в аудите</t>
  </si>
  <si>
    <t>Отзывы</t>
  </si>
  <si>
    <t>https://www.g2.com/search?query=shortcut</t>
  </si>
  <si>
    <t>карточки на G2 нет</t>
  </si>
  <si>
    <t>Доверие</t>
  </si>
  <si>
    <t>Нет публичных отзывов</t>
  </si>
  <si>
    <t>https://www.g2.com/search?query=datarails</t>
  </si>
  <si>
    <t>G2 386 отзывов, 4,6</t>
  </si>
  <si>
    <t>Самый сильный репутационный профиль</t>
  </si>
  <si>
    <t>https://www.g2.com/search?query=perfectxl</t>
  </si>
  <si>
    <t>G2 0 отзывов; Trustpilot 0</t>
  </si>
  <si>
    <t>https://www.g2.com/search?query=arixcel</t>
  </si>
  <si>
    <t>G2 Arixcel Explorer 4,0 (1 отзыв)</t>
  </si>
  <si>
    <t>Один отзыв</t>
  </si>
  <si>
    <t>AppSource</t>
  </si>
  <si>
    <t>https://appsource.microsoft.com/</t>
  </si>
  <si>
    <t>OAK (Excel add-in) указан на сайте; в AppSource по запросу formula checker найден 1 результат</t>
  </si>
  <si>
    <t>Каналы</t>
  </si>
  <si>
    <t>Видимость в магазине низкая</t>
  </si>
  <si>
    <t>DataSnipper for Excel Online в выдаче по запросу excel audit</t>
  </si>
  <si>
    <t>Присутствует в магазине надстроек</t>
  </si>
  <si>
    <t>Безопасность</t>
  </si>
  <si>
    <t>https://www.datasnipper.com/security</t>
  </si>
  <si>
    <t>SOC 2 Type II, Azure, AES-256, TLS 1.2+, хранение до 24 часов, обучение на данных клиентов не ведется, GDPR и AI Act</t>
  </si>
  <si>
    <t>Самый подробный профиль безопасности среди специализированных игроков</t>
  </si>
  <si>
    <t>https://www.datasnipper.com/pricing</t>
  </si>
  <si>
    <t>Start, Accelerate, Elevate без сумм; Book demo и Contact sales</t>
  </si>
  <si>
    <t>Цена по запросу, вход через демо</t>
  </si>
  <si>
    <t>Интеграции</t>
  </si>
  <si>
    <t>https://knowledge.datasnipper.com/en/collections/1449483-integrations</t>
  </si>
  <si>
    <t>SharePoint, OneDrive, Box, Dropbox, SAP Concur, QuickBooks, Suralink, Azure</t>
  </si>
  <si>
    <t>Интеграции документов аудита, не проверки формул</t>
  </si>
  <si>
    <t>Отзывы Capterra</t>
  </si>
  <si>
    <t>https://www.capterra.com/p/10002513/DataSnipper/</t>
  </si>
  <si>
    <t>4,7 из 5, 131 отзыв, пробной версии нет</t>
  </si>
  <si>
    <t>Сильный репутационный профиль</t>
  </si>
  <si>
    <t>https://datarails.com/pricing/</t>
  </si>
  <si>
    <t>Professional, Premium, Expert без сумм; Request Quote, пробного периода нет</t>
  </si>
  <si>
    <t>Цена по запросу, длинный цикл продажи</t>
  </si>
  <si>
    <t>Центр доверия</t>
  </si>
  <si>
    <t>https://trust.datarails.com/overview</t>
  </si>
  <si>
    <t>SOC 2 Type II, SOC 1, политика информационной безопасности, тест на проникновение; отчеты по запросу</t>
  </si>
  <si>
    <t>Самый полный профиль доверия</t>
  </si>
  <si>
    <t>https://datarails.com/integrations/</t>
  </si>
  <si>
    <t>более 200 интеграций в списке (ERP, CRM, хранилища); на главной заявлено более 600</t>
  </si>
  <si>
    <t>Интеграции - барьер переключения</t>
  </si>
  <si>
    <t>https://www.capterra.com/p/177451/DataRails/</t>
  </si>
  <si>
    <t>4,7 из 5, 245 отзывов</t>
  </si>
  <si>
    <t>Лицензирование</t>
  </si>
  <si>
    <t>https://www.arixcel.com/explorer/download</t>
  </si>
  <si>
    <t>Цена опубликована, лестницы тарифов нет</t>
  </si>
  <si>
    <t>Цены OAK</t>
  </si>
  <si>
    <t>https://www.operisanalysiskit.com/oak-price/</t>
  </si>
  <si>
    <t>Единичная цена, продажа без консультанта</t>
  </si>
  <si>
    <t>https://shortcut.ai/privacy</t>
  </si>
  <si>
    <t>SOC 2 Type II, AES-256, TLS 1.3, нулевое хранение у провайдеров, SAML, ролевой доступ</t>
  </si>
  <si>
    <t>Безопасность раскрыта в центре приватности</t>
  </si>
  <si>
    <t>Цены и регистрация</t>
  </si>
  <si>
    <t>https://numerous.ai/</t>
  </si>
  <si>
    <t>Путь от пробы к подписке без продавца</t>
  </si>
  <si>
    <t>Подвал сайта</t>
  </si>
  <si>
    <t>только политика конфиденциальности и условия, заявлений о безопасности нет</t>
  </si>
  <si>
    <t>Безопасность не раскрыта</t>
  </si>
  <si>
    <t>Отзывы Trustpilot</t>
  </si>
  <si>
    <t>https://www.trustpilot.com/review/numerous.ai</t>
  </si>
  <si>
    <t>2,5 из 5, 5 отзывов, жалобы на автосписание после пробного периода</t>
  </si>
  <si>
    <t>Риск политики пробного периода</t>
  </si>
  <si>
    <t>Пробный период</t>
  </si>
  <si>
    <t>https://www.perfectxl.com/products/perfectxl-formula-inspector/free-trial-vdependents/</t>
  </si>
  <si>
    <t>30 дней без карты и автопродления, Excel 2016 и новее</t>
  </si>
  <si>
    <t>Бесплатный вход есть</t>
  </si>
  <si>
    <t>Правовые страницы</t>
  </si>
  <si>
    <t>https://www.perfectxl.com/legal/privacy-policy/</t>
  </si>
  <si>
    <t>политика конфиденциальности, условия, cookie; страницы безопасности нет</t>
  </si>
  <si>
    <t>https://rows.com/pricing</t>
  </si>
  <si>
    <t>Таблица с AI, не инструмент проверки</t>
  </si>
  <si>
    <t>https://www.g2.com/search?query=formula%20bot</t>
  </si>
  <si>
    <t>Генерация, не аудит</t>
  </si>
  <si>
    <t>https://www.microsoft.com/en-us/microsoft-365-copilot/pricing</t>
  </si>
  <si>
    <t>Встроенный AI-заменитель</t>
  </si>
  <si>
    <t>наибольшее совпадение по критериям «Потребительская задача» (5) и «Сценарий использования» (5)</t>
  </si>
  <si>
    <t>https://www.perfectxl.com/; https://www.perfectxl.com/pricing/</t>
  </si>
  <si>
    <t>наибольшее совпадение по критериям «Потребительская задача» (4) и «Целевая аудитория» (4)</t>
  </si>
  <si>
    <t>https://www.arixcel.com/; https://www.g2.com/search?query=arixcel</t>
  </si>
  <si>
    <t>наибольшее совпадение по критериям «Потребительская задача» (4) и «Уровень зрелости и доверия» (4)</t>
  </si>
  <si>
    <t>https://www.operis.com/; https://appsource.microsoft.com/</t>
  </si>
  <si>
    <t>наибольшее совпадение по критериям «Целевая аудитория» (4) и «Сценарий использования» (4)</t>
  </si>
  <si>
    <t>https://www.shortcut.ai/; https://www.shortcut.ai/pricing</t>
  </si>
  <si>
    <t>Подтверждено с ограничением</t>
  </si>
  <si>
    <t>наибольшее совпадение по критериям «Ценовой уровень и форма оплаты» (5) и «Каналы продаж и привлечения» (4); ограничитель - низкое совпадение задачи</t>
  </si>
  <si>
    <t>https://www.numerous.ai/; https://www.numerous.ai/pricing</t>
  </si>
  <si>
    <t>наибольшее совпадение по критериям «Модель монетизации» (5) и «Вероятность переключения клиента» (5); ограничитель - низкое совпадение задачи</t>
  </si>
  <si>
    <t>https://datarails.com/; https://www.g2.com/search?query=datarails</t>
  </si>
  <si>
    <t>наибольшее совпадение по критериям «Модель монетизации» (5) и «География, язык, регулирование» (4); ограничитель - низкая товарная заменяемость</t>
  </si>
  <si>
    <t>https://www.datasnipper.com/; https://appsource.microsoft.com/</t>
  </si>
  <si>
    <t>наибольшее совпадение по критериям «Целевая аудитория» (5) и «Каналы продаж и привлечения» (5)</t>
  </si>
  <si>
    <t>Лист</t>
  </si>
  <si>
    <t>По каждой компании фиксировать факты с сайта - продукт, аудитория, цена, сценарии, каналы, доверие, география.</t>
  </si>
  <si>
    <t>Обоснование и ключевые ссылки приведены в листе 04_Оценка.</t>
  </si>
  <si>
    <t>Уровень конкуренции нельзя назначать только по общему впечатлению от компании. Минимальное основание - сайт, страница товара, тарифы, описание сегмента или иной публичный сигнал.</t>
  </si>
  <si>
    <t>Прямой конкурент - это не просто похожая компания</t>
  </si>
  <si>
    <t>Недостаточно предположить, что компания может войти в рынок. Нужны признаки - смежные продукты, новые разделы, вакансии, партнерства, дорожная карта, объявления.</t>
  </si>
  <si>
    <t>аудит Excel - риски, потоки данных, сравнение</t>
  </si>
  <si>
    <t>один инструмент от 69 у.е. в месяц; пакеты без цен; обучение от 49 у.е.</t>
  </si>
  <si>
    <t>надстройка Excel - логика формул, сравнение, карта формул, трассировка</t>
  </si>
  <si>
    <t>Free, Pro 89 у.е., Teams 284 у.е. + 89 у.е. за место, Enterprise</t>
  </si>
  <si>
    <t>8,9 у.е. в месяц, 7 дней пробного периода</t>
  </si>
  <si>
    <t>3,2 у.е. за пользователя в месяц, лицензия 12-36 месяцев, только Windows, пробный режим</t>
  </si>
  <si>
    <t>подписка 365 у.е. в год, более 30 инструментов, Try OAK и Buy now</t>
  </si>
  <si>
    <t>7 дней бесплатно, оплата за год, 8,9 у.е. в месяц, лимит 500 тыс. символов</t>
  </si>
  <si>
    <t>Free; Plus 7,1 у.е. за пользователя; Pro 70 у.е. + 7,1 у.е. за пользователя</t>
  </si>
  <si>
    <t>Formula Bot - 90 отзывов, 4,5; генерация формул и анализ данных</t>
  </si>
  <si>
    <t>Copilot Business 16 у.е. в месяц за пользователя при оплате за год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</si>
</sst>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rgb="FFFFFFFF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BDD7EE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39">
    <xf numFmtId="0" fontId="0" fillId="0" borderId="0" xfId="0"/>
    <xf numFmtId="0" fontId="3" fillId="0" borderId="0" xfId="1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center" vertical="center" wrapText="1"/>
    </xf>
    <xf numFmtId="0" fontId="3" fillId="4" borderId="1" xfId="1" applyFont="1" applyFill="1" applyBorder="1" applyAlignment="1">
      <alignment horizontal="left" vertical="center" wrapText="1"/>
    </xf>
    <xf numFmtId="164" fontId="3" fillId="0" borderId="1" xfId="1" applyNumberFormat="1" applyFont="1" applyBorder="1" applyAlignment="1">
      <alignment horizontal="center" vertical="center" wrapText="1"/>
    </xf>
    <xf numFmtId="164" fontId="3" fillId="0" borderId="2" xfId="1" applyNumberFormat="1" applyFont="1" applyBorder="1" applyAlignment="1">
      <alignment horizontal="center" vertical="center" wrapText="1"/>
    </xf>
    <xf numFmtId="164" fontId="3" fillId="0" borderId="3" xfId="1" applyNumberFormat="1" applyFont="1" applyBorder="1" applyAlignment="1">
      <alignment horizontal="center" vertical="center" wrapText="1"/>
    </xf>
    <xf numFmtId="1" fontId="3" fillId="0" borderId="1" xfId="1" applyNumberFormat="1" applyFont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 wrapText="1"/>
    </xf>
    <xf numFmtId="2" fontId="3" fillId="0" borderId="1" xfId="1" applyNumberFormat="1" applyFont="1" applyBorder="1" applyAlignment="1">
      <alignment horizontal="center" vertical="center" wrapText="1"/>
    </xf>
    <xf numFmtId="2" fontId="3" fillId="0" borderId="2" xfId="1" applyNumberFormat="1" applyFont="1" applyBorder="1" applyAlignment="1">
      <alignment horizontal="center" vertical="center" wrapText="1"/>
    </xf>
    <xf numFmtId="164" fontId="3" fillId="0" borderId="4" xfId="1" applyNumberFormat="1" applyFont="1" applyBorder="1" applyAlignment="1">
      <alignment horizontal="center" vertical="center" wrapText="1"/>
    </xf>
    <xf numFmtId="2" fontId="3" fillId="0" borderId="4" xfId="1" applyNumberFormat="1" applyFont="1" applyBorder="1" applyAlignment="1">
      <alignment horizontal="center" vertical="center" wrapText="1"/>
    </xf>
    <xf numFmtId="9" fontId="3" fillId="0" borderId="1" xfId="1" applyNumberFormat="1" applyFont="1" applyBorder="1" applyAlignment="1">
      <alignment horizontal="center" vertical="center" wrapText="1"/>
    </xf>
    <xf numFmtId="9" fontId="3" fillId="0" borderId="2" xfId="1" applyNumberFormat="1" applyFont="1" applyBorder="1" applyAlignment="1">
      <alignment horizontal="center" vertical="center" wrapText="1"/>
    </xf>
    <xf numFmtId="0" fontId="4" fillId="2" borderId="4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4" fillId="2" borderId="1" xfId="1" applyFont="1" applyFill="1" applyBorder="1" applyAlignment="1">
      <alignment horizontal="left" vertical="center" wrapText="1"/>
    </xf>
    <xf numFmtId="0" fontId="3" fillId="0" borderId="1" xfId="1" applyFont="1" applyBorder="1" applyAlignment="1">
      <alignment horizontal="left" vertical="center" wrapText="1"/>
    </xf>
    <xf numFmtId="0" fontId="3" fillId="0" borderId="4" xfId="1" applyFont="1" applyBorder="1" applyAlignment="1">
      <alignment horizontal="left" vertical="center" wrapText="1"/>
    </xf>
    <xf numFmtId="0" fontId="3" fillId="5" borderId="2" xfId="1" applyFont="1" applyFill="1" applyBorder="1" applyAlignment="1">
      <alignment horizontal="left" vertical="center" wrapText="1"/>
    </xf>
    <xf numFmtId="0" fontId="3" fillId="5" borderId="3" xfId="1" applyFont="1" applyFill="1" applyBorder="1" applyAlignment="1">
      <alignment horizontal="left" vertical="center" wrapText="1"/>
    </xf>
    <xf numFmtId="0" fontId="3" fillId="0" borderId="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 wrapText="1"/>
    </xf>
    <xf numFmtId="0" fontId="4" fillId="2" borderId="1" xfId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</cellXfs>
  <cellStyles count="2">
    <cellStyle name="Normal" xfId="1" xr:uid="{00000000-0005-0000-0000-000000000000}"/>
    <cellStyle name="Обычный" xfId="0" builtinId="0"/>
  </cellStyles>
  <dxfs count="93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Распределение компаний по уровням конкуренции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Количество</c:v>
          </c:tx>
          <c:spPr>
            <a:solidFill>
              <a:srgbClr val="1F4E79"/>
            </a:solidFill>
          </c:spPr>
          <c:invertIfNegative val="1"/>
          <c:cat>
            <c:strRef>
              <c:f>'06_Сводка'!$A$10:$A$15</c:f>
              <c:strCache>
                <c:ptCount val="6"/>
                <c:pt idx="0">
                  <c:v>Прямой конкурент</c:v>
                </c:pt>
                <c:pt idx="1">
                  <c:v>Близкий альтернативный конкурент</c:v>
                </c:pt>
                <c:pt idx="2">
                  <c:v>Косвенный конкурент / заменитель</c:v>
                </c:pt>
                <c:pt idx="3">
                  <c:v>Смежная или потенциальная конкуренция</c:v>
                </c:pt>
                <c:pt idx="4">
                  <c:v>Не конкурент / объект наблюдения</c:v>
                </c:pt>
                <c:pt idx="5">
                  <c:v>Недостаточно данных</c:v>
                </c:pt>
              </c:strCache>
            </c:strRef>
          </c:cat>
          <c:val>
            <c:numRef>
              <c:f>'06_Сводка'!$B$10:$B$15</c:f>
              <c:numCache>
                <c:formatCode>General</c:formatCode>
                <c:ptCount val="6"/>
                <c:pt idx="0">
                  <c:v>0</c:v>
                </c:pt>
                <c:pt idx="1">
                  <c:v>4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F3B2-48FA-BBF6-7BBCCF55B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r>
              <a:rPr lang="ru-RU"/>
              <a:t>Карта: функциональная близость и аудиторное пересечение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Y: аудитория + рынок</c:v>
          </c:tx>
          <c:marker>
            <c:spPr>
              <a:solidFill>
                <a:srgbClr val="1F4E79"/>
              </a:solidFill>
            </c:spPr>
          </c:marker>
          <c:xVal>
            <c:numLit>
              <c:ptCount val="0"/>
            </c:numLit>
          </c:xVal>
          <c:yVal>
            <c:numRef>
              <c:f>'07_Карта'!$D$3:$D$22</c:f>
              <c:numCache>
                <c:formatCode>0.00</c:formatCode>
                <c:ptCount val="20"/>
                <c:pt idx="0">
                  <c:v>4</c:v>
                </c:pt>
                <c:pt idx="1">
                  <c:v>4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3.5</c:v>
                </c:pt>
                <c:pt idx="6">
                  <c:v>3.5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3D-4CDB-8EE5-E86C3FC72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midCat"/>
      </c:valAx>
      <c:val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1"/>
        <c:majorTickMark val="none"/>
        <c:minorTickMark val="none"/>
        <c:tickLblPos val="nextTo"/>
        <c:crossAx val="48672768"/>
        <c:crosses val="autoZero"/>
        <c:crossBetween val="midCat"/>
      </c:valAx>
    </c:plotArea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</xdr:col>
      <xdr:colOff>1836737</xdr:colOff>
      <xdr:row>48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0</xdr:rowOff>
    </xdr:from>
    <xdr:to>
      <xdr:col>3</xdr:col>
      <xdr:colOff>893762</xdr:colOff>
      <xdr:row>43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ompaniesTable" displayName="CompaniesTable" ref="A2:M12" headerRowDxfId="92" dataDxfId="91" totalsRowDxfId="90">
  <tableColumns count="13">
    <tableColumn id="1" xr3:uid="{00000000-0010-0000-0000-000001000000}" name="ID" dataDxfId="89"/>
    <tableColumn id="2" xr3:uid="{00000000-0010-0000-0000-000002000000}" name="Компания" dataDxfId="88"/>
    <tableColumn id="3" xr3:uid="{00000000-0010-0000-0000-000003000000}" name="Сайт" dataDxfId="87"/>
    <tableColumn id="4" xr3:uid="{00000000-0010-0000-0000-000004000000}" name="Рынок / страна" dataDxfId="86"/>
    <tableColumn id="5" xr3:uid="{00000000-0010-0000-0000-000005000000}" name="Тип компании" dataDxfId="85"/>
    <tableColumn id="6" xr3:uid="{00000000-0010-0000-0000-000006000000}" name="Основной цифровой товар" dataDxfId="84"/>
    <tableColumn id="7" xr3:uid="{00000000-0010-0000-0000-000007000000}" name="Целевой сегмент" dataDxfId="83"/>
    <tableColumn id="8" xr3:uid="{00000000-0010-0000-0000-000008000000}" name="Предварительная гипотеза" dataDxfId="82"/>
    <tableColumn id="9" xr3:uid="{00000000-0010-0000-0000-000009000000}" name="Приоритет" dataDxfId="81"/>
    <tableColumn id="10" xr3:uid="{00000000-0010-0000-0000-00000A000000}" name="Ответственный" dataDxfId="80"/>
    <tableColumn id="11" xr3:uid="{00000000-0010-0000-0000-00000B000000}" name="Статус" dataDxfId="79"/>
    <tableColumn id="12" xr3:uid="{00000000-0010-0000-0000-00000C000000}" name="Дата обновления" dataDxfId="78"/>
    <tableColumn id="13" xr3:uid="{00000000-0010-0000-0000-00000D000000}" name="Комментарий" dataDxfId="7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EvidenceTable" displayName="EvidenceTable" ref="A2:L37" headerRowDxfId="76" dataDxfId="75" totalsRowDxfId="74">
  <tableColumns count="12">
    <tableColumn id="1" xr3:uid="{00000000-0010-0000-0100-000001000000}" name="ID компании" dataDxfId="73"/>
    <tableColumn id="2" xr3:uid="{00000000-0010-0000-0100-000002000000}" name="Компания" dataDxfId="72"/>
    <tableColumn id="3" xr3:uid="{00000000-0010-0000-0100-000003000000}" name="Раздел сайта" dataDxfId="71"/>
    <tableColumn id="4" xr3:uid="{00000000-0010-0000-0100-000004000000}" name="URL" dataDxfId="70"/>
    <tableColumn id="5" xr3:uid="{00000000-0010-0000-0100-000005000000}" name="Наблюдаемый факт" dataDxfId="69"/>
    <tableColumn id="6" xr3:uid="{00000000-0010-0000-0100-000006000000}" name="Тип сигнала" dataDxfId="68"/>
    <tableColumn id="7" xr3:uid="{00000000-0010-0000-0100-000007000000}" name="Сила сигнала 1–5" dataDxfId="67"/>
    <tableColumn id="8" xr3:uid="{00000000-0010-0000-0100-000008000000}" name="Дата фиксации" dataDxfId="66"/>
    <tableColumn id="9" xr3:uid="{00000000-0010-0000-0100-000009000000}" name="Вывод для классификации" dataDxfId="65"/>
    <tableColumn id="10" xr3:uid="{00000000-0010-0000-0100-00000A000000}" name="Достоверность 1–5" dataDxfId="64"/>
    <tableColumn id="11" xr3:uid="{00000000-0010-0000-0100-00000B000000}" name="Скриншот / архив" dataDxfId="63"/>
    <tableColumn id="12" xr3:uid="{00000000-0010-0000-0100-00000C000000}" name="Комментарий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CompetitionCriteria" displayName="CompetitionCriteria" ref="A2:J12" headerRowDxfId="61" dataDxfId="60" totalsRowDxfId="59">
  <tableColumns count="10">
    <tableColumn id="1" xr3:uid="{00000000-0010-0000-0200-000001000000}" name="Код" dataDxfId="58"/>
    <tableColumn id="2" xr3:uid="{00000000-0010-0000-0200-000002000000}" name="Критерий" dataDxfId="57"/>
    <tableColumn id="3" xr3:uid="{00000000-0010-0000-0200-000003000000}" name="Что проверяется по сайту" dataDxfId="56"/>
    <tableColumn id="4" xr3:uid="{00000000-0010-0000-0200-000004000000}" name="Индикаторы" dataDxfId="55"/>
    <tableColumn id="5" xr3:uid="{00000000-0010-0000-0200-000005000000}" name="Вес" dataDxfId="54"/>
    <tableColumn id="6" xr3:uid="{00000000-0010-0000-0200-000006000000}" name="0 баллов" dataDxfId="53"/>
    <tableColumn id="7" xr3:uid="{00000000-0010-0000-0200-000007000000}" name="1 балл" dataDxfId="52"/>
    <tableColumn id="8" xr3:uid="{00000000-0010-0000-0200-000008000000}" name="3 балла" dataDxfId="51"/>
    <tableColumn id="9" xr3:uid="{00000000-0010-0000-0200-000009000000}" name="5 баллов" dataDxfId="50"/>
    <tableColumn id="10" xr3:uid="{00000000-0010-0000-0200-00000A000000}" name="Обязателен для прямого конкурента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ScoringMatrix" displayName="ScoringMatrix" ref="A2:V12" headerRowDxfId="48" dataDxfId="47" totalsRowDxfId="46">
  <tableColumns count="22">
    <tableColumn id="1" xr3:uid="{00000000-0010-0000-0300-000001000000}" name="ID" dataDxfId="45"/>
    <tableColumn id="2" xr3:uid="{00000000-0010-0000-0300-000002000000}" name="Компания" dataDxfId="44"/>
    <tableColumn id="3" xr3:uid="{00000000-0010-0000-0300-000003000000}" name="Сайт" dataDxfId="43"/>
    <tableColumn id="4" xr3:uid="{00000000-0010-0000-0300-000004000000}" name="C1 задача" dataDxfId="42"/>
    <tableColumn id="5" xr3:uid="{00000000-0010-0000-0300-000005000000}" name="C2 аудитория" dataDxfId="41"/>
    <tableColumn id="6" xr3:uid="{00000000-0010-0000-0300-000006000000}" name="C3 заменяемость" dataDxfId="40"/>
    <tableColumn id="7" xr3:uid="{00000000-0010-0000-0300-000007000000}" name="C4 сценарий" dataDxfId="39"/>
    <tableColumn id="8" xr3:uid="{00000000-0010-0000-0300-000008000000}" name="C5 цена" dataDxfId="38"/>
    <tableColumn id="9" xr3:uid="{00000000-0010-0000-0300-000009000000}" name="C6 каналы" dataDxfId="37"/>
    <tableColumn id="10" xr3:uid="{00000000-0010-0000-0300-00000A000000}" name="C7 география" dataDxfId="36"/>
    <tableColumn id="11" xr3:uid="{00000000-0010-0000-0300-00000B000000}" name="C8 монетизация" dataDxfId="35"/>
    <tableColumn id="12" xr3:uid="{00000000-0010-0000-0300-00000C000000}" name="C9 зрелость" dataDxfId="34"/>
    <tableColumn id="13" xr3:uid="{00000000-0010-0000-0300-00000D000000}" name="C10 переключение" dataDxfId="33"/>
    <tableColumn id="14" xr3:uid="{00000000-0010-0000-0300-00000E000000}" name="Взвешенный балл" dataDxfId="32"/>
    <tableColumn id="15" xr3:uid="{00000000-0010-0000-0300-00000F000000}" name="Ограничитель" dataDxfId="31"/>
    <tableColumn id="16" xr3:uid="{00000000-0010-0000-0300-000010000000}" name="Расчетный уровень" dataDxfId="30"/>
    <tableColumn id="17" xr3:uid="{00000000-0010-0000-0300-000011000000}" name="Экспертная корректировка" dataDxfId="29"/>
    <tableColumn id="18" xr3:uid="{00000000-0010-0000-0300-000012000000}" name="Итоговый уровень" dataDxfId="28"/>
    <tableColumn id="19" xr3:uid="{00000000-0010-0000-0300-000013000000}" name="Статус решения" dataDxfId="27"/>
    <tableColumn id="20" xr3:uid="{00000000-0010-0000-0300-000014000000}" name="Ключевое обоснование" dataDxfId="26"/>
    <tableColumn id="21" xr3:uid="{00000000-0010-0000-0300-000015000000}" name="Ключевые ссылки" dataDxfId="25"/>
    <tableColumn id="22" xr3:uid="{00000000-0010-0000-0300-000016000000}" name="Дата проверки" dataDxfId="2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CompetitionLevels" displayName="CompetitionLevels" ref="A2:G8" headerRowDxfId="23" dataDxfId="22" totalsRowDxfId="21">
  <tableColumns count="7">
    <tableColumn id="1" xr3:uid="{00000000-0010-0000-0400-000001000000}" name="Уровень" dataDxfId="20"/>
    <tableColumn id="2" xr3:uid="{00000000-0010-0000-0400-000002000000}" name="Определение" dataDxfId="19"/>
    <tableColumn id="3" xr3:uid="{00000000-0010-0000-0400-000003000000}" name="Ключевой критерий" dataDxfId="18"/>
    <tableColumn id="4" xr3:uid="{00000000-0010-0000-0400-000004000000}" name="Порог по баллу" dataDxfId="17"/>
    <tableColumn id="5" xr3:uid="{00000000-0010-0000-0400-000005000000}" name="Обязательные условия" dataDxfId="16"/>
    <tableColumn id="6" xr3:uid="{00000000-0010-0000-0400-000006000000}" name="Типовые признаки на сайте" dataDxfId="15"/>
    <tableColumn id="7" xr3:uid="{00000000-0010-0000-0400-000007000000}" name="Решение аналитика" dataDxfId="1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mpetitionMap" displayName="CompetitionMap" ref="A2:K22" headerRowDxfId="13" dataDxfId="12" totalsRowDxfId="11">
  <tableColumns count="11">
    <tableColumn id="1" xr3:uid="{00000000-0010-0000-0500-000001000000}" name="ID" dataDxfId="10"/>
    <tableColumn id="2" xr3:uid="{00000000-0010-0000-0500-000002000000}" name="Компания" dataDxfId="9"/>
    <tableColumn id="3" xr3:uid="{00000000-0010-0000-0500-000003000000}" name="X: задача + заменяемость" dataDxfId="8"/>
    <tableColumn id="4" xr3:uid="{00000000-0010-0000-0500-000004000000}" name="Y: аудитория + рынок" dataDxfId="7"/>
    <tableColumn id="5" xr3:uid="{00000000-0010-0000-0500-000005000000}" name="Взвешенный балл" dataDxfId="6"/>
    <tableColumn id="6" xr3:uid="{00000000-0010-0000-0500-000006000000}" name="Итоговый уровень" dataDxfId="5"/>
    <tableColumn id="7" xr3:uid="{00000000-0010-0000-0500-000007000000}" name="Зона карты" dataDxfId="4"/>
    <tableColumn id="8" xr3:uid="{00000000-0010-0000-0500-000008000000}" name="Комментарий" dataDxfId="3"/>
    <tableColumn id="9" xr3:uid="{00000000-0010-0000-0500-000009000000}" name="Доказательства" dataDxfId="2"/>
    <tableColumn id="10" xr3:uid="{00000000-0010-0000-0500-00000A000000}" name="Приоритет" dataDxfId="1"/>
    <tableColumn id="11" xr3:uid="{00000000-0010-0000-0500-00000B000000}" name="Статус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"/>
  <sheetViews>
    <sheetView tabSelected="1" workbookViewId="0">
      <selection sqref="A1:H1"/>
    </sheetView>
  </sheetViews>
  <sheetFormatPr defaultRowHeight="13.5"/>
  <cols>
    <col min="1" max="2" width="52.5625" customWidth="1"/>
    <col min="3" max="3" width="23.5" customWidth="1"/>
    <col min="4" max="4" width="38.1875" customWidth="1"/>
    <col min="5" max="8" width="52.5625" customWidth="1"/>
    <col min="9" max="26" width="10.5625" customWidth="1"/>
  </cols>
  <sheetData>
    <row r="1" spans="1:26" ht="20" customHeight="1">
      <c r="A1" s="25" t="s">
        <v>219</v>
      </c>
      <c r="B1" s="26"/>
      <c r="C1" s="26"/>
      <c r="D1" s="26"/>
      <c r="E1" s="26"/>
      <c r="F1" s="26"/>
      <c r="G1" s="26"/>
      <c r="H1" s="2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0</v>
      </c>
      <c r="B2" s="3" t="s">
        <v>1</v>
      </c>
      <c r="C2" s="3" t="s">
        <v>506</v>
      </c>
      <c r="D2" s="3" t="s">
        <v>2</v>
      </c>
      <c r="E2" s="3" t="s">
        <v>3</v>
      </c>
      <c r="F2" s="3" t="s">
        <v>4</v>
      </c>
      <c r="G2" s="3" t="s">
        <v>5</v>
      </c>
      <c r="H2" s="10" t="s">
        <v>6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2.75">
      <c r="A3" s="4" t="s">
        <v>7</v>
      </c>
      <c r="B3" s="4" t="s">
        <v>8</v>
      </c>
      <c r="C3" s="7" t="s">
        <v>9</v>
      </c>
      <c r="D3" s="7" t="s">
        <v>10</v>
      </c>
      <c r="E3" s="4" t="s">
        <v>11</v>
      </c>
      <c r="F3" s="4" t="s">
        <v>12</v>
      </c>
      <c r="G3" s="4" t="s">
        <v>13</v>
      </c>
      <c r="H3" s="11" t="s">
        <v>14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15</v>
      </c>
      <c r="B4" s="4" t="s">
        <v>507</v>
      </c>
      <c r="C4" s="7" t="s">
        <v>16</v>
      </c>
      <c r="D4" s="7" t="s">
        <v>17</v>
      </c>
      <c r="E4" s="4" t="s">
        <v>18</v>
      </c>
      <c r="F4" s="4" t="s">
        <v>19</v>
      </c>
      <c r="G4" s="4" t="s">
        <v>20</v>
      </c>
      <c r="H4" s="12" t="s">
        <v>21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22</v>
      </c>
      <c r="B5" s="4" t="s">
        <v>23</v>
      </c>
      <c r="C5" s="7" t="s">
        <v>24</v>
      </c>
      <c r="D5" s="7" t="s">
        <v>25</v>
      </c>
      <c r="E5" s="4" t="s">
        <v>26</v>
      </c>
      <c r="F5" s="4" t="s">
        <v>27</v>
      </c>
      <c r="G5" s="4" t="s">
        <v>28</v>
      </c>
      <c r="H5" s="11" t="s">
        <v>29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30</v>
      </c>
      <c r="B6" s="4" t="s">
        <v>31</v>
      </c>
      <c r="C6" s="7" t="s">
        <v>24</v>
      </c>
      <c r="D6" s="4" t="s">
        <v>32</v>
      </c>
      <c r="E6" s="4" t="s">
        <v>33</v>
      </c>
      <c r="F6" s="4" t="s">
        <v>34</v>
      </c>
      <c r="G6" s="4" t="s">
        <v>35</v>
      </c>
      <c r="H6" s="11" t="s">
        <v>36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37</v>
      </c>
      <c r="B7" s="4" t="s">
        <v>38</v>
      </c>
      <c r="C7" s="7" t="s">
        <v>24</v>
      </c>
      <c r="D7" s="7" t="s">
        <v>39</v>
      </c>
      <c r="E7" s="4" t="s">
        <v>40</v>
      </c>
      <c r="F7" s="4" t="s">
        <v>41</v>
      </c>
      <c r="G7" s="4" t="s">
        <v>508</v>
      </c>
      <c r="H7" s="11" t="s">
        <v>42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4" t="s">
        <v>43</v>
      </c>
      <c r="B8" s="4" t="s">
        <v>44</v>
      </c>
      <c r="C8" s="7" t="s">
        <v>45</v>
      </c>
      <c r="D8" s="4" t="s">
        <v>46</v>
      </c>
      <c r="E8" s="4" t="s">
        <v>47</v>
      </c>
      <c r="F8" s="4" t="s">
        <v>48</v>
      </c>
      <c r="G8" s="4" t="s">
        <v>49</v>
      </c>
      <c r="H8" s="11" t="s">
        <v>50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13" t="s">
        <v>51</v>
      </c>
      <c r="B9" s="27" t="s">
        <v>52</v>
      </c>
      <c r="C9" s="27"/>
      <c r="D9" s="27"/>
      <c r="E9" s="27"/>
      <c r="F9" s="27"/>
      <c r="G9" s="27"/>
      <c r="H9" s="28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57">
      <c r="A10" s="4" t="s">
        <v>53</v>
      </c>
      <c r="B10" s="4" t="s">
        <v>509</v>
      </c>
      <c r="C10" s="7" t="s">
        <v>332</v>
      </c>
      <c r="D10" s="7" t="s">
        <v>332</v>
      </c>
      <c r="E10" s="7" t="s">
        <v>332</v>
      </c>
      <c r="F10" s="7" t="s">
        <v>332</v>
      </c>
      <c r="G10" s="7" t="s">
        <v>332</v>
      </c>
      <c r="H10" s="12" t="s">
        <v>332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42.75">
      <c r="A11" s="4" t="s">
        <v>510</v>
      </c>
      <c r="B11" s="4" t="s">
        <v>54</v>
      </c>
      <c r="C11" s="7" t="s">
        <v>332</v>
      </c>
      <c r="D11" s="7" t="s">
        <v>332</v>
      </c>
      <c r="E11" s="7" t="s">
        <v>332</v>
      </c>
      <c r="F11" s="7" t="s">
        <v>332</v>
      </c>
      <c r="G11" s="7" t="s">
        <v>332</v>
      </c>
      <c r="H11" s="12" t="s">
        <v>332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4" t="s">
        <v>55</v>
      </c>
      <c r="B12" s="4" t="s">
        <v>56</v>
      </c>
      <c r="C12" s="7" t="s">
        <v>332</v>
      </c>
      <c r="D12" s="7" t="s">
        <v>332</v>
      </c>
      <c r="E12" s="7" t="s">
        <v>332</v>
      </c>
      <c r="F12" s="7" t="s">
        <v>332</v>
      </c>
      <c r="G12" s="7" t="s">
        <v>332</v>
      </c>
      <c r="H12" s="12" t="s">
        <v>332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42.75">
      <c r="A13" s="4" t="s">
        <v>57</v>
      </c>
      <c r="B13" s="4" t="s">
        <v>511</v>
      </c>
      <c r="C13" s="7" t="s">
        <v>332</v>
      </c>
      <c r="D13" s="7" t="s">
        <v>332</v>
      </c>
      <c r="E13" s="7" t="s">
        <v>332</v>
      </c>
      <c r="F13" s="7" t="s">
        <v>332</v>
      </c>
      <c r="G13" s="7" t="s">
        <v>332</v>
      </c>
      <c r="H13" s="12" t="s">
        <v>332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28.5">
      <c r="A14" s="5" t="s">
        <v>58</v>
      </c>
      <c r="B14" s="5" t="s">
        <v>59</v>
      </c>
      <c r="C14" s="8" t="s">
        <v>332</v>
      </c>
      <c r="D14" s="8" t="s">
        <v>332</v>
      </c>
      <c r="E14" s="8" t="s">
        <v>332</v>
      </c>
      <c r="F14" s="8" t="s">
        <v>332</v>
      </c>
      <c r="G14" s="8" t="s">
        <v>332</v>
      </c>
      <c r="H14" s="9" t="s">
        <v>332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</sheetData>
  <mergeCells count="2">
    <mergeCell ref="A1:H1"/>
    <mergeCell ref="B9:H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2"/>
  <sheetViews>
    <sheetView workbookViewId="0"/>
  </sheetViews>
  <sheetFormatPr defaultRowHeight="13.5"/>
  <cols>
    <col min="1" max="1" width="10.5625" customWidth="1"/>
    <col min="2" max="2" width="25.625" customWidth="1"/>
    <col min="3" max="3" width="40.3125" customWidth="1"/>
    <col min="4" max="4" width="23.5" customWidth="1"/>
    <col min="5" max="5" width="34" customWidth="1"/>
    <col min="6" max="6" width="50.8125" customWidth="1"/>
    <col min="7" max="7" width="45.5625" customWidth="1"/>
    <col min="8" max="8" width="31.9375" customWidth="1"/>
    <col min="9" max="9" width="13" customWidth="1"/>
    <col min="10" max="10" width="18.25" customWidth="1"/>
    <col min="11" max="11" width="16.1875" customWidth="1"/>
    <col min="12" max="12" width="19.3125" customWidth="1"/>
    <col min="13" max="13" width="15.125" customWidth="1"/>
    <col min="14" max="26" width="10.5625" customWidth="1"/>
  </cols>
  <sheetData>
    <row r="1" spans="1:26" ht="20" customHeight="1">
      <c r="A1" s="29" t="s">
        <v>60</v>
      </c>
      <c r="B1" s="30" t="s">
        <v>60</v>
      </c>
      <c r="C1" s="30" t="s">
        <v>60</v>
      </c>
      <c r="D1" s="30" t="s">
        <v>60</v>
      </c>
      <c r="E1" s="30" t="s">
        <v>60</v>
      </c>
      <c r="F1" s="30" t="s">
        <v>60</v>
      </c>
      <c r="G1" s="30" t="s">
        <v>60</v>
      </c>
      <c r="H1" s="30" t="s">
        <v>60</v>
      </c>
      <c r="I1" s="30" t="s">
        <v>60</v>
      </c>
      <c r="J1" s="30" t="s">
        <v>60</v>
      </c>
      <c r="K1" s="30" t="s">
        <v>60</v>
      </c>
      <c r="L1" s="30" t="s">
        <v>60</v>
      </c>
      <c r="M1" s="31" t="s">
        <v>60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61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  <c r="G2" s="3" t="s">
        <v>67</v>
      </c>
      <c r="H2" s="3" t="s">
        <v>68</v>
      </c>
      <c r="I2" s="3" t="s">
        <v>69</v>
      </c>
      <c r="J2" s="3" t="s">
        <v>70</v>
      </c>
      <c r="K2" s="3" t="s">
        <v>71</v>
      </c>
      <c r="L2" s="3" t="s">
        <v>72</v>
      </c>
      <c r="M2" s="10" t="s">
        <v>73</v>
      </c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4" t="s">
        <v>74</v>
      </c>
      <c r="B3" s="7" t="s">
        <v>323</v>
      </c>
      <c r="C3" s="7" t="s">
        <v>324</v>
      </c>
      <c r="D3" s="7" t="s">
        <v>325</v>
      </c>
      <c r="E3" s="4" t="s">
        <v>326</v>
      </c>
      <c r="F3" s="4" t="s">
        <v>512</v>
      </c>
      <c r="G3" s="4" t="s">
        <v>327</v>
      </c>
      <c r="H3" s="7" t="s">
        <v>328</v>
      </c>
      <c r="I3" s="7" t="s">
        <v>329</v>
      </c>
      <c r="J3" s="7" t="s">
        <v>330</v>
      </c>
      <c r="K3" s="7" t="s">
        <v>331</v>
      </c>
      <c r="L3" s="14" t="s">
        <v>332</v>
      </c>
      <c r="M3" s="12" t="s">
        <v>333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75</v>
      </c>
      <c r="B4" s="7" t="s">
        <v>334</v>
      </c>
      <c r="C4" s="7" t="s">
        <v>335</v>
      </c>
      <c r="D4" s="7" t="s">
        <v>336</v>
      </c>
      <c r="E4" s="4" t="s">
        <v>326</v>
      </c>
      <c r="F4" s="4" t="s">
        <v>337</v>
      </c>
      <c r="G4" s="7" t="s">
        <v>338</v>
      </c>
      <c r="H4" s="7" t="s">
        <v>328</v>
      </c>
      <c r="I4" s="7" t="s">
        <v>329</v>
      </c>
      <c r="J4" s="7" t="s">
        <v>330</v>
      </c>
      <c r="K4" s="7" t="s">
        <v>331</v>
      </c>
      <c r="L4" s="14" t="s">
        <v>332</v>
      </c>
      <c r="M4" s="12" t="s">
        <v>333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76</v>
      </c>
      <c r="B5" s="7" t="s">
        <v>339</v>
      </c>
      <c r="C5" s="7" t="s">
        <v>340</v>
      </c>
      <c r="D5" s="7" t="s">
        <v>341</v>
      </c>
      <c r="E5" s="7" t="s">
        <v>342</v>
      </c>
      <c r="F5" s="4" t="s">
        <v>343</v>
      </c>
      <c r="G5" s="7" t="s">
        <v>344</v>
      </c>
      <c r="H5" s="7" t="s">
        <v>328</v>
      </c>
      <c r="I5" s="7" t="s">
        <v>329</v>
      </c>
      <c r="J5" s="7" t="s">
        <v>330</v>
      </c>
      <c r="K5" s="7" t="s">
        <v>331</v>
      </c>
      <c r="L5" s="14" t="s">
        <v>332</v>
      </c>
      <c r="M5" s="12" t="s">
        <v>333</v>
      </c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77</v>
      </c>
      <c r="B6" s="7" t="s">
        <v>345</v>
      </c>
      <c r="C6" s="7" t="s">
        <v>346</v>
      </c>
      <c r="D6" s="7" t="s">
        <v>347</v>
      </c>
      <c r="E6" s="7" t="s">
        <v>348</v>
      </c>
      <c r="F6" s="4" t="s">
        <v>349</v>
      </c>
      <c r="G6" s="7" t="s">
        <v>350</v>
      </c>
      <c r="H6" s="7" t="s">
        <v>328</v>
      </c>
      <c r="I6" s="7" t="s">
        <v>329</v>
      </c>
      <c r="J6" s="7" t="s">
        <v>330</v>
      </c>
      <c r="K6" s="7" t="s">
        <v>331</v>
      </c>
      <c r="L6" s="14" t="s">
        <v>332</v>
      </c>
      <c r="M6" s="12" t="s">
        <v>333</v>
      </c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78</v>
      </c>
      <c r="B7" s="7" t="s">
        <v>351</v>
      </c>
      <c r="C7" s="7" t="s">
        <v>352</v>
      </c>
      <c r="D7" s="7" t="s">
        <v>347</v>
      </c>
      <c r="E7" s="7" t="s">
        <v>353</v>
      </c>
      <c r="F7" s="7" t="s">
        <v>354</v>
      </c>
      <c r="G7" s="7" t="s">
        <v>355</v>
      </c>
      <c r="H7" s="7" t="s">
        <v>328</v>
      </c>
      <c r="I7" s="7" t="s">
        <v>329</v>
      </c>
      <c r="J7" s="7" t="s">
        <v>330</v>
      </c>
      <c r="K7" s="7" t="s">
        <v>331</v>
      </c>
      <c r="L7" s="14" t="s">
        <v>332</v>
      </c>
      <c r="M7" s="12" t="s">
        <v>333</v>
      </c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79</v>
      </c>
      <c r="B8" s="7" t="s">
        <v>356</v>
      </c>
      <c r="C8" s="7" t="s">
        <v>357</v>
      </c>
      <c r="D8" s="7" t="s">
        <v>358</v>
      </c>
      <c r="E8" s="7" t="s">
        <v>359</v>
      </c>
      <c r="F8" s="7" t="s">
        <v>360</v>
      </c>
      <c r="G8" s="4" t="s">
        <v>361</v>
      </c>
      <c r="H8" s="7" t="s">
        <v>328</v>
      </c>
      <c r="I8" s="7" t="s">
        <v>329</v>
      </c>
      <c r="J8" s="7" t="s">
        <v>330</v>
      </c>
      <c r="K8" s="7" t="s">
        <v>331</v>
      </c>
      <c r="L8" s="14" t="s">
        <v>332</v>
      </c>
      <c r="M8" s="12" t="s">
        <v>333</v>
      </c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80</v>
      </c>
      <c r="B9" s="7" t="s">
        <v>362</v>
      </c>
      <c r="C9" s="7" t="s">
        <v>363</v>
      </c>
      <c r="D9" s="7" t="s">
        <v>325</v>
      </c>
      <c r="E9" s="7" t="s">
        <v>364</v>
      </c>
      <c r="F9" s="4" t="s">
        <v>365</v>
      </c>
      <c r="G9" s="7" t="s">
        <v>366</v>
      </c>
      <c r="H9" s="7" t="s">
        <v>328</v>
      </c>
      <c r="I9" s="7" t="s">
        <v>329</v>
      </c>
      <c r="J9" s="7" t="s">
        <v>330</v>
      </c>
      <c r="K9" s="7" t="s">
        <v>331</v>
      </c>
      <c r="L9" s="14" t="s">
        <v>332</v>
      </c>
      <c r="M9" s="12" t="s">
        <v>333</v>
      </c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81</v>
      </c>
      <c r="B10" s="7" t="s">
        <v>367</v>
      </c>
      <c r="C10" s="7" t="s">
        <v>368</v>
      </c>
      <c r="D10" s="7" t="s">
        <v>369</v>
      </c>
      <c r="E10" s="7" t="s">
        <v>370</v>
      </c>
      <c r="F10" s="4" t="s">
        <v>371</v>
      </c>
      <c r="G10" s="7" t="s">
        <v>372</v>
      </c>
      <c r="H10" s="7" t="s">
        <v>328</v>
      </c>
      <c r="I10" s="7" t="s">
        <v>373</v>
      </c>
      <c r="J10" s="7" t="s">
        <v>330</v>
      </c>
      <c r="K10" s="7" t="s">
        <v>331</v>
      </c>
      <c r="L10" s="14" t="s">
        <v>332</v>
      </c>
      <c r="M10" s="12" t="s">
        <v>333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82</v>
      </c>
      <c r="B11" s="7" t="s">
        <v>374</v>
      </c>
      <c r="C11" s="7" t="s">
        <v>375</v>
      </c>
      <c r="D11" s="7" t="s">
        <v>336</v>
      </c>
      <c r="E11" s="7" t="s">
        <v>353</v>
      </c>
      <c r="F11" s="4" t="s">
        <v>376</v>
      </c>
      <c r="G11" s="7" t="s">
        <v>355</v>
      </c>
      <c r="H11" s="7" t="s">
        <v>328</v>
      </c>
      <c r="I11" s="7" t="s">
        <v>373</v>
      </c>
      <c r="J11" s="7" t="s">
        <v>330</v>
      </c>
      <c r="K11" s="7" t="s">
        <v>331</v>
      </c>
      <c r="L11" s="14" t="s">
        <v>332</v>
      </c>
      <c r="M11" s="12" t="s">
        <v>333</v>
      </c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5" t="s">
        <v>83</v>
      </c>
      <c r="B12" s="8" t="s">
        <v>377</v>
      </c>
      <c r="C12" s="5" t="s">
        <v>378</v>
      </c>
      <c r="D12" s="8" t="s">
        <v>336</v>
      </c>
      <c r="E12" s="8" t="s">
        <v>379</v>
      </c>
      <c r="F12" s="8" t="s">
        <v>380</v>
      </c>
      <c r="G12" s="5" t="s">
        <v>381</v>
      </c>
      <c r="H12" s="8" t="s">
        <v>328</v>
      </c>
      <c r="I12" s="8" t="s">
        <v>373</v>
      </c>
      <c r="J12" s="8" t="s">
        <v>330</v>
      </c>
      <c r="K12" s="8" t="s">
        <v>331</v>
      </c>
      <c r="L12" s="15" t="s">
        <v>332</v>
      </c>
      <c r="M12" s="9" t="s">
        <v>333</v>
      </c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</sheetData>
  <mergeCells count="1">
    <mergeCell ref="A1:M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100-000000000000}">
          <x14:formula1>
            <xm:f>'08_Справочники'!$A$2:$A$7</xm:f>
          </x14:formula1>
          <xm:sqref>H3:H12</xm:sqref>
        </x14:dataValidation>
        <x14:dataValidation type="list" xr:uid="{00000000-0002-0000-0100-000001000000}">
          <x14:formula1>
            <xm:f>'08_Справочники'!$C$2:$C$4</xm:f>
          </x14:formula1>
          <xm:sqref>I3:I12</xm:sqref>
        </x14:dataValidation>
        <x14:dataValidation type="list" xr:uid="{00000000-0002-0000-0100-000002000000}">
          <x14:formula1>
            <xm:f>'08_Справочники'!$B$2:$B$6</xm:f>
          </x14:formula1>
          <xm:sqref>K3:K12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7"/>
  <sheetViews>
    <sheetView workbookViewId="0"/>
  </sheetViews>
  <sheetFormatPr defaultRowHeight="13.5"/>
  <cols>
    <col min="1" max="1" width="15.125" customWidth="1"/>
    <col min="2" max="2" width="25.625" customWidth="1"/>
    <col min="3" max="3" width="22.4375" customWidth="1"/>
    <col min="4" max="5" width="52.5625" customWidth="1"/>
    <col min="6" max="6" width="26.6875" customWidth="1"/>
    <col min="7" max="7" width="20.375" customWidth="1"/>
    <col min="8" max="8" width="17.1875" customWidth="1"/>
    <col min="9" max="9" width="52.5625" customWidth="1"/>
    <col min="10" max="10" width="21.4375" customWidth="1"/>
    <col min="11" max="11" width="20.375" customWidth="1"/>
    <col min="12" max="12" width="18.25" customWidth="1"/>
    <col min="13" max="26" width="10.5625" customWidth="1"/>
  </cols>
  <sheetData>
    <row r="1" spans="1:26" ht="20" customHeight="1">
      <c r="A1" s="29" t="s">
        <v>94</v>
      </c>
      <c r="B1" s="30" t="s">
        <v>94</v>
      </c>
      <c r="C1" s="30" t="s">
        <v>94</v>
      </c>
      <c r="D1" s="30" t="s">
        <v>94</v>
      </c>
      <c r="E1" s="30" t="s">
        <v>94</v>
      </c>
      <c r="F1" s="30" t="s">
        <v>94</v>
      </c>
      <c r="G1" s="30" t="s">
        <v>94</v>
      </c>
      <c r="H1" s="30" t="s">
        <v>94</v>
      </c>
      <c r="I1" s="30" t="s">
        <v>94</v>
      </c>
      <c r="J1" s="30" t="s">
        <v>94</v>
      </c>
      <c r="K1" s="30" t="s">
        <v>94</v>
      </c>
      <c r="L1" s="31" t="s">
        <v>94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95</v>
      </c>
      <c r="B2" s="3" t="s">
        <v>62</v>
      </c>
      <c r="C2" s="3" t="s">
        <v>96</v>
      </c>
      <c r="D2" s="3" t="s">
        <v>97</v>
      </c>
      <c r="E2" s="3" t="s">
        <v>98</v>
      </c>
      <c r="F2" s="3" t="s">
        <v>99</v>
      </c>
      <c r="G2" s="3" t="s">
        <v>100</v>
      </c>
      <c r="H2" s="3" t="s">
        <v>101</v>
      </c>
      <c r="I2" s="3" t="s">
        <v>102</v>
      </c>
      <c r="J2" s="3" t="s">
        <v>103</v>
      </c>
      <c r="K2" s="3" t="s">
        <v>104</v>
      </c>
      <c r="L2" s="10" t="s">
        <v>73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4" t="s">
        <v>74</v>
      </c>
      <c r="B3" s="7" t="str">
        <f>IFERROR(INDEX('01_Компании'!$B$3:$B$12,MATCH(A3,'01_Компании'!$A$3:$A$12,0)),"")</f>
        <v>PerfectXL</v>
      </c>
      <c r="C3" s="7" t="s">
        <v>382</v>
      </c>
      <c r="D3" s="7" t="s">
        <v>383</v>
      </c>
      <c r="E3" s="4" t="s">
        <v>384</v>
      </c>
      <c r="F3" s="7" t="s">
        <v>117</v>
      </c>
      <c r="G3" s="7">
        <v>4</v>
      </c>
      <c r="H3" s="14" t="s">
        <v>332</v>
      </c>
      <c r="I3" s="4" t="s">
        <v>385</v>
      </c>
      <c r="J3" s="7">
        <v>4</v>
      </c>
      <c r="K3" s="7" t="s">
        <v>332</v>
      </c>
      <c r="L3" s="12" t="s">
        <v>386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74</v>
      </c>
      <c r="B4" s="7" t="str">
        <f>IFERROR(INDEX('01_Компании'!$B$3:$B$12,MATCH(A4,'01_Компании'!$A$3:$A$12,0)),"")</f>
        <v>PerfectXL</v>
      </c>
      <c r="C4" s="7" t="s">
        <v>387</v>
      </c>
      <c r="D4" s="4" t="s">
        <v>388</v>
      </c>
      <c r="E4" s="4" t="s">
        <v>513</v>
      </c>
      <c r="F4" s="7" t="s">
        <v>317</v>
      </c>
      <c r="G4" s="7">
        <v>4</v>
      </c>
      <c r="H4" s="14" t="s">
        <v>332</v>
      </c>
      <c r="I4" s="7" t="s">
        <v>389</v>
      </c>
      <c r="J4" s="7">
        <v>5</v>
      </c>
      <c r="K4" s="7" t="s">
        <v>332</v>
      </c>
      <c r="L4" s="12" t="s">
        <v>386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75</v>
      </c>
      <c r="B5" s="7" t="str">
        <f>IFERROR(INDEX('01_Компании'!$B$3:$B$12,MATCH(A5,'01_Компании'!$A$3:$A$12,0)),"")</f>
        <v>Arixcel</v>
      </c>
      <c r="C5" s="7" t="s">
        <v>382</v>
      </c>
      <c r="D5" s="7" t="s">
        <v>390</v>
      </c>
      <c r="E5" s="4" t="s">
        <v>514</v>
      </c>
      <c r="F5" s="7" t="s">
        <v>117</v>
      </c>
      <c r="G5" s="7">
        <v>4</v>
      </c>
      <c r="H5" s="14" t="s">
        <v>332</v>
      </c>
      <c r="I5" s="4" t="s">
        <v>391</v>
      </c>
      <c r="J5" s="7">
        <v>4</v>
      </c>
      <c r="K5" s="7" t="s">
        <v>332</v>
      </c>
      <c r="L5" s="12" t="s">
        <v>386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76</v>
      </c>
      <c r="B6" s="7" t="str">
        <f>IFERROR(INDEX('01_Компании'!$B$3:$B$12,MATCH(A6,'01_Компании'!$A$3:$A$12,0)),"")</f>
        <v>Operis</v>
      </c>
      <c r="C6" s="7" t="s">
        <v>382</v>
      </c>
      <c r="D6" s="7" t="s">
        <v>392</v>
      </c>
      <c r="E6" s="4" t="s">
        <v>393</v>
      </c>
      <c r="F6" s="7" t="s">
        <v>117</v>
      </c>
      <c r="G6" s="7">
        <v>3</v>
      </c>
      <c r="H6" s="14" t="s">
        <v>332</v>
      </c>
      <c r="I6" s="4" t="s">
        <v>394</v>
      </c>
      <c r="J6" s="7">
        <v>4</v>
      </c>
      <c r="K6" s="7" t="s">
        <v>332</v>
      </c>
      <c r="L6" s="12" t="s">
        <v>386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77</v>
      </c>
      <c r="B7" s="7" t="str">
        <f>IFERROR(INDEX('01_Компании'!$B$3:$B$12,MATCH(A7,'01_Компании'!$A$3:$A$12,0)),"")</f>
        <v>Shortcut</v>
      </c>
      <c r="C7" s="7" t="s">
        <v>382</v>
      </c>
      <c r="D7" s="7" t="s">
        <v>395</v>
      </c>
      <c r="E7" s="4" t="s">
        <v>396</v>
      </c>
      <c r="F7" s="7" t="s">
        <v>117</v>
      </c>
      <c r="G7" s="7">
        <v>5</v>
      </c>
      <c r="H7" s="14" t="s">
        <v>332</v>
      </c>
      <c r="I7" s="4" t="s">
        <v>397</v>
      </c>
      <c r="J7" s="7">
        <v>5</v>
      </c>
      <c r="K7" s="7" t="s">
        <v>332</v>
      </c>
      <c r="L7" s="12" t="s">
        <v>386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77</v>
      </c>
      <c r="B8" s="7" t="str">
        <f>IFERROR(INDEX('01_Компании'!$B$3:$B$12,MATCH(A8,'01_Компании'!$A$3:$A$12,0)),"")</f>
        <v>Shortcut</v>
      </c>
      <c r="C8" s="7" t="s">
        <v>387</v>
      </c>
      <c r="D8" s="4" t="s">
        <v>398</v>
      </c>
      <c r="E8" s="4" t="s">
        <v>515</v>
      </c>
      <c r="F8" s="7" t="s">
        <v>317</v>
      </c>
      <c r="G8" s="7">
        <v>4</v>
      </c>
      <c r="H8" s="14" t="s">
        <v>332</v>
      </c>
      <c r="I8" s="7" t="s">
        <v>399</v>
      </c>
      <c r="J8" s="7">
        <v>5</v>
      </c>
      <c r="K8" s="7" t="s">
        <v>332</v>
      </c>
      <c r="L8" s="12" t="s">
        <v>386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78</v>
      </c>
      <c r="B9" s="7" t="str">
        <f>IFERROR(INDEX('01_Компании'!$B$3:$B$12,MATCH(A9,'01_Компании'!$A$3:$A$12,0)),"")</f>
        <v>Numerous.ai</v>
      </c>
      <c r="C9" s="7" t="s">
        <v>382</v>
      </c>
      <c r="D9" s="7" t="s">
        <v>400</v>
      </c>
      <c r="E9" s="4" t="s">
        <v>401</v>
      </c>
      <c r="F9" s="7" t="s">
        <v>117</v>
      </c>
      <c r="G9" s="7">
        <v>4</v>
      </c>
      <c r="H9" s="14" t="s">
        <v>332</v>
      </c>
      <c r="I9" s="4" t="s">
        <v>402</v>
      </c>
      <c r="J9" s="7">
        <v>4</v>
      </c>
      <c r="K9" s="7" t="s">
        <v>332</v>
      </c>
      <c r="L9" s="12" t="s">
        <v>386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78</v>
      </c>
      <c r="B10" s="7" t="str">
        <f>IFERROR(INDEX('01_Компании'!$B$3:$B$12,MATCH(A10,'01_Компании'!$A$3:$A$12,0)),"")</f>
        <v>Numerous.ai</v>
      </c>
      <c r="C10" s="7" t="s">
        <v>387</v>
      </c>
      <c r="D10" s="4" t="s">
        <v>403</v>
      </c>
      <c r="E10" s="4" t="s">
        <v>516</v>
      </c>
      <c r="F10" s="7" t="s">
        <v>317</v>
      </c>
      <c r="G10" s="7">
        <v>4</v>
      </c>
      <c r="H10" s="14" t="s">
        <v>332</v>
      </c>
      <c r="I10" s="7" t="s">
        <v>404</v>
      </c>
      <c r="J10" s="7">
        <v>5</v>
      </c>
      <c r="K10" s="7" t="s">
        <v>332</v>
      </c>
      <c r="L10" s="12" t="s">
        <v>386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79</v>
      </c>
      <c r="B11" s="7" t="str">
        <f>IFERROR(INDEX('01_Компании'!$B$3:$B$12,MATCH(A11,'01_Компании'!$A$3:$A$12,0)),"")</f>
        <v>Datarails</v>
      </c>
      <c r="C11" s="7" t="s">
        <v>382</v>
      </c>
      <c r="D11" s="7" t="s">
        <v>405</v>
      </c>
      <c r="E11" s="4" t="s">
        <v>406</v>
      </c>
      <c r="F11" s="7" t="s">
        <v>117</v>
      </c>
      <c r="G11" s="7">
        <v>4</v>
      </c>
      <c r="H11" s="14" t="s">
        <v>332</v>
      </c>
      <c r="I11" s="4" t="s">
        <v>407</v>
      </c>
      <c r="J11" s="7">
        <v>4</v>
      </c>
      <c r="K11" s="7" t="s">
        <v>332</v>
      </c>
      <c r="L11" s="12" t="s">
        <v>386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4" t="s">
        <v>80</v>
      </c>
      <c r="B12" s="7" t="str">
        <f>IFERROR(INDEX('01_Компании'!$B$3:$B$12,MATCH(A12,'01_Компании'!$A$3:$A$12,0)),"")</f>
        <v>DataSnipper</v>
      </c>
      <c r="C12" s="7" t="s">
        <v>382</v>
      </c>
      <c r="D12" s="7" t="s">
        <v>408</v>
      </c>
      <c r="E12" s="4" t="s">
        <v>409</v>
      </c>
      <c r="F12" s="7" t="s">
        <v>117</v>
      </c>
      <c r="G12" s="7">
        <v>4</v>
      </c>
      <c r="H12" s="14" t="s">
        <v>332</v>
      </c>
      <c r="I12" s="7" t="s">
        <v>410</v>
      </c>
      <c r="J12" s="7">
        <v>5</v>
      </c>
      <c r="K12" s="7" t="s">
        <v>332</v>
      </c>
      <c r="L12" s="12" t="s">
        <v>386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4" t="s">
        <v>77</v>
      </c>
      <c r="B13" s="7" t="str">
        <f>IFERROR(INDEX('01_Компании'!$B$3:$B$12,MATCH(A13,'01_Компании'!$A$3:$A$12,0)),"")</f>
        <v>Shortcut</v>
      </c>
      <c r="C13" s="7" t="s">
        <v>411</v>
      </c>
      <c r="D13" s="4" t="s">
        <v>412</v>
      </c>
      <c r="E13" s="7" t="s">
        <v>413</v>
      </c>
      <c r="F13" s="7" t="s">
        <v>414</v>
      </c>
      <c r="G13" s="7">
        <v>3</v>
      </c>
      <c r="H13" s="14" t="s">
        <v>332</v>
      </c>
      <c r="I13" s="7" t="s">
        <v>415</v>
      </c>
      <c r="J13" s="7">
        <v>3</v>
      </c>
      <c r="K13" s="7" t="s">
        <v>332</v>
      </c>
      <c r="L13" s="12" t="s">
        <v>386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79</v>
      </c>
      <c r="B14" s="7" t="str">
        <f>IFERROR(INDEX('01_Компании'!$B$3:$B$12,MATCH(A14,'01_Компании'!$A$3:$A$12,0)),"")</f>
        <v>Datarails</v>
      </c>
      <c r="C14" s="7" t="s">
        <v>411</v>
      </c>
      <c r="D14" s="4" t="s">
        <v>416</v>
      </c>
      <c r="E14" s="7" t="s">
        <v>417</v>
      </c>
      <c r="F14" s="7" t="s">
        <v>414</v>
      </c>
      <c r="G14" s="7">
        <v>4</v>
      </c>
      <c r="H14" s="14" t="s">
        <v>332</v>
      </c>
      <c r="I14" s="4" t="s">
        <v>418</v>
      </c>
      <c r="J14" s="7">
        <v>5</v>
      </c>
      <c r="K14" s="7" t="s">
        <v>332</v>
      </c>
      <c r="L14" s="12" t="s">
        <v>386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4" t="s">
        <v>74</v>
      </c>
      <c r="B15" s="7" t="str">
        <f>IFERROR(INDEX('01_Компании'!$B$3:$B$12,MATCH(A15,'01_Компании'!$A$3:$A$12,0)),"")</f>
        <v>PerfectXL</v>
      </c>
      <c r="C15" s="7" t="s">
        <v>411</v>
      </c>
      <c r="D15" s="4" t="s">
        <v>419</v>
      </c>
      <c r="E15" s="7" t="s">
        <v>420</v>
      </c>
      <c r="F15" s="7" t="s">
        <v>414</v>
      </c>
      <c r="G15" s="7">
        <v>3</v>
      </c>
      <c r="H15" s="14" t="s">
        <v>332</v>
      </c>
      <c r="I15" s="7" t="s">
        <v>415</v>
      </c>
      <c r="J15" s="7">
        <v>3</v>
      </c>
      <c r="K15" s="7" t="s">
        <v>332</v>
      </c>
      <c r="L15" s="12" t="s">
        <v>386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4" t="s">
        <v>75</v>
      </c>
      <c r="B16" s="7" t="str">
        <f>IFERROR(INDEX('01_Компании'!$B$3:$B$12,MATCH(A16,'01_Компании'!$A$3:$A$12,0)),"")</f>
        <v>Arixcel</v>
      </c>
      <c r="C16" s="7" t="s">
        <v>411</v>
      </c>
      <c r="D16" s="4" t="s">
        <v>421</v>
      </c>
      <c r="E16" s="4" t="s">
        <v>422</v>
      </c>
      <c r="F16" s="7" t="s">
        <v>414</v>
      </c>
      <c r="G16" s="7">
        <v>2</v>
      </c>
      <c r="H16" s="14" t="s">
        <v>332</v>
      </c>
      <c r="I16" s="7" t="s">
        <v>423</v>
      </c>
      <c r="J16" s="7">
        <v>3</v>
      </c>
      <c r="K16" s="7" t="s">
        <v>332</v>
      </c>
      <c r="L16" s="12" t="s">
        <v>386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28.5">
      <c r="A17" s="4" t="s">
        <v>76</v>
      </c>
      <c r="B17" s="7" t="str">
        <f>IFERROR(INDEX('01_Компании'!$B$3:$B$12,MATCH(A17,'01_Компании'!$A$3:$A$12,0)),"")</f>
        <v>Operis</v>
      </c>
      <c r="C17" s="7" t="s">
        <v>424</v>
      </c>
      <c r="D17" s="4" t="s">
        <v>425</v>
      </c>
      <c r="E17" s="4" t="s">
        <v>426</v>
      </c>
      <c r="F17" s="7" t="s">
        <v>427</v>
      </c>
      <c r="G17" s="7">
        <v>3</v>
      </c>
      <c r="H17" s="14" t="s">
        <v>332</v>
      </c>
      <c r="I17" s="7" t="s">
        <v>428</v>
      </c>
      <c r="J17" s="7">
        <v>3</v>
      </c>
      <c r="K17" s="7" t="s">
        <v>332</v>
      </c>
      <c r="L17" s="12" t="s">
        <v>386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4" t="s">
        <v>80</v>
      </c>
      <c r="B18" s="7" t="str">
        <f>IFERROR(INDEX('01_Компании'!$B$3:$B$12,MATCH(A18,'01_Компании'!$A$3:$A$12,0)),"")</f>
        <v>DataSnipper</v>
      </c>
      <c r="C18" s="7" t="s">
        <v>424</v>
      </c>
      <c r="D18" s="4" t="s">
        <v>425</v>
      </c>
      <c r="E18" s="4" t="s">
        <v>429</v>
      </c>
      <c r="F18" s="7" t="s">
        <v>427</v>
      </c>
      <c r="G18" s="7">
        <v>3</v>
      </c>
      <c r="H18" s="14" t="s">
        <v>332</v>
      </c>
      <c r="I18" s="4" t="s">
        <v>430</v>
      </c>
      <c r="J18" s="7">
        <v>4</v>
      </c>
      <c r="K18" s="7" t="s">
        <v>332</v>
      </c>
      <c r="L18" s="12" t="s">
        <v>386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8.5">
      <c r="A19" s="4" t="s">
        <v>80</v>
      </c>
      <c r="B19" s="7" t="str">
        <f>IFERROR(INDEX('01_Компании'!$B$3:$B$12,MATCH(A19,'01_Компании'!$A$3:$A$12,0)),"")</f>
        <v>DataSnipper</v>
      </c>
      <c r="C19" s="7" t="s">
        <v>431</v>
      </c>
      <c r="D19" s="4" t="s">
        <v>432</v>
      </c>
      <c r="E19" s="4" t="s">
        <v>433</v>
      </c>
      <c r="F19" s="7" t="s">
        <v>311</v>
      </c>
      <c r="G19" s="7">
        <v>5</v>
      </c>
      <c r="H19" s="14" t="s">
        <v>332</v>
      </c>
      <c r="I19" s="4" t="s">
        <v>434</v>
      </c>
      <c r="J19" s="7">
        <v>5</v>
      </c>
      <c r="K19" s="7" t="s">
        <v>332</v>
      </c>
      <c r="L19" s="12" t="s">
        <v>386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>
      <c r="A20" s="4" t="s">
        <v>80</v>
      </c>
      <c r="B20" s="7" t="str">
        <f>IFERROR(INDEX('01_Компании'!$B$3:$B$12,MATCH(A20,'01_Компании'!$A$3:$A$12,0)),"")</f>
        <v>DataSnipper</v>
      </c>
      <c r="C20" s="7" t="s">
        <v>387</v>
      </c>
      <c r="D20" s="4" t="s">
        <v>435</v>
      </c>
      <c r="E20" s="4" t="s">
        <v>436</v>
      </c>
      <c r="F20" s="7" t="s">
        <v>317</v>
      </c>
      <c r="G20" s="7">
        <v>3</v>
      </c>
      <c r="H20" s="14" t="s">
        <v>332</v>
      </c>
      <c r="I20" s="4" t="s">
        <v>437</v>
      </c>
      <c r="J20" s="7">
        <v>4</v>
      </c>
      <c r="K20" s="7" t="s">
        <v>332</v>
      </c>
      <c r="L20" s="12" t="s">
        <v>386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8.5">
      <c r="A21" s="4" t="s">
        <v>80</v>
      </c>
      <c r="B21" s="7" t="str">
        <f>IFERROR(INDEX('01_Компании'!$B$3:$B$12,MATCH(A21,'01_Компании'!$A$3:$A$12,0)),"")</f>
        <v>DataSnipper</v>
      </c>
      <c r="C21" s="7" t="s">
        <v>438</v>
      </c>
      <c r="D21" s="4" t="s">
        <v>439</v>
      </c>
      <c r="E21" s="4" t="s">
        <v>440</v>
      </c>
      <c r="F21" s="7" t="s">
        <v>311</v>
      </c>
      <c r="G21" s="7">
        <v>4</v>
      </c>
      <c r="H21" s="14" t="s">
        <v>332</v>
      </c>
      <c r="I21" s="4" t="s">
        <v>441</v>
      </c>
      <c r="J21" s="7">
        <v>4</v>
      </c>
      <c r="K21" s="7" t="s">
        <v>332</v>
      </c>
      <c r="L21" s="12" t="s">
        <v>386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>
      <c r="A22" s="4" t="s">
        <v>80</v>
      </c>
      <c r="B22" s="7" t="str">
        <f>IFERROR(INDEX('01_Компании'!$B$3:$B$12,MATCH(A22,'01_Компании'!$A$3:$A$12,0)),"")</f>
        <v>DataSnipper</v>
      </c>
      <c r="C22" s="7" t="s">
        <v>442</v>
      </c>
      <c r="D22" s="4" t="s">
        <v>443</v>
      </c>
      <c r="E22" s="4" t="s">
        <v>444</v>
      </c>
      <c r="F22" s="7" t="s">
        <v>414</v>
      </c>
      <c r="G22" s="7">
        <v>2</v>
      </c>
      <c r="H22" s="14" t="s">
        <v>332</v>
      </c>
      <c r="I22" s="4" t="s">
        <v>445</v>
      </c>
      <c r="J22" s="7">
        <v>3</v>
      </c>
      <c r="K22" s="7" t="s">
        <v>332</v>
      </c>
      <c r="L22" s="12" t="s">
        <v>386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28.5">
      <c r="A23" s="4" t="s">
        <v>79</v>
      </c>
      <c r="B23" s="7" t="str">
        <f>IFERROR(INDEX('01_Компании'!$B$3:$B$12,MATCH(A23,'01_Компании'!$A$3:$A$12,0)),"")</f>
        <v>Datarails</v>
      </c>
      <c r="C23" s="7" t="s">
        <v>387</v>
      </c>
      <c r="D23" s="4" t="s">
        <v>446</v>
      </c>
      <c r="E23" s="4" t="s">
        <v>447</v>
      </c>
      <c r="F23" s="7" t="s">
        <v>317</v>
      </c>
      <c r="G23" s="7">
        <v>4</v>
      </c>
      <c r="H23" s="14" t="s">
        <v>332</v>
      </c>
      <c r="I23" s="4" t="s">
        <v>448</v>
      </c>
      <c r="J23" s="7">
        <v>4</v>
      </c>
      <c r="K23" s="7" t="s">
        <v>332</v>
      </c>
      <c r="L23" s="12" t="s">
        <v>386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28.5">
      <c r="A24" s="4" t="s">
        <v>79</v>
      </c>
      <c r="B24" s="7" t="str">
        <f>IFERROR(INDEX('01_Компании'!$B$3:$B$12,MATCH(A24,'01_Компании'!$A$3:$A$12,0)),"")</f>
        <v>Datarails</v>
      </c>
      <c r="C24" s="7" t="s">
        <v>449</v>
      </c>
      <c r="D24" s="4" t="s">
        <v>450</v>
      </c>
      <c r="E24" s="4" t="s">
        <v>451</v>
      </c>
      <c r="F24" s="7" t="s">
        <v>311</v>
      </c>
      <c r="G24" s="7">
        <v>4</v>
      </c>
      <c r="H24" s="14" t="s">
        <v>332</v>
      </c>
      <c r="I24" s="7" t="s">
        <v>452</v>
      </c>
      <c r="J24" s="7">
        <v>5</v>
      </c>
      <c r="K24" s="7" t="s">
        <v>332</v>
      </c>
      <c r="L24" s="12" t="s">
        <v>386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28.5">
      <c r="A25" s="4" t="s">
        <v>79</v>
      </c>
      <c r="B25" s="7" t="str">
        <f>IFERROR(INDEX('01_Компании'!$B$3:$B$12,MATCH(A25,'01_Компании'!$A$3:$A$12,0)),"")</f>
        <v>Datarails</v>
      </c>
      <c r="C25" s="7" t="s">
        <v>438</v>
      </c>
      <c r="D25" s="4" t="s">
        <v>453</v>
      </c>
      <c r="E25" s="4" t="s">
        <v>454</v>
      </c>
      <c r="F25" s="7" t="s">
        <v>311</v>
      </c>
      <c r="G25" s="7">
        <v>4</v>
      </c>
      <c r="H25" s="14" t="s">
        <v>332</v>
      </c>
      <c r="I25" s="4" t="s">
        <v>455</v>
      </c>
      <c r="J25" s="7">
        <v>4</v>
      </c>
      <c r="K25" s="7" t="s">
        <v>332</v>
      </c>
      <c r="L25" s="12" t="s">
        <v>386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>
      <c r="A26" s="4" t="s">
        <v>79</v>
      </c>
      <c r="B26" s="7" t="str">
        <f>IFERROR(INDEX('01_Компании'!$B$3:$B$12,MATCH(A26,'01_Компании'!$A$3:$A$12,0)),"")</f>
        <v>Datarails</v>
      </c>
      <c r="C26" s="7" t="s">
        <v>442</v>
      </c>
      <c r="D26" s="4" t="s">
        <v>456</v>
      </c>
      <c r="E26" s="7" t="s">
        <v>457</v>
      </c>
      <c r="F26" s="7" t="s">
        <v>414</v>
      </c>
      <c r="G26" s="7">
        <v>4</v>
      </c>
      <c r="H26" s="14" t="s">
        <v>332</v>
      </c>
      <c r="I26" s="4" t="s">
        <v>445</v>
      </c>
      <c r="J26" s="7">
        <v>5</v>
      </c>
      <c r="K26" s="7" t="s">
        <v>332</v>
      </c>
      <c r="L26" s="12" t="s">
        <v>386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28.5">
      <c r="A27" s="4" t="s">
        <v>75</v>
      </c>
      <c r="B27" s="7" t="str">
        <f>IFERROR(INDEX('01_Компании'!$B$3:$B$12,MATCH(A27,'01_Компании'!$A$3:$A$12,0)),"")</f>
        <v>Arixcel</v>
      </c>
      <c r="C27" s="7" t="s">
        <v>458</v>
      </c>
      <c r="D27" s="4" t="s">
        <v>459</v>
      </c>
      <c r="E27" s="4" t="s">
        <v>517</v>
      </c>
      <c r="F27" s="7" t="s">
        <v>311</v>
      </c>
      <c r="G27" s="7">
        <v>5</v>
      </c>
      <c r="H27" s="14" t="s">
        <v>332</v>
      </c>
      <c r="I27" s="4" t="s">
        <v>460</v>
      </c>
      <c r="J27" s="7">
        <v>5</v>
      </c>
      <c r="K27" s="7" t="s">
        <v>332</v>
      </c>
      <c r="L27" s="12" t="s">
        <v>386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28.5">
      <c r="A28" s="4" t="s">
        <v>76</v>
      </c>
      <c r="B28" s="7" t="str">
        <f>IFERROR(INDEX('01_Компании'!$B$3:$B$12,MATCH(A28,'01_Компании'!$A$3:$A$12,0)),"")</f>
        <v>Operis</v>
      </c>
      <c r="C28" s="7" t="s">
        <v>461</v>
      </c>
      <c r="D28" s="4" t="s">
        <v>462</v>
      </c>
      <c r="E28" s="4" t="s">
        <v>518</v>
      </c>
      <c r="F28" s="7" t="s">
        <v>317</v>
      </c>
      <c r="G28" s="7">
        <v>4</v>
      </c>
      <c r="H28" s="14" t="s">
        <v>332</v>
      </c>
      <c r="I28" s="4" t="s">
        <v>463</v>
      </c>
      <c r="J28" s="7">
        <v>5</v>
      </c>
      <c r="K28" s="7" t="s">
        <v>332</v>
      </c>
      <c r="L28" s="12" t="s">
        <v>386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28.5">
      <c r="A29" s="4" t="s">
        <v>77</v>
      </c>
      <c r="B29" s="7" t="str">
        <f>IFERROR(INDEX('01_Компании'!$B$3:$B$12,MATCH(A29,'01_Компании'!$A$3:$A$12,0)),"")</f>
        <v>Shortcut</v>
      </c>
      <c r="C29" s="7" t="s">
        <v>431</v>
      </c>
      <c r="D29" s="7" t="s">
        <v>464</v>
      </c>
      <c r="E29" s="4" t="s">
        <v>465</v>
      </c>
      <c r="F29" s="7" t="s">
        <v>311</v>
      </c>
      <c r="G29" s="7">
        <v>5</v>
      </c>
      <c r="H29" s="14" t="s">
        <v>332</v>
      </c>
      <c r="I29" s="4" t="s">
        <v>466</v>
      </c>
      <c r="J29" s="7">
        <v>5</v>
      </c>
      <c r="K29" s="7" t="s">
        <v>332</v>
      </c>
      <c r="L29" s="12" t="s">
        <v>386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28.5">
      <c r="A30" s="4" t="s">
        <v>78</v>
      </c>
      <c r="B30" s="7" t="str">
        <f>IFERROR(INDEX('01_Компании'!$B$3:$B$12,MATCH(A30,'01_Компании'!$A$3:$A$12,0)),"")</f>
        <v>Numerous.ai</v>
      </c>
      <c r="C30" s="7" t="s">
        <v>467</v>
      </c>
      <c r="D30" s="7" t="s">
        <v>468</v>
      </c>
      <c r="E30" s="4" t="s">
        <v>519</v>
      </c>
      <c r="F30" s="7" t="s">
        <v>317</v>
      </c>
      <c r="G30" s="7">
        <v>4</v>
      </c>
      <c r="H30" s="14" t="s">
        <v>332</v>
      </c>
      <c r="I30" s="4" t="s">
        <v>469</v>
      </c>
      <c r="J30" s="7">
        <v>5</v>
      </c>
      <c r="K30" s="7" t="s">
        <v>332</v>
      </c>
      <c r="L30" s="12" t="s">
        <v>386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28.5">
      <c r="A31" s="4" t="s">
        <v>78</v>
      </c>
      <c r="B31" s="7" t="str">
        <f>IFERROR(INDEX('01_Компании'!$B$3:$B$12,MATCH(A31,'01_Компании'!$A$3:$A$12,0)),"")</f>
        <v>Numerous.ai</v>
      </c>
      <c r="C31" s="7" t="s">
        <v>470</v>
      </c>
      <c r="D31" s="7" t="s">
        <v>468</v>
      </c>
      <c r="E31" s="4" t="s">
        <v>471</v>
      </c>
      <c r="F31" s="7" t="s">
        <v>311</v>
      </c>
      <c r="G31" s="7">
        <v>4</v>
      </c>
      <c r="H31" s="14" t="s">
        <v>332</v>
      </c>
      <c r="I31" s="7" t="s">
        <v>472</v>
      </c>
      <c r="J31" s="7">
        <v>4</v>
      </c>
      <c r="K31" s="7" t="s">
        <v>332</v>
      </c>
      <c r="L31" s="12" t="s">
        <v>386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28.5">
      <c r="A32" s="4" t="s">
        <v>78</v>
      </c>
      <c r="B32" s="7" t="str">
        <f>IFERROR(INDEX('01_Компании'!$B$3:$B$12,MATCH(A32,'01_Компании'!$A$3:$A$12,0)),"")</f>
        <v>Numerous.ai</v>
      </c>
      <c r="C32" s="7" t="s">
        <v>473</v>
      </c>
      <c r="D32" s="4" t="s">
        <v>474</v>
      </c>
      <c r="E32" s="4" t="s">
        <v>475</v>
      </c>
      <c r="F32" s="7" t="s">
        <v>414</v>
      </c>
      <c r="G32" s="7">
        <v>2</v>
      </c>
      <c r="H32" s="14" t="s">
        <v>332</v>
      </c>
      <c r="I32" s="4" t="s">
        <v>476</v>
      </c>
      <c r="J32" s="7">
        <v>3</v>
      </c>
      <c r="K32" s="7" t="s">
        <v>332</v>
      </c>
      <c r="L32" s="12" t="s">
        <v>386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28.5">
      <c r="A33" s="4" t="s">
        <v>74</v>
      </c>
      <c r="B33" s="7" t="str">
        <f>IFERROR(INDEX('01_Компании'!$B$3:$B$12,MATCH(A33,'01_Компании'!$A$3:$A$12,0)),"")</f>
        <v>PerfectXL</v>
      </c>
      <c r="C33" s="7" t="s">
        <v>477</v>
      </c>
      <c r="D33" s="4" t="s">
        <v>478</v>
      </c>
      <c r="E33" s="4" t="s">
        <v>479</v>
      </c>
      <c r="F33" s="7" t="s">
        <v>311</v>
      </c>
      <c r="G33" s="7">
        <v>5</v>
      </c>
      <c r="H33" s="14" t="s">
        <v>332</v>
      </c>
      <c r="I33" s="7" t="s">
        <v>480</v>
      </c>
      <c r="J33" s="7">
        <v>5</v>
      </c>
      <c r="K33" s="7" t="s">
        <v>332</v>
      </c>
      <c r="L33" s="12" t="s">
        <v>386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28.5">
      <c r="A34" s="4" t="s">
        <v>74</v>
      </c>
      <c r="B34" s="7" t="str">
        <f>IFERROR(INDEX('01_Компании'!$B$3:$B$12,MATCH(A34,'01_Компании'!$A$3:$A$12,0)),"")</f>
        <v>PerfectXL</v>
      </c>
      <c r="C34" s="7" t="s">
        <v>481</v>
      </c>
      <c r="D34" s="4" t="s">
        <v>482</v>
      </c>
      <c r="E34" s="4" t="s">
        <v>483</v>
      </c>
      <c r="F34" s="7" t="s">
        <v>311</v>
      </c>
      <c r="G34" s="7">
        <v>3</v>
      </c>
      <c r="H34" s="14" t="s">
        <v>332</v>
      </c>
      <c r="I34" s="7" t="s">
        <v>472</v>
      </c>
      <c r="J34" s="7">
        <v>4</v>
      </c>
      <c r="K34" s="7" t="s">
        <v>332</v>
      </c>
      <c r="L34" s="12" t="s">
        <v>386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28.5">
      <c r="A35" s="4" t="s">
        <v>81</v>
      </c>
      <c r="B35" s="7" t="str">
        <f>IFERROR(INDEX('01_Компании'!$B$3:$B$12,MATCH(A35,'01_Компании'!$A$3:$A$12,0)),"")</f>
        <v>Rows</v>
      </c>
      <c r="C35" s="7" t="s">
        <v>387</v>
      </c>
      <c r="D35" s="7" t="s">
        <v>484</v>
      </c>
      <c r="E35" s="4" t="s">
        <v>520</v>
      </c>
      <c r="F35" s="7" t="s">
        <v>317</v>
      </c>
      <c r="G35" s="7">
        <v>4</v>
      </c>
      <c r="H35" s="14" t="s">
        <v>332</v>
      </c>
      <c r="I35" s="4" t="s">
        <v>485</v>
      </c>
      <c r="J35" s="7">
        <v>5</v>
      </c>
      <c r="K35" s="7" t="s">
        <v>332</v>
      </c>
      <c r="L35" s="12" t="s">
        <v>386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28.5">
      <c r="A36" s="4" t="s">
        <v>82</v>
      </c>
      <c r="B36" s="7" t="str">
        <f>IFERROR(INDEX('01_Компании'!$B$3:$B$12,MATCH(A36,'01_Компании'!$A$3:$A$12,0)),"")</f>
        <v>Formula Bot</v>
      </c>
      <c r="C36" s="7" t="s">
        <v>411</v>
      </c>
      <c r="D36" s="4" t="s">
        <v>486</v>
      </c>
      <c r="E36" s="4" t="s">
        <v>521</v>
      </c>
      <c r="F36" s="7" t="s">
        <v>311</v>
      </c>
      <c r="G36" s="7">
        <v>4</v>
      </c>
      <c r="H36" s="14" t="s">
        <v>332</v>
      </c>
      <c r="I36" s="7" t="s">
        <v>487</v>
      </c>
      <c r="J36" s="7">
        <v>4</v>
      </c>
      <c r="K36" s="7" t="s">
        <v>332</v>
      </c>
      <c r="L36" s="12" t="s">
        <v>386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>
      <c r="A37" s="5" t="s">
        <v>83</v>
      </c>
      <c r="B37" s="8" t="str">
        <f>IFERROR(INDEX('01_Компании'!$B$3:$B$12,MATCH(A37,'01_Компании'!$A$3:$A$12,0)),"")</f>
        <v>Microsoft 365 Copilot</v>
      </c>
      <c r="C37" s="8" t="s">
        <v>387</v>
      </c>
      <c r="D37" s="5" t="s">
        <v>488</v>
      </c>
      <c r="E37" s="5" t="s">
        <v>522</v>
      </c>
      <c r="F37" s="8" t="s">
        <v>317</v>
      </c>
      <c r="G37" s="8">
        <v>5</v>
      </c>
      <c r="H37" s="15" t="s">
        <v>332</v>
      </c>
      <c r="I37" s="8" t="s">
        <v>489</v>
      </c>
      <c r="J37" s="8">
        <v>5</v>
      </c>
      <c r="K37" s="8" t="s">
        <v>332</v>
      </c>
      <c r="L37" s="9" t="s">
        <v>386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</sheetData>
  <mergeCells count="1">
    <mergeCell ref="A1:L1"/>
  </mergeCells>
  <dataValidations count="1">
    <dataValidation sqref="G3:G37 J3:J37" xr:uid="{00000000-0002-0000-0200-000001000000}">
      <formula1>1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200-000000000000}">
          <x14:formula1>
            <xm:f>'08_Справочники'!$D$2:$D$8</xm:f>
          </x14:formula1>
          <xm:sqref>F3:F37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3"/>
  <sheetViews>
    <sheetView workbookViewId="0"/>
  </sheetViews>
  <sheetFormatPr defaultRowHeight="13.5"/>
  <cols>
    <col min="1" max="1" width="14.0625" customWidth="1"/>
    <col min="2" max="2" width="39.25" customWidth="1"/>
    <col min="3" max="4" width="52.5625" customWidth="1"/>
    <col min="5" max="5" width="10.5625" customWidth="1"/>
    <col min="6" max="6" width="29.8125" customWidth="1"/>
    <col min="7" max="7" width="35.0625" customWidth="1"/>
    <col min="8" max="8" width="44.5" customWidth="1"/>
    <col min="9" max="9" width="46.625" customWidth="1"/>
    <col min="10" max="10" width="38.1875" customWidth="1"/>
    <col min="11" max="26" width="10.5625" customWidth="1"/>
  </cols>
  <sheetData>
    <row r="1" spans="1:26" ht="20" customHeight="1">
      <c r="A1" s="29" t="s">
        <v>105</v>
      </c>
      <c r="B1" s="30" t="s">
        <v>105</v>
      </c>
      <c r="C1" s="30" t="s">
        <v>105</v>
      </c>
      <c r="D1" s="30" t="s">
        <v>105</v>
      </c>
      <c r="E1" s="30" t="s">
        <v>105</v>
      </c>
      <c r="F1" s="30" t="s">
        <v>105</v>
      </c>
      <c r="G1" s="30" t="s">
        <v>105</v>
      </c>
      <c r="H1" s="30" t="s">
        <v>105</v>
      </c>
      <c r="I1" s="30" t="s">
        <v>105</v>
      </c>
      <c r="J1" s="31" t="s">
        <v>105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106</v>
      </c>
      <c r="B2" s="3" t="s">
        <v>107</v>
      </c>
      <c r="C2" s="3" t="s">
        <v>108</v>
      </c>
      <c r="D2" s="3" t="s">
        <v>109</v>
      </c>
      <c r="E2" s="3" t="s">
        <v>110</v>
      </c>
      <c r="F2" s="3" t="s">
        <v>111</v>
      </c>
      <c r="G2" s="3" t="s">
        <v>112</v>
      </c>
      <c r="H2" s="3" t="s">
        <v>113</v>
      </c>
      <c r="I2" s="3" t="s">
        <v>114</v>
      </c>
      <c r="J2" s="10" t="s">
        <v>115</v>
      </c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28.5">
      <c r="A3" s="4" t="s">
        <v>116</v>
      </c>
      <c r="B3" s="7" t="s">
        <v>117</v>
      </c>
      <c r="C3" s="4" t="s">
        <v>118</v>
      </c>
      <c r="D3" s="4" t="s">
        <v>119</v>
      </c>
      <c r="E3" s="17">
        <v>20</v>
      </c>
      <c r="F3" s="7" t="s">
        <v>120</v>
      </c>
      <c r="G3" s="4" t="s">
        <v>121</v>
      </c>
      <c r="H3" s="4" t="s">
        <v>122</v>
      </c>
      <c r="I3" s="4" t="s">
        <v>123</v>
      </c>
      <c r="J3" s="12" t="s">
        <v>124</v>
      </c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125</v>
      </c>
      <c r="B4" s="7" t="s">
        <v>126</v>
      </c>
      <c r="C4" s="7" t="s">
        <v>127</v>
      </c>
      <c r="D4" s="4" t="s">
        <v>128</v>
      </c>
      <c r="E4" s="17">
        <v>15</v>
      </c>
      <c r="F4" s="7" t="s">
        <v>129</v>
      </c>
      <c r="G4" s="7" t="s">
        <v>130</v>
      </c>
      <c r="H4" s="7" t="s">
        <v>131</v>
      </c>
      <c r="I4" s="7" t="s">
        <v>132</v>
      </c>
      <c r="J4" s="12" t="s">
        <v>124</v>
      </c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8.5">
      <c r="A5" s="4" t="s">
        <v>133</v>
      </c>
      <c r="B5" s="4" t="s">
        <v>134</v>
      </c>
      <c r="C5" s="4" t="s">
        <v>135</v>
      </c>
      <c r="D5" s="4" t="s">
        <v>136</v>
      </c>
      <c r="E5" s="17">
        <v>18</v>
      </c>
      <c r="F5" s="7" t="s">
        <v>137</v>
      </c>
      <c r="G5" s="7" t="s">
        <v>138</v>
      </c>
      <c r="H5" s="4" t="s">
        <v>139</v>
      </c>
      <c r="I5" s="4" t="s">
        <v>140</v>
      </c>
      <c r="J5" s="12" t="s">
        <v>124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28.5">
      <c r="A6" s="4" t="s">
        <v>141</v>
      </c>
      <c r="B6" s="7" t="s">
        <v>142</v>
      </c>
      <c r="C6" s="4" t="s">
        <v>143</v>
      </c>
      <c r="D6" s="4" t="s">
        <v>144</v>
      </c>
      <c r="E6" s="17">
        <v>10</v>
      </c>
      <c r="F6" s="7" t="s">
        <v>145</v>
      </c>
      <c r="G6" s="7" t="s">
        <v>146</v>
      </c>
      <c r="H6" s="7" t="s">
        <v>147</v>
      </c>
      <c r="I6" s="4" t="s">
        <v>148</v>
      </c>
      <c r="J6" s="12" t="s">
        <v>149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150</v>
      </c>
      <c r="B7" s="4" t="s">
        <v>151</v>
      </c>
      <c r="C7" s="4" t="s">
        <v>152</v>
      </c>
      <c r="D7" s="4" t="s">
        <v>153</v>
      </c>
      <c r="E7" s="17">
        <v>8</v>
      </c>
      <c r="F7" s="7" t="s">
        <v>154</v>
      </c>
      <c r="G7" s="7" t="s">
        <v>155</v>
      </c>
      <c r="H7" s="7" t="s">
        <v>156</v>
      </c>
      <c r="I7" s="4" t="s">
        <v>157</v>
      </c>
      <c r="J7" s="12" t="s">
        <v>149</v>
      </c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4" t="s">
        <v>158</v>
      </c>
      <c r="B8" s="7" t="s">
        <v>159</v>
      </c>
      <c r="C8" s="4" t="s">
        <v>160</v>
      </c>
      <c r="D8" s="4" t="s">
        <v>161</v>
      </c>
      <c r="E8" s="17">
        <v>8</v>
      </c>
      <c r="F8" s="7" t="s">
        <v>162</v>
      </c>
      <c r="G8" s="7" t="s">
        <v>163</v>
      </c>
      <c r="H8" s="7" t="s">
        <v>164</v>
      </c>
      <c r="I8" s="4" t="s">
        <v>165</v>
      </c>
      <c r="J8" s="12" t="s">
        <v>149</v>
      </c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28.5">
      <c r="A9" s="4" t="s">
        <v>166</v>
      </c>
      <c r="B9" s="4" t="s">
        <v>167</v>
      </c>
      <c r="C9" s="4" t="s">
        <v>168</v>
      </c>
      <c r="D9" s="4" t="s">
        <v>169</v>
      </c>
      <c r="E9" s="17">
        <v>7</v>
      </c>
      <c r="F9" s="7" t="s">
        <v>170</v>
      </c>
      <c r="G9" s="7" t="s">
        <v>171</v>
      </c>
      <c r="H9" s="7" t="s">
        <v>172</v>
      </c>
      <c r="I9" s="7" t="s">
        <v>173</v>
      </c>
      <c r="J9" s="12" t="s">
        <v>149</v>
      </c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28.5">
      <c r="A10" s="4" t="s">
        <v>174</v>
      </c>
      <c r="B10" s="7" t="s">
        <v>175</v>
      </c>
      <c r="C10" s="4" t="s">
        <v>176</v>
      </c>
      <c r="D10" s="4" t="s">
        <v>177</v>
      </c>
      <c r="E10" s="17">
        <v>7</v>
      </c>
      <c r="F10" s="7" t="s">
        <v>178</v>
      </c>
      <c r="G10" s="7" t="s">
        <v>179</v>
      </c>
      <c r="H10" s="7" t="s">
        <v>180</v>
      </c>
      <c r="I10" s="7" t="s">
        <v>181</v>
      </c>
      <c r="J10" s="12" t="s">
        <v>149</v>
      </c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28.5">
      <c r="A11" s="4" t="s">
        <v>182</v>
      </c>
      <c r="B11" s="7" t="s">
        <v>183</v>
      </c>
      <c r="C11" s="4" t="s">
        <v>184</v>
      </c>
      <c r="D11" s="4" t="s">
        <v>185</v>
      </c>
      <c r="E11" s="17">
        <v>4</v>
      </c>
      <c r="F11" s="7" t="s">
        <v>186</v>
      </c>
      <c r="G11" s="7" t="s">
        <v>187</v>
      </c>
      <c r="H11" s="4" t="s">
        <v>188</v>
      </c>
      <c r="I11" s="4" t="s">
        <v>189</v>
      </c>
      <c r="J11" s="12" t="s">
        <v>149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28.5">
      <c r="A12" s="4" t="s">
        <v>190</v>
      </c>
      <c r="B12" s="4" t="s">
        <v>191</v>
      </c>
      <c r="C12" s="4" t="s">
        <v>192</v>
      </c>
      <c r="D12" s="4" t="s">
        <v>193</v>
      </c>
      <c r="E12" s="17">
        <v>3</v>
      </c>
      <c r="F12" s="7" t="s">
        <v>194</v>
      </c>
      <c r="G12" s="7" t="s">
        <v>195</v>
      </c>
      <c r="H12" s="7" t="s">
        <v>196</v>
      </c>
      <c r="I12" s="4" t="s">
        <v>197</v>
      </c>
      <c r="J12" s="12" t="s">
        <v>149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18" t="s">
        <v>198</v>
      </c>
      <c r="B13" s="32" t="s">
        <v>199</v>
      </c>
      <c r="C13" s="32"/>
      <c r="D13" s="32"/>
      <c r="E13" s="32"/>
      <c r="F13" s="32"/>
      <c r="G13" s="32"/>
      <c r="H13" s="32"/>
      <c r="I13" s="32"/>
      <c r="J13" s="33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</sheetData>
  <mergeCells count="2">
    <mergeCell ref="A1:J1"/>
    <mergeCell ref="B13:J1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2"/>
  <sheetViews>
    <sheetView workbookViewId="0"/>
  </sheetViews>
  <sheetFormatPr defaultRowHeight="13.5"/>
  <cols>
    <col min="1" max="1" width="10.5625" customWidth="1"/>
    <col min="2" max="2" width="25.625" customWidth="1"/>
    <col min="3" max="3" width="40.3125" customWidth="1"/>
    <col min="4" max="4" width="13" customWidth="1"/>
    <col min="5" max="5" width="16.1875" customWidth="1"/>
    <col min="6" max="6" width="19.3125" customWidth="1"/>
    <col min="7" max="7" width="15.125" customWidth="1"/>
    <col min="8" max="8" width="10.9375" customWidth="1"/>
    <col min="9" max="9" width="13" customWidth="1"/>
    <col min="10" max="10" width="16.1875" customWidth="1"/>
    <col min="11" max="11" width="18.25" customWidth="1"/>
    <col min="12" max="12" width="15.125" customWidth="1"/>
    <col min="13" max="13" width="20.375" customWidth="1"/>
    <col min="14" max="14" width="19.3125" customWidth="1"/>
    <col min="15" max="15" width="32.9375" customWidth="1"/>
    <col min="16" max="16" width="37.1875" customWidth="1"/>
    <col min="17" max="17" width="28.75" customWidth="1"/>
    <col min="18" max="18" width="37.1875" customWidth="1"/>
    <col min="19" max="19" width="31.9375" customWidth="1"/>
    <col min="20" max="21" width="52.5625" customWidth="1"/>
    <col min="22" max="22" width="17.1875" customWidth="1"/>
    <col min="23" max="26" width="10.5625" customWidth="1"/>
  </cols>
  <sheetData>
    <row r="1" spans="1:26" ht="20" customHeight="1">
      <c r="A1" s="29" t="s">
        <v>200</v>
      </c>
      <c r="B1" s="30" t="s">
        <v>200</v>
      </c>
      <c r="C1" s="30" t="s">
        <v>200</v>
      </c>
      <c r="D1" s="30" t="s">
        <v>200</v>
      </c>
      <c r="E1" s="30" t="s">
        <v>200</v>
      </c>
      <c r="F1" s="30" t="s">
        <v>200</v>
      </c>
      <c r="G1" s="30" t="s">
        <v>200</v>
      </c>
      <c r="H1" s="30" t="s">
        <v>200</v>
      </c>
      <c r="I1" s="30" t="s">
        <v>200</v>
      </c>
      <c r="J1" s="30" t="s">
        <v>200</v>
      </c>
      <c r="K1" s="30" t="s">
        <v>200</v>
      </c>
      <c r="L1" s="30" t="s">
        <v>200</v>
      </c>
      <c r="M1" s="30" t="s">
        <v>200</v>
      </c>
      <c r="N1" s="30" t="s">
        <v>200</v>
      </c>
      <c r="O1" s="30" t="s">
        <v>200</v>
      </c>
      <c r="P1" s="30" t="s">
        <v>200</v>
      </c>
      <c r="Q1" s="30" t="s">
        <v>200</v>
      </c>
      <c r="R1" s="30" t="s">
        <v>200</v>
      </c>
      <c r="S1" s="30" t="s">
        <v>200</v>
      </c>
      <c r="T1" s="30" t="s">
        <v>200</v>
      </c>
      <c r="U1" s="30" t="s">
        <v>200</v>
      </c>
      <c r="V1" s="31" t="s">
        <v>200</v>
      </c>
      <c r="W1" s="1"/>
      <c r="X1" s="1"/>
      <c r="Y1" s="1"/>
      <c r="Z1" s="1"/>
    </row>
    <row r="2" spans="1:26" ht="14.25">
      <c r="A2" s="3" t="s">
        <v>61</v>
      </c>
      <c r="B2" s="3" t="s">
        <v>62</v>
      </c>
      <c r="C2" s="3" t="s">
        <v>63</v>
      </c>
      <c r="D2" s="3" t="s">
        <v>201</v>
      </c>
      <c r="E2" s="3" t="s">
        <v>202</v>
      </c>
      <c r="F2" s="3" t="s">
        <v>203</v>
      </c>
      <c r="G2" s="3" t="s">
        <v>204</v>
      </c>
      <c r="H2" s="3" t="s">
        <v>205</v>
      </c>
      <c r="I2" s="3" t="s">
        <v>206</v>
      </c>
      <c r="J2" s="3" t="s">
        <v>207</v>
      </c>
      <c r="K2" s="3" t="s">
        <v>208</v>
      </c>
      <c r="L2" s="3" t="s">
        <v>209</v>
      </c>
      <c r="M2" s="3" t="s">
        <v>210</v>
      </c>
      <c r="N2" s="3" t="s">
        <v>211</v>
      </c>
      <c r="O2" s="3" t="s">
        <v>212</v>
      </c>
      <c r="P2" s="3" t="s">
        <v>213</v>
      </c>
      <c r="Q2" s="3" t="s">
        <v>214</v>
      </c>
      <c r="R2" s="3" t="s">
        <v>39</v>
      </c>
      <c r="S2" s="3" t="s">
        <v>215</v>
      </c>
      <c r="T2" s="3" t="s">
        <v>216</v>
      </c>
      <c r="U2" s="3" t="s">
        <v>217</v>
      </c>
      <c r="V2" s="10" t="s">
        <v>218</v>
      </c>
      <c r="W2" s="2"/>
      <c r="X2" s="2"/>
      <c r="Y2" s="2"/>
      <c r="Z2" s="2"/>
    </row>
    <row r="3" spans="1:26" ht="28.5">
      <c r="A3" s="4" t="s">
        <v>74</v>
      </c>
      <c r="B3" s="7" t="str">
        <f>IFERROR(INDEX('01_Компании'!$B$3:$B$12,MATCH(A3,'01_Компании'!$A$3:$A$12,0)),"")</f>
        <v>PerfectXL</v>
      </c>
      <c r="C3" s="7" t="str">
        <f>IFERROR(INDEX('01_Компании'!$C$3:$C$12,MATCH(A3,'01_Компании'!$A$3:$A$12,0)),"")</f>
        <v>perfectxl.com</v>
      </c>
      <c r="D3" s="7">
        <v>5</v>
      </c>
      <c r="E3" s="7">
        <v>4</v>
      </c>
      <c r="F3" s="7">
        <v>4</v>
      </c>
      <c r="G3" s="7">
        <v>5</v>
      </c>
      <c r="H3" s="7">
        <v>3</v>
      </c>
      <c r="I3" s="7">
        <v>3</v>
      </c>
      <c r="J3" s="7">
        <v>4</v>
      </c>
      <c r="K3" s="7">
        <v>4</v>
      </c>
      <c r="L3" s="7">
        <v>4</v>
      </c>
      <c r="M3" s="7">
        <v>3</v>
      </c>
      <c r="N3" s="19">
        <f>IF(COUNTA(D3:M3)=0,"",MMULT(D3:M3,'03_Критерии'!$E$3:$E$12)/SUM('03_Критерии'!$E$3:$E$12))</f>
        <v>4.1100000000000003</v>
      </c>
      <c r="O3" s="7" t="str">
        <f t="shared" ref="O3:O12" si="0">IF(N3="","",IF(COUNTA(D3:M3)&lt;6,"Недостаточно данных",IF(D3&lt;3,"Низкое совпадение задачи",IF(F3&lt;3,"Низкая товарная заменяемость","Нет"))))</f>
        <v>Нет</v>
      </c>
      <c r="P3" s="4" t="str">
        <f t="shared" ref="P3:P12" si="1">IF(N3="","",IF(O3="Недостаточно данных","Недостаточно данных",IF(OR(D3&lt;3,F3&lt;3),IF(N3&gt;=2.5,"Косвенный конкурент / заменитель",IF(N3&gt;=1.6,"Смежная или потенциальная конкуренция","Не конкурент / объект наблюдения")),IF(N3&gt;=4.2,"Прямой конкурент",IF(N3&gt;=3.4,"Близкий альтернативный конкурент",IF(N3&gt;=2.5,"Косвенный конкурент / заменитель",IF(N3&gt;=1.6,"Смежная или потенциальная конкуренция","Не конкурент / объект наблюдения")))))))</f>
        <v>Близкий альтернативный конкурент</v>
      </c>
      <c r="Q3" s="7" t="s">
        <v>332</v>
      </c>
      <c r="R3" s="4" t="str">
        <f t="shared" ref="R3:R12" si="2">IF(OR(Q3="",Q3="-"),P3,Q3)</f>
        <v>Близкий альтернативный конкурент</v>
      </c>
      <c r="S3" s="7" t="s">
        <v>331</v>
      </c>
      <c r="T3" s="4" t="s">
        <v>490</v>
      </c>
      <c r="U3" s="4" t="s">
        <v>491</v>
      </c>
      <c r="V3" s="21" t="s">
        <v>332</v>
      </c>
      <c r="W3" s="2"/>
      <c r="X3" s="2"/>
      <c r="Y3" s="2"/>
      <c r="Z3" s="2"/>
    </row>
    <row r="4" spans="1:26" ht="28.5">
      <c r="A4" s="4" t="s">
        <v>75</v>
      </c>
      <c r="B4" s="7" t="str">
        <f>IFERROR(INDEX('01_Компании'!$B$3:$B$12,MATCH(A4,'01_Компании'!$A$3:$A$12,0)),"")</f>
        <v>Arixcel</v>
      </c>
      <c r="C4" s="7" t="str">
        <f>IFERROR(INDEX('01_Компании'!$C$3:$C$12,MATCH(A4,'01_Компании'!$A$3:$A$12,0)),"")</f>
        <v>arixcel.com</v>
      </c>
      <c r="D4" s="7">
        <v>4</v>
      </c>
      <c r="E4" s="7">
        <v>4</v>
      </c>
      <c r="F4" s="7">
        <v>3</v>
      </c>
      <c r="G4" s="7">
        <v>4</v>
      </c>
      <c r="H4" s="7">
        <v>3</v>
      </c>
      <c r="I4" s="7">
        <v>2</v>
      </c>
      <c r="J4" s="7">
        <v>4</v>
      </c>
      <c r="K4" s="7">
        <v>3</v>
      </c>
      <c r="L4" s="7">
        <v>3</v>
      </c>
      <c r="M4" s="7">
        <v>3</v>
      </c>
      <c r="N4" s="19">
        <f>IF(COUNTA(D4:M4)=0,"",MMULT(D4:M4,'03_Критерии'!$E$3:$E$12)/SUM('03_Критерии'!$E$3:$E$12))</f>
        <v>3.44</v>
      </c>
      <c r="O4" s="7" t="str">
        <f t="shared" si="0"/>
        <v>Нет</v>
      </c>
      <c r="P4" s="4" t="str">
        <f t="shared" si="1"/>
        <v>Близкий альтернативный конкурент</v>
      </c>
      <c r="Q4" s="7" t="s">
        <v>332</v>
      </c>
      <c r="R4" s="4" t="str">
        <f t="shared" si="2"/>
        <v>Близкий альтернативный конкурент</v>
      </c>
      <c r="S4" s="7" t="s">
        <v>331</v>
      </c>
      <c r="T4" s="4" t="s">
        <v>492</v>
      </c>
      <c r="U4" s="4" t="s">
        <v>493</v>
      </c>
      <c r="V4" s="21" t="s">
        <v>332</v>
      </c>
      <c r="W4" s="2"/>
      <c r="X4" s="2"/>
      <c r="Y4" s="2"/>
      <c r="Z4" s="2"/>
    </row>
    <row r="5" spans="1:26" ht="28.5">
      <c r="A5" s="4" t="s">
        <v>76</v>
      </c>
      <c r="B5" s="7" t="str">
        <f>IFERROR(INDEX('01_Компании'!$B$3:$B$12,MATCH(A5,'01_Компании'!$A$3:$A$12,0)),"")</f>
        <v>Operis</v>
      </c>
      <c r="C5" s="7" t="str">
        <f>IFERROR(INDEX('01_Компании'!$C$3:$C$12,MATCH(A5,'01_Компании'!$A$3:$A$12,0)),"")</f>
        <v>operis.com</v>
      </c>
      <c r="D5" s="7">
        <v>4</v>
      </c>
      <c r="E5" s="7">
        <v>3</v>
      </c>
      <c r="F5" s="7">
        <v>3</v>
      </c>
      <c r="G5" s="7">
        <v>3</v>
      </c>
      <c r="H5" s="7">
        <v>2</v>
      </c>
      <c r="I5" s="7">
        <v>2</v>
      </c>
      <c r="J5" s="7">
        <v>3</v>
      </c>
      <c r="K5" s="7">
        <v>3</v>
      </c>
      <c r="L5" s="7">
        <v>4</v>
      </c>
      <c r="M5" s="7">
        <v>2</v>
      </c>
      <c r="N5" s="19">
        <f>IF(COUNTA(D5:M5)=0,"",MMULT(D5:M5,'03_Критерии'!$E$3:$E$12)/SUM('03_Критерии'!$E$3:$E$12))</f>
        <v>3.05</v>
      </c>
      <c r="O5" s="7" t="str">
        <f t="shared" si="0"/>
        <v>Нет</v>
      </c>
      <c r="P5" s="4" t="str">
        <f t="shared" si="1"/>
        <v>Косвенный конкурент / заменитель</v>
      </c>
      <c r="Q5" s="7" t="s">
        <v>332</v>
      </c>
      <c r="R5" s="4" t="str">
        <f t="shared" si="2"/>
        <v>Косвенный конкурент / заменитель</v>
      </c>
      <c r="S5" s="7" t="s">
        <v>331</v>
      </c>
      <c r="T5" s="4" t="s">
        <v>494</v>
      </c>
      <c r="U5" s="4" t="s">
        <v>495</v>
      </c>
      <c r="V5" s="21" t="s">
        <v>332</v>
      </c>
      <c r="W5" s="2"/>
      <c r="X5" s="2"/>
      <c r="Y5" s="2"/>
      <c r="Z5" s="2"/>
    </row>
    <row r="6" spans="1:26" ht="28.5">
      <c r="A6" s="4" t="s">
        <v>77</v>
      </c>
      <c r="B6" s="7" t="str">
        <f>IFERROR(INDEX('01_Компании'!$B$3:$B$12,MATCH(A6,'01_Компании'!$A$3:$A$12,0)),"")</f>
        <v>Shortcut</v>
      </c>
      <c r="C6" s="7" t="str">
        <f>IFERROR(INDEX('01_Компании'!$C$3:$C$12,MATCH(A6,'01_Компании'!$A$3:$A$12,0)),"")</f>
        <v>shortcut.ai</v>
      </c>
      <c r="D6" s="7">
        <v>3</v>
      </c>
      <c r="E6" s="7">
        <v>4</v>
      </c>
      <c r="F6" s="7">
        <v>3</v>
      </c>
      <c r="G6" s="7">
        <v>4</v>
      </c>
      <c r="H6" s="7">
        <v>3</v>
      </c>
      <c r="I6" s="7">
        <v>4</v>
      </c>
      <c r="J6" s="7">
        <v>4</v>
      </c>
      <c r="K6" s="7">
        <v>4</v>
      </c>
      <c r="L6" s="7">
        <v>3</v>
      </c>
      <c r="M6" s="7">
        <v>3</v>
      </c>
      <c r="N6" s="19">
        <f>IF(COUNTA(D6:M6)=0,"",MMULT(D6:M6,'03_Критерии'!$E$3:$E$12)/SUM('03_Критерии'!$E$3:$E$12))</f>
        <v>3.47</v>
      </c>
      <c r="O6" s="7" t="str">
        <f t="shared" si="0"/>
        <v>Нет</v>
      </c>
      <c r="P6" s="4" t="str">
        <f t="shared" si="1"/>
        <v>Близкий альтернативный конкурент</v>
      </c>
      <c r="Q6" s="7" t="s">
        <v>332</v>
      </c>
      <c r="R6" s="4" t="str">
        <f t="shared" si="2"/>
        <v>Близкий альтернативный конкурент</v>
      </c>
      <c r="S6" s="7" t="s">
        <v>331</v>
      </c>
      <c r="T6" s="4" t="s">
        <v>496</v>
      </c>
      <c r="U6" s="4" t="s">
        <v>497</v>
      </c>
      <c r="V6" s="21" t="s">
        <v>332</v>
      </c>
      <c r="W6" s="2"/>
      <c r="X6" s="2"/>
      <c r="Y6" s="2"/>
      <c r="Z6" s="2"/>
    </row>
    <row r="7" spans="1:26" ht="42.75">
      <c r="A7" s="4" t="s">
        <v>78</v>
      </c>
      <c r="B7" s="7" t="str">
        <f>IFERROR(INDEX('01_Компании'!$B$3:$B$12,MATCH(A7,'01_Компании'!$A$3:$A$12,0)),"")</f>
        <v>Numerous.ai</v>
      </c>
      <c r="C7" s="7" t="str">
        <f>IFERROR(INDEX('01_Компании'!$C$3:$C$12,MATCH(A7,'01_Компании'!$A$3:$A$12,0)),"")</f>
        <v>numerous.ai</v>
      </c>
      <c r="D7" s="7">
        <v>2</v>
      </c>
      <c r="E7" s="7">
        <v>2</v>
      </c>
      <c r="F7" s="7">
        <v>2</v>
      </c>
      <c r="G7" s="7">
        <v>2</v>
      </c>
      <c r="H7" s="7">
        <v>5</v>
      </c>
      <c r="I7" s="7">
        <v>4</v>
      </c>
      <c r="J7" s="7">
        <v>4</v>
      </c>
      <c r="K7" s="7">
        <v>3</v>
      </c>
      <c r="L7" s="7">
        <v>2</v>
      </c>
      <c r="M7" s="7">
        <v>2</v>
      </c>
      <c r="N7" s="19">
        <f>IF(COUNTA(D7:M7)=0,"",MMULT(D7:M7,'03_Критерии'!$E$3:$E$12)/SUM('03_Критерии'!$E$3:$E$12))</f>
        <v>2.61</v>
      </c>
      <c r="O7" s="7" t="str">
        <f t="shared" si="0"/>
        <v>Низкое совпадение задачи</v>
      </c>
      <c r="P7" s="4" t="str">
        <f t="shared" si="1"/>
        <v>Косвенный конкурент / заменитель</v>
      </c>
      <c r="Q7" s="7" t="s">
        <v>332</v>
      </c>
      <c r="R7" s="4" t="str">
        <f t="shared" si="2"/>
        <v>Косвенный конкурент / заменитель</v>
      </c>
      <c r="S7" s="7" t="s">
        <v>498</v>
      </c>
      <c r="T7" s="4" t="s">
        <v>499</v>
      </c>
      <c r="U7" s="4" t="s">
        <v>500</v>
      </c>
      <c r="V7" s="21" t="s">
        <v>332</v>
      </c>
      <c r="W7" s="2"/>
      <c r="X7" s="2"/>
      <c r="Y7" s="2"/>
      <c r="Z7" s="2"/>
    </row>
    <row r="8" spans="1:26" ht="42.75">
      <c r="A8" s="4" t="s">
        <v>79</v>
      </c>
      <c r="B8" s="7" t="str">
        <f>IFERROR(INDEX('01_Компании'!$B$3:$B$12,MATCH(A8,'01_Компании'!$A$3:$A$12,0)),"")</f>
        <v>Datarails</v>
      </c>
      <c r="C8" s="7" t="str">
        <f>IFERROR(INDEX('01_Компании'!$C$3:$C$12,MATCH(A8,'01_Компании'!$A$3:$A$12,0)),"")</f>
        <v>datarails.com</v>
      </c>
      <c r="D8" s="7">
        <v>2</v>
      </c>
      <c r="E8" s="7">
        <v>3</v>
      </c>
      <c r="F8" s="7">
        <v>2</v>
      </c>
      <c r="G8" s="7">
        <v>3</v>
      </c>
      <c r="H8" s="7">
        <v>2</v>
      </c>
      <c r="I8" s="7">
        <v>3</v>
      </c>
      <c r="J8" s="7">
        <v>4</v>
      </c>
      <c r="K8" s="7">
        <v>5</v>
      </c>
      <c r="L8" s="7">
        <v>4</v>
      </c>
      <c r="M8" s="7">
        <v>5</v>
      </c>
      <c r="N8" s="19">
        <f>IF(COUNTA(D8:M8)=0,"",MMULT(D8:M8,'03_Критерии'!$E$3:$E$12)/SUM('03_Критерии'!$E$3:$E$12))</f>
        <v>2.85</v>
      </c>
      <c r="O8" s="7" t="str">
        <f t="shared" si="0"/>
        <v>Низкое совпадение задачи</v>
      </c>
      <c r="P8" s="4" t="str">
        <f t="shared" si="1"/>
        <v>Косвенный конкурент / заменитель</v>
      </c>
      <c r="Q8" s="7" t="s">
        <v>332</v>
      </c>
      <c r="R8" s="4" t="str">
        <f t="shared" si="2"/>
        <v>Косвенный конкурент / заменитель</v>
      </c>
      <c r="S8" s="7" t="s">
        <v>498</v>
      </c>
      <c r="T8" s="4" t="s">
        <v>501</v>
      </c>
      <c r="U8" s="4" t="s">
        <v>502</v>
      </c>
      <c r="V8" s="21" t="s">
        <v>332</v>
      </c>
      <c r="W8" s="2"/>
      <c r="X8" s="2"/>
      <c r="Y8" s="2"/>
      <c r="Z8" s="2"/>
    </row>
    <row r="9" spans="1:26" ht="42.75">
      <c r="A9" s="4" t="s">
        <v>80</v>
      </c>
      <c r="B9" s="7" t="str">
        <f>IFERROR(INDEX('01_Компании'!$B$3:$B$12,MATCH(A9,'01_Компании'!$A$3:$A$12,0)),"")</f>
        <v>DataSnipper</v>
      </c>
      <c r="C9" s="7" t="str">
        <f>IFERROR(INDEX('01_Компании'!$C$3:$C$12,MATCH(A9,'01_Компании'!$A$3:$A$12,0)),"")</f>
        <v>datasnipper.com</v>
      </c>
      <c r="D9" s="7">
        <v>3</v>
      </c>
      <c r="E9" s="7">
        <v>3</v>
      </c>
      <c r="F9" s="7">
        <v>2</v>
      </c>
      <c r="G9" s="7">
        <v>3</v>
      </c>
      <c r="H9" s="7">
        <v>2</v>
      </c>
      <c r="I9" s="7">
        <v>3</v>
      </c>
      <c r="J9" s="7">
        <v>4</v>
      </c>
      <c r="K9" s="7">
        <v>5</v>
      </c>
      <c r="L9" s="7">
        <v>4</v>
      </c>
      <c r="M9" s="7">
        <v>4</v>
      </c>
      <c r="N9" s="19">
        <f>IF(COUNTA(D9:M9)=0,"",MMULT(D9:M9,'03_Критерии'!$E$3:$E$12)/SUM('03_Критерии'!$E$3:$E$12))</f>
        <v>3.02</v>
      </c>
      <c r="O9" s="7" t="str">
        <f t="shared" si="0"/>
        <v>Низкая товарная заменяемость</v>
      </c>
      <c r="P9" s="4" t="str">
        <f t="shared" si="1"/>
        <v>Косвенный конкурент / заменитель</v>
      </c>
      <c r="Q9" s="7" t="s">
        <v>332</v>
      </c>
      <c r="R9" s="4" t="str">
        <f t="shared" si="2"/>
        <v>Косвенный конкурент / заменитель</v>
      </c>
      <c r="S9" s="7" t="s">
        <v>498</v>
      </c>
      <c r="T9" s="4" t="s">
        <v>503</v>
      </c>
      <c r="U9" s="4" t="s">
        <v>504</v>
      </c>
      <c r="V9" s="21" t="s">
        <v>332</v>
      </c>
      <c r="W9" s="2"/>
      <c r="X9" s="2"/>
      <c r="Y9" s="2"/>
      <c r="Z9" s="2"/>
    </row>
    <row r="10" spans="1:26" ht="42.75">
      <c r="A10" s="4" t="s">
        <v>81</v>
      </c>
      <c r="B10" s="7" t="str">
        <f>IFERROR(INDEX('01_Компании'!$B$3:$B$12,MATCH(A10,'01_Компании'!$A$3:$A$12,0)),"")</f>
        <v>Rows</v>
      </c>
      <c r="C10" s="7" t="str">
        <f>IFERROR(INDEX('01_Компании'!$C$3:$C$12,MATCH(A10,'01_Компании'!$A$3:$A$12,0)),"")</f>
        <v>rows.com</v>
      </c>
      <c r="D10" s="7">
        <v>1</v>
      </c>
      <c r="E10" s="7">
        <v>2</v>
      </c>
      <c r="F10" s="7">
        <v>2</v>
      </c>
      <c r="G10" s="7">
        <v>2</v>
      </c>
      <c r="H10" s="7">
        <v>5</v>
      </c>
      <c r="I10" s="7">
        <v>4</v>
      </c>
      <c r="J10" s="7">
        <v>4</v>
      </c>
      <c r="K10" s="7">
        <v>4</v>
      </c>
      <c r="L10" s="7">
        <v>3</v>
      </c>
      <c r="M10" s="7">
        <v>2</v>
      </c>
      <c r="N10" s="19">
        <f>IF(COUNTA(D10:M10)=0,"",MMULT(D10:M10,'03_Критерии'!$E$3:$E$12)/SUM('03_Критерии'!$E$3:$E$12))</f>
        <v>2.52</v>
      </c>
      <c r="O10" s="7" t="str">
        <f t="shared" si="0"/>
        <v>Низкое совпадение задачи</v>
      </c>
      <c r="P10" s="4" t="str">
        <f t="shared" si="1"/>
        <v>Косвенный конкурент / заменитель</v>
      </c>
      <c r="Q10" s="7" t="s">
        <v>332</v>
      </c>
      <c r="R10" s="4" t="str">
        <f t="shared" si="2"/>
        <v>Косвенный конкурент / заменитель</v>
      </c>
      <c r="S10" s="7" t="s">
        <v>498</v>
      </c>
      <c r="T10" s="4" t="s">
        <v>499</v>
      </c>
      <c r="U10" s="7" t="s">
        <v>484</v>
      </c>
      <c r="V10" s="21" t="s">
        <v>332</v>
      </c>
      <c r="W10" s="2"/>
      <c r="X10" s="2"/>
      <c r="Y10" s="2"/>
      <c r="Z10" s="2"/>
    </row>
    <row r="11" spans="1:26" ht="42.75">
      <c r="A11" s="4" t="s">
        <v>82</v>
      </c>
      <c r="B11" s="7" t="str">
        <f>IFERROR(INDEX('01_Компании'!$B$3:$B$12,MATCH(A11,'01_Компании'!$A$3:$A$12,0)),"")</f>
        <v>Formula Bot</v>
      </c>
      <c r="C11" s="7" t="str">
        <f>IFERROR(INDEX('01_Компании'!$C$3:$C$12,MATCH(A11,'01_Компании'!$A$3:$A$12,0)),"")</f>
        <v>formulabot.com</v>
      </c>
      <c r="D11" s="7">
        <v>2</v>
      </c>
      <c r="E11" s="7">
        <v>2</v>
      </c>
      <c r="F11" s="7">
        <v>2</v>
      </c>
      <c r="G11" s="7">
        <v>2</v>
      </c>
      <c r="H11" s="7">
        <v>5</v>
      </c>
      <c r="I11" s="7">
        <v>4</v>
      </c>
      <c r="J11" s="7">
        <v>4</v>
      </c>
      <c r="K11" s="7">
        <v>3</v>
      </c>
      <c r="L11" s="7">
        <v>2</v>
      </c>
      <c r="M11" s="7">
        <v>1</v>
      </c>
      <c r="N11" s="19">
        <f>IF(COUNTA(D11:M11)=0,"",MMULT(D11:M11,'03_Критерии'!$E$3:$E$12)/SUM('03_Критерии'!$E$3:$E$12))</f>
        <v>2.58</v>
      </c>
      <c r="O11" s="7" t="str">
        <f t="shared" si="0"/>
        <v>Низкое совпадение задачи</v>
      </c>
      <c r="P11" s="4" t="str">
        <f t="shared" si="1"/>
        <v>Косвенный конкурент / заменитель</v>
      </c>
      <c r="Q11" s="7" t="s">
        <v>332</v>
      </c>
      <c r="R11" s="4" t="str">
        <f t="shared" si="2"/>
        <v>Косвенный конкурент / заменитель</v>
      </c>
      <c r="S11" s="7" t="s">
        <v>498</v>
      </c>
      <c r="T11" s="4" t="s">
        <v>499</v>
      </c>
      <c r="U11" s="4" t="s">
        <v>486</v>
      </c>
      <c r="V11" s="21" t="s">
        <v>332</v>
      </c>
      <c r="W11" s="2"/>
      <c r="X11" s="2"/>
      <c r="Y11" s="2"/>
      <c r="Z11" s="2"/>
    </row>
    <row r="12" spans="1:26" ht="28.5">
      <c r="A12" s="5" t="s">
        <v>83</v>
      </c>
      <c r="B12" s="8" t="str">
        <f>IFERROR(INDEX('01_Компании'!$B$3:$B$12,MATCH(A12,'01_Компании'!$A$3:$A$12,0)),"")</f>
        <v>Microsoft 365 Copilot</v>
      </c>
      <c r="C12" s="5" t="str">
        <f>IFERROR(INDEX('01_Компании'!$C$3:$C$12,MATCH(A12,'01_Компании'!$A$3:$A$12,0)),"")</f>
        <v>microsoft.com/microsoft-365-copilot</v>
      </c>
      <c r="D12" s="8">
        <v>3</v>
      </c>
      <c r="E12" s="8">
        <v>5</v>
      </c>
      <c r="F12" s="8">
        <v>3</v>
      </c>
      <c r="G12" s="8">
        <v>3</v>
      </c>
      <c r="H12" s="8">
        <v>3</v>
      </c>
      <c r="I12" s="8">
        <v>5</v>
      </c>
      <c r="J12" s="8">
        <v>5</v>
      </c>
      <c r="K12" s="8">
        <v>5</v>
      </c>
      <c r="L12" s="8">
        <v>5</v>
      </c>
      <c r="M12" s="8">
        <v>5</v>
      </c>
      <c r="N12" s="20">
        <f>IF(COUNTA(D12:M12)=0,"",MMULT(D12:M12,'03_Критерии'!$E$3:$E$12)/SUM('03_Критерии'!$E$3:$E$12))</f>
        <v>3.88</v>
      </c>
      <c r="O12" s="8" t="str">
        <f t="shared" si="0"/>
        <v>Нет</v>
      </c>
      <c r="P12" s="5" t="str">
        <f t="shared" si="1"/>
        <v>Близкий альтернативный конкурент</v>
      </c>
      <c r="Q12" s="8" t="s">
        <v>332</v>
      </c>
      <c r="R12" s="5" t="str">
        <f t="shared" si="2"/>
        <v>Близкий альтернативный конкурент</v>
      </c>
      <c r="S12" s="8" t="s">
        <v>331</v>
      </c>
      <c r="T12" s="5" t="s">
        <v>505</v>
      </c>
      <c r="U12" s="5" t="s">
        <v>488</v>
      </c>
      <c r="V12" s="16" t="s">
        <v>332</v>
      </c>
      <c r="W12" s="2"/>
      <c r="X12" s="2"/>
      <c r="Y12" s="2"/>
      <c r="Z12" s="2"/>
    </row>
  </sheetData>
  <mergeCells count="1">
    <mergeCell ref="A1:V1"/>
  </mergeCells>
  <dataValidations count="1">
    <dataValidation sqref="D3:M12" xr:uid="{00000000-0002-0000-0400-000000000000}">
      <formula1>0</formula1>
      <formula2>5</formula2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1000000}">
          <x14:formula1>
            <xm:f>'08_Справочники'!$A$2:$A$7</xm:f>
          </x14:formula1>
          <xm:sqref>Q3:R12</xm:sqref>
        </x14:dataValidation>
        <x14:dataValidation type="list" xr:uid="{00000000-0002-0000-0400-000003000000}">
          <x14:formula1>
            <xm:f>'08_Справочники'!$B$2:$B$6</xm:f>
          </x14:formula1>
          <xm:sqref>S3:S12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8"/>
  <sheetViews>
    <sheetView workbookViewId="0"/>
  </sheetViews>
  <sheetFormatPr defaultRowHeight="13.5"/>
  <cols>
    <col min="1" max="1" width="42.4375" customWidth="1"/>
    <col min="2" max="3" width="52.5625" customWidth="1"/>
    <col min="4" max="4" width="18.25" customWidth="1"/>
    <col min="5" max="7" width="52.5625" customWidth="1"/>
    <col min="8" max="26" width="10.5625" customWidth="1"/>
  </cols>
  <sheetData>
    <row r="1" spans="1:26" ht="20" customHeight="1">
      <c r="A1" s="29" t="s">
        <v>219</v>
      </c>
      <c r="B1" s="30" t="s">
        <v>219</v>
      </c>
      <c r="C1" s="30" t="s">
        <v>219</v>
      </c>
      <c r="D1" s="30" t="s">
        <v>219</v>
      </c>
      <c r="E1" s="30" t="s">
        <v>219</v>
      </c>
      <c r="F1" s="30" t="s">
        <v>219</v>
      </c>
      <c r="G1" s="31" t="s">
        <v>219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220</v>
      </c>
      <c r="B2" s="3" t="s">
        <v>221</v>
      </c>
      <c r="C2" s="3" t="s">
        <v>222</v>
      </c>
      <c r="D2" s="3" t="s">
        <v>223</v>
      </c>
      <c r="E2" s="3" t="s">
        <v>224</v>
      </c>
      <c r="F2" s="3" t="s">
        <v>225</v>
      </c>
      <c r="G2" s="10" t="s">
        <v>226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42.75">
      <c r="A3" s="4" t="s">
        <v>227</v>
      </c>
      <c r="B3" s="4" t="s">
        <v>228</v>
      </c>
      <c r="C3" s="4" t="s">
        <v>229</v>
      </c>
      <c r="D3" s="7" t="s">
        <v>230</v>
      </c>
      <c r="E3" s="4" t="s">
        <v>231</v>
      </c>
      <c r="F3" s="4" t="s">
        <v>232</v>
      </c>
      <c r="G3" s="11" t="s">
        <v>233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28.5">
      <c r="A4" s="4" t="s">
        <v>234</v>
      </c>
      <c r="B4" s="4" t="s">
        <v>235</v>
      </c>
      <c r="C4" s="4" t="s">
        <v>236</v>
      </c>
      <c r="D4" s="7" t="s">
        <v>237</v>
      </c>
      <c r="E4" s="4" t="s">
        <v>238</v>
      </c>
      <c r="F4" s="4" t="s">
        <v>239</v>
      </c>
      <c r="G4" s="11" t="s">
        <v>240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42.75">
      <c r="A5" s="4" t="s">
        <v>241</v>
      </c>
      <c r="B5" s="4" t="s">
        <v>242</v>
      </c>
      <c r="C5" s="4" t="s">
        <v>243</v>
      </c>
      <c r="D5" s="7" t="s">
        <v>244</v>
      </c>
      <c r="E5" s="4" t="s">
        <v>245</v>
      </c>
      <c r="F5" s="4" t="s">
        <v>246</v>
      </c>
      <c r="G5" s="11" t="s">
        <v>247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42.75">
      <c r="A6" s="4" t="s">
        <v>248</v>
      </c>
      <c r="B6" s="4" t="s">
        <v>249</v>
      </c>
      <c r="C6" s="4" t="s">
        <v>250</v>
      </c>
      <c r="D6" s="7" t="s">
        <v>251</v>
      </c>
      <c r="E6" s="4" t="s">
        <v>252</v>
      </c>
      <c r="F6" s="4" t="s">
        <v>253</v>
      </c>
      <c r="G6" s="11" t="s">
        <v>254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28.5">
      <c r="A7" s="4" t="s">
        <v>255</v>
      </c>
      <c r="B7" s="4" t="s">
        <v>256</v>
      </c>
      <c r="C7" s="4" t="s">
        <v>257</v>
      </c>
      <c r="D7" s="7" t="s">
        <v>258</v>
      </c>
      <c r="E7" s="4" t="s">
        <v>259</v>
      </c>
      <c r="F7" s="4" t="s">
        <v>260</v>
      </c>
      <c r="G7" s="11" t="s">
        <v>261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28.5">
      <c r="A8" s="5" t="s">
        <v>262</v>
      </c>
      <c r="B8" s="5" t="s">
        <v>263</v>
      </c>
      <c r="C8" s="5" t="s">
        <v>264</v>
      </c>
      <c r="D8" s="8" t="s">
        <v>265</v>
      </c>
      <c r="E8" s="5" t="s">
        <v>266</v>
      </c>
      <c r="F8" s="5" t="s">
        <v>267</v>
      </c>
      <c r="G8" s="6" t="s">
        <v>268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27"/>
  <sheetViews>
    <sheetView workbookViewId="0"/>
  </sheetViews>
  <sheetFormatPr defaultRowHeight="13.5"/>
  <cols>
    <col min="1" max="1" width="52.5625" customWidth="1"/>
    <col min="2" max="2" width="25.625" customWidth="1"/>
    <col min="3" max="3" width="40.3125" customWidth="1"/>
    <col min="4" max="4" width="52.5625" customWidth="1"/>
    <col min="5" max="5" width="37.1875" customWidth="1"/>
    <col min="6" max="6" width="52.5625" customWidth="1"/>
    <col min="7" max="26" width="10.5625" customWidth="1"/>
  </cols>
  <sheetData>
    <row r="1" spans="1:26" ht="20" customHeight="1">
      <c r="A1" s="29" t="s">
        <v>269</v>
      </c>
      <c r="B1" s="30" t="s">
        <v>269</v>
      </c>
      <c r="C1" s="34" t="s">
        <v>269</v>
      </c>
      <c r="D1" s="34" t="s">
        <v>269</v>
      </c>
      <c r="E1" s="34" t="s">
        <v>269</v>
      </c>
      <c r="F1" s="34" t="s">
        <v>269</v>
      </c>
      <c r="G1" s="34" t="s">
        <v>269</v>
      </c>
      <c r="H1" s="34" t="s">
        <v>269</v>
      </c>
      <c r="I1" s="34" t="s">
        <v>269</v>
      </c>
      <c r="J1" s="35" t="s">
        <v>269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270</v>
      </c>
      <c r="B2" s="10" t="s">
        <v>271</v>
      </c>
      <c r="C2" s="1"/>
      <c r="D2" s="1"/>
      <c r="E2" s="1"/>
      <c r="F2" s="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4" t="s">
        <v>272</v>
      </c>
      <c r="B3" s="12">
        <f>COUNTA('01_Компании'!$B$3:$B$12)</f>
        <v>10</v>
      </c>
      <c r="C3" s="1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273</v>
      </c>
      <c r="B4" s="12">
        <f>COUNT('04_Оценка'!$N$3:$N$12)</f>
        <v>10</v>
      </c>
      <c r="C4" s="1"/>
      <c r="D4" s="1"/>
      <c r="E4" s="1"/>
      <c r="F4" s="1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274</v>
      </c>
      <c r="B5" s="22">
        <f>IFERROR(AVERAGE('04_Оценка'!$N$3:$N$12),"")</f>
        <v>3.1530000000000005</v>
      </c>
      <c r="C5" s="1"/>
      <c r="D5" s="1"/>
      <c r="E5" s="1"/>
      <c r="F5" s="1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275</v>
      </c>
      <c r="B6" s="12">
        <f>COUNTIF('04_Оценка'!$R$3:$R$12,"Прямой конкурент")</f>
        <v>0</v>
      </c>
      <c r="C6" s="1"/>
      <c r="D6" s="1"/>
      <c r="E6" s="1"/>
      <c r="F6" s="1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5" t="s">
        <v>276</v>
      </c>
      <c r="B7" s="9">
        <f>COUNTIF('04_Оценка'!$R$3:$R$12,"Близкий альтернативный конкурент")</f>
        <v>4</v>
      </c>
      <c r="C7" s="1"/>
      <c r="D7" s="1"/>
      <c r="E7" s="1"/>
      <c r="F7" s="1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"/>
      <c r="B8" s="1"/>
      <c r="C8" s="1"/>
      <c r="D8" s="1"/>
      <c r="E8" s="1"/>
      <c r="F8" s="1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3" t="s">
        <v>277</v>
      </c>
      <c r="B9" s="3" t="s">
        <v>278</v>
      </c>
      <c r="C9" s="3" t="s">
        <v>279</v>
      </c>
      <c r="D9" s="10" t="s">
        <v>280</v>
      </c>
      <c r="E9" s="1"/>
      <c r="F9" s="1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227</v>
      </c>
      <c r="B10" s="7">
        <f>COUNTIF('04_Оценка'!$R$3:$R$12,A10)</f>
        <v>0</v>
      </c>
      <c r="C10" s="23">
        <f t="shared" ref="C10:C15" si="0">IFERROR(B10/SUM($B$10:$B$15),0)</f>
        <v>0</v>
      </c>
      <c r="D10" s="11" t="s">
        <v>281</v>
      </c>
      <c r="E10" s="1"/>
      <c r="F10" s="1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234</v>
      </c>
      <c r="B11" s="7">
        <f>COUNTIF('04_Оценка'!$R$3:$R$12,A11)</f>
        <v>4</v>
      </c>
      <c r="C11" s="23">
        <f t="shared" si="0"/>
        <v>0.4</v>
      </c>
      <c r="D11" s="11" t="s">
        <v>282</v>
      </c>
      <c r="E11" s="1"/>
      <c r="F11" s="1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241</v>
      </c>
      <c r="B12" s="7">
        <f>COUNTIF('04_Оценка'!$R$3:$R$12,A12)</f>
        <v>6</v>
      </c>
      <c r="C12" s="23">
        <f t="shared" si="0"/>
        <v>0.6</v>
      </c>
      <c r="D12" s="11" t="s">
        <v>283</v>
      </c>
      <c r="E12" s="1"/>
      <c r="F12" s="1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4" t="s">
        <v>248</v>
      </c>
      <c r="B13" s="7">
        <f>COUNTIF('04_Оценка'!$R$3:$R$12,A13)</f>
        <v>0</v>
      </c>
      <c r="C13" s="23">
        <f t="shared" si="0"/>
        <v>0</v>
      </c>
      <c r="D13" s="11" t="s">
        <v>284</v>
      </c>
      <c r="E13" s="1"/>
      <c r="F13" s="1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255</v>
      </c>
      <c r="B14" s="7">
        <f>COUNTIF('04_Оценка'!$R$3:$R$12,A14)</f>
        <v>0</v>
      </c>
      <c r="C14" s="23">
        <f t="shared" si="0"/>
        <v>0</v>
      </c>
      <c r="D14" s="11" t="s">
        <v>285</v>
      </c>
      <c r="E14" s="1"/>
      <c r="F14" s="1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5" t="s">
        <v>262</v>
      </c>
      <c r="B15" s="8">
        <f>COUNTIF('04_Оценка'!$R$3:$R$12,A15)</f>
        <v>0</v>
      </c>
      <c r="C15" s="24">
        <f t="shared" si="0"/>
        <v>0</v>
      </c>
      <c r="D15" s="9" t="s">
        <v>286</v>
      </c>
      <c r="E15" s="1"/>
      <c r="F15" s="1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1"/>
      <c r="B16" s="1"/>
      <c r="C16" s="1"/>
      <c r="D16" s="1"/>
      <c r="E16" s="1"/>
      <c r="F16" s="1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3" t="s">
        <v>287</v>
      </c>
      <c r="B17" s="3" t="s">
        <v>62</v>
      </c>
      <c r="C17" s="3" t="s">
        <v>63</v>
      </c>
      <c r="D17" s="3" t="s">
        <v>288</v>
      </c>
      <c r="E17" s="3" t="s">
        <v>39</v>
      </c>
      <c r="F17" s="10" t="s">
        <v>289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28.5">
      <c r="A18" s="7">
        <v>1</v>
      </c>
      <c r="B18" s="7" t="str">
        <f>IF(D18="","",INDEX('04_Оценка'!$B$3:$B$12,MATCH(D18,'04_Оценка'!$N$3:$N$12,0)))</f>
        <v>PerfectXL</v>
      </c>
      <c r="C18" s="7" t="str">
        <f>IF(D18="","",INDEX('04_Оценка'!$C$3:$C$12,MATCH(D18,'04_Оценка'!$N$3:$N$12,0)))</f>
        <v>perfectxl.com</v>
      </c>
      <c r="D18" s="19">
        <f>IFERROR(LARGE('04_Оценка'!$N$3:$N$12,A18),"")</f>
        <v>4.1100000000000003</v>
      </c>
      <c r="E18" s="4" t="str">
        <f>IF(D18="","",INDEX('04_Оценка'!$R$3:$R$12,MATCH(D18,'04_Оценка'!$N$3:$N$12,0)))</f>
        <v>Близкий альтернативный конкурент</v>
      </c>
      <c r="F18" s="11" t="str">
        <f>IF(D18="","",INDEX('04_Оценка'!$T$3:$T$12,MATCH(D18,'04_Оценка'!$N$3:$N$12,0)))</f>
        <v>наибольшее совпадение по критериям «Потребительская задача» (5) и «Сценарий использования» (5)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28.5">
      <c r="A19" s="7">
        <v>2</v>
      </c>
      <c r="B19" s="7" t="str">
        <f>IF(D19="","",INDEX('04_Оценка'!$B$3:$B$12,MATCH(D19,'04_Оценка'!$N$3:$N$12,0)))</f>
        <v>Microsoft 365 Copilot</v>
      </c>
      <c r="C19" s="4" t="str">
        <f>IF(D19="","",INDEX('04_Оценка'!$C$3:$C$12,MATCH(D19,'04_Оценка'!$N$3:$N$12,0)))</f>
        <v>microsoft.com/microsoft-365-copilot</v>
      </c>
      <c r="D19" s="19">
        <f>IFERROR(LARGE('04_Оценка'!$N$3:$N$12,A19),"")</f>
        <v>3.88</v>
      </c>
      <c r="E19" s="4" t="str">
        <f>IF(D19="","",INDEX('04_Оценка'!$R$3:$R$12,MATCH(D19,'04_Оценка'!$N$3:$N$12,0)))</f>
        <v>Близкий альтернативный конкурент</v>
      </c>
      <c r="F19" s="11" t="str">
        <f>IF(D19="","",INDEX('04_Оценка'!$T$3:$T$12,MATCH(D19,'04_Оценка'!$N$3:$N$12,0)))</f>
        <v>наибольшее совпадение по критериям «Целевая аудитория» (5) и «Каналы продаж и привлечения» (5)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28.5">
      <c r="A20" s="7">
        <v>3</v>
      </c>
      <c r="B20" s="7" t="str">
        <f>IF(D20="","",INDEX('04_Оценка'!$B$3:$B$12,MATCH(D20,'04_Оценка'!$N$3:$N$12,0)))</f>
        <v>Shortcut</v>
      </c>
      <c r="C20" s="7" t="str">
        <f>IF(D20="","",INDEX('04_Оценка'!$C$3:$C$12,MATCH(D20,'04_Оценка'!$N$3:$N$12,0)))</f>
        <v>shortcut.ai</v>
      </c>
      <c r="D20" s="19">
        <f>IFERROR(LARGE('04_Оценка'!$N$3:$N$12,A20),"")</f>
        <v>3.47</v>
      </c>
      <c r="E20" s="4" t="str">
        <f>IF(D20="","",INDEX('04_Оценка'!$R$3:$R$12,MATCH(D20,'04_Оценка'!$N$3:$N$12,0)))</f>
        <v>Близкий альтернативный конкурент</v>
      </c>
      <c r="F20" s="11" t="str">
        <f>IF(D20="","",INDEX('04_Оценка'!$T$3:$T$12,MATCH(D20,'04_Оценка'!$N$3:$N$12,0)))</f>
        <v>наибольшее совпадение по критериям «Целевая аудитория» (4) и «Сценарий использования» (4)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28.5">
      <c r="A21" s="7">
        <v>4</v>
      </c>
      <c r="B21" s="7" t="str">
        <f>IF(D21="","",INDEX('04_Оценка'!$B$3:$B$12,MATCH(D21,'04_Оценка'!$N$3:$N$12,0)))</f>
        <v>Arixcel</v>
      </c>
      <c r="C21" s="7" t="str">
        <f>IF(D21="","",INDEX('04_Оценка'!$C$3:$C$12,MATCH(D21,'04_Оценка'!$N$3:$N$12,0)))</f>
        <v>arixcel.com</v>
      </c>
      <c r="D21" s="19">
        <f>IFERROR(LARGE('04_Оценка'!$N$3:$N$12,A21),"")</f>
        <v>3.44</v>
      </c>
      <c r="E21" s="4" t="str">
        <f>IF(D21="","",INDEX('04_Оценка'!$R$3:$R$12,MATCH(D21,'04_Оценка'!$N$3:$N$12,0)))</f>
        <v>Близкий альтернативный конкурент</v>
      </c>
      <c r="F21" s="11" t="str">
        <f>IF(D21="","",INDEX('04_Оценка'!$T$3:$T$12,MATCH(D21,'04_Оценка'!$N$3:$N$12,0)))</f>
        <v>наибольшее совпадение по критериям «Потребительская задача» (4) и «Целевая аудитория» (4)</v>
      </c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28.5">
      <c r="A22" s="7">
        <v>5</v>
      </c>
      <c r="B22" s="7" t="str">
        <f>IF(D22="","",INDEX('04_Оценка'!$B$3:$B$12,MATCH(D22,'04_Оценка'!$N$3:$N$12,0)))</f>
        <v>Operis</v>
      </c>
      <c r="C22" s="7" t="str">
        <f>IF(D22="","",INDEX('04_Оценка'!$C$3:$C$12,MATCH(D22,'04_Оценка'!$N$3:$N$12,0)))</f>
        <v>operis.com</v>
      </c>
      <c r="D22" s="19">
        <f>IFERROR(LARGE('04_Оценка'!$N$3:$N$12,A22),"")</f>
        <v>3.05</v>
      </c>
      <c r="E22" s="4" t="str">
        <f>IF(D22="","",INDEX('04_Оценка'!$R$3:$R$12,MATCH(D22,'04_Оценка'!$N$3:$N$12,0)))</f>
        <v>Косвенный конкурент / заменитель</v>
      </c>
      <c r="F22" s="11" t="str">
        <f>IF(D22="","",INDEX('04_Оценка'!$T$3:$T$12,MATCH(D22,'04_Оценка'!$N$3:$N$12,0)))</f>
        <v>наибольшее совпадение по критериям «Потребительская задача» (4) и «Уровень зрелости и доверия» (4)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42.75">
      <c r="A23" s="7">
        <v>6</v>
      </c>
      <c r="B23" s="7" t="str">
        <f>IF(D23="","",INDEX('04_Оценка'!$B$3:$B$12,MATCH(D23,'04_Оценка'!$N$3:$N$12,0)))</f>
        <v>DataSnipper</v>
      </c>
      <c r="C23" s="7" t="str">
        <f>IF(D23="","",INDEX('04_Оценка'!$C$3:$C$12,MATCH(D23,'04_Оценка'!$N$3:$N$12,0)))</f>
        <v>datasnipper.com</v>
      </c>
      <c r="D23" s="19">
        <f>IFERROR(LARGE('04_Оценка'!$N$3:$N$12,A23),"")</f>
        <v>3.02</v>
      </c>
      <c r="E23" s="4" t="str">
        <f>IF(D23="","",INDEX('04_Оценка'!$R$3:$R$12,MATCH(D23,'04_Оценка'!$N$3:$N$12,0)))</f>
        <v>Косвенный конкурент / заменитель</v>
      </c>
      <c r="F23" s="11" t="str">
        <f>IF(D23="","",INDEX('04_Оценка'!$T$3:$T$12,MATCH(D23,'04_Оценка'!$N$3:$N$12,0)))</f>
        <v>наибольшее совпадение по критериям «Модель монетизации» (5) и «География, язык, регулирование» (4); ограничитель - низкая товарная заменяемость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42.75">
      <c r="A24" s="7">
        <v>7</v>
      </c>
      <c r="B24" s="7" t="str">
        <f>IF(D24="","",INDEX('04_Оценка'!$B$3:$B$12,MATCH(D24,'04_Оценка'!$N$3:$N$12,0)))</f>
        <v>Datarails</v>
      </c>
      <c r="C24" s="7" t="str">
        <f>IF(D24="","",INDEX('04_Оценка'!$C$3:$C$12,MATCH(D24,'04_Оценка'!$N$3:$N$12,0)))</f>
        <v>datarails.com</v>
      </c>
      <c r="D24" s="19">
        <f>IFERROR(LARGE('04_Оценка'!$N$3:$N$12,A24),"")</f>
        <v>2.85</v>
      </c>
      <c r="E24" s="4" t="str">
        <f>IF(D24="","",INDEX('04_Оценка'!$R$3:$R$12,MATCH(D24,'04_Оценка'!$N$3:$N$12,0)))</f>
        <v>Косвенный конкурент / заменитель</v>
      </c>
      <c r="F24" s="11" t="str">
        <f>IF(D24="","",INDEX('04_Оценка'!$T$3:$T$12,MATCH(D24,'04_Оценка'!$N$3:$N$12,0)))</f>
        <v>наибольшее совпадение по критериям «Модель монетизации» (5) и «Вероятность переключения клиента» (5); ограничитель - низкое совпадение задачи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42.75">
      <c r="A25" s="7">
        <v>8</v>
      </c>
      <c r="B25" s="7" t="str">
        <f>IF(D25="","",INDEX('04_Оценка'!$B$3:$B$12,MATCH(D25,'04_Оценка'!$N$3:$N$12,0)))</f>
        <v>Numerous.ai</v>
      </c>
      <c r="C25" s="7" t="str">
        <f>IF(D25="","",INDEX('04_Оценка'!$C$3:$C$12,MATCH(D25,'04_Оценка'!$N$3:$N$12,0)))</f>
        <v>numerous.ai</v>
      </c>
      <c r="D25" s="19">
        <f>IFERROR(LARGE('04_Оценка'!$N$3:$N$12,A25),"")</f>
        <v>2.61</v>
      </c>
      <c r="E25" s="4" t="str">
        <f>IF(D25="","",INDEX('04_Оценка'!$R$3:$R$12,MATCH(D25,'04_Оценка'!$N$3:$N$12,0)))</f>
        <v>Косвенный конкурент / заменитель</v>
      </c>
      <c r="F25" s="11" t="str">
        <f>IF(D25="","",INDEX('04_Оценка'!$T$3:$T$12,MATCH(D25,'04_Оценка'!$N$3:$N$12,0)))</f>
        <v>наибольшее совпадение по критериям «Ценовой уровень и форма оплаты» (5) и «Каналы продаж и привлечения» (4); ограничитель - низкое совпадение задачи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42.75">
      <c r="A26" s="7">
        <v>9</v>
      </c>
      <c r="B26" s="7" t="str">
        <f>IF(D26="","",INDEX('04_Оценка'!$B$3:$B$12,MATCH(D26,'04_Оценка'!$N$3:$N$12,0)))</f>
        <v>Formula Bot</v>
      </c>
      <c r="C26" s="7" t="str">
        <f>IF(D26="","",INDEX('04_Оценка'!$C$3:$C$12,MATCH(D26,'04_Оценка'!$N$3:$N$12,0)))</f>
        <v>formulabot.com</v>
      </c>
      <c r="D26" s="19">
        <f>IFERROR(LARGE('04_Оценка'!$N$3:$N$12,A26),"")</f>
        <v>2.58</v>
      </c>
      <c r="E26" s="4" t="str">
        <f>IF(D26="","",INDEX('04_Оценка'!$R$3:$R$12,MATCH(D26,'04_Оценка'!$N$3:$N$12,0)))</f>
        <v>Косвенный конкурент / заменитель</v>
      </c>
      <c r="F26" s="11" t="str">
        <f>IF(D26="","",INDEX('04_Оценка'!$T$3:$T$12,MATCH(D26,'04_Оценка'!$N$3:$N$12,0)))</f>
        <v>наибольшее совпадение по критериям «Ценовой уровень и форма оплаты» (5) и «Каналы продаж и привлечения» (4); ограничитель - низкое совпадение задачи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42.75">
      <c r="A27" s="8">
        <v>10</v>
      </c>
      <c r="B27" s="8" t="str">
        <f>IF(D27="","",INDEX('04_Оценка'!$B$3:$B$12,MATCH(D27,'04_Оценка'!$N$3:$N$12,0)))</f>
        <v>Rows</v>
      </c>
      <c r="C27" s="8" t="str">
        <f>IF(D27="","",INDEX('04_Оценка'!$C$3:$C$12,MATCH(D27,'04_Оценка'!$N$3:$N$12,0)))</f>
        <v>rows.com</v>
      </c>
      <c r="D27" s="20">
        <f>IFERROR(LARGE('04_Оценка'!$N$3:$N$12,A27),"")</f>
        <v>2.52</v>
      </c>
      <c r="E27" s="5" t="str">
        <f>IF(D27="","",INDEX('04_Оценка'!$R$3:$R$12,MATCH(D27,'04_Оценка'!$N$3:$N$12,0)))</f>
        <v>Косвенный конкурент / заменитель</v>
      </c>
      <c r="F27" s="6" t="str">
        <f>IF(D27="","",INDEX('04_Оценка'!$T$3:$T$12,MATCH(D27,'04_Оценка'!$N$3:$N$12,0)))</f>
        <v>наибольшее совпадение по критериям «Ценовой уровень и форма оплаты» (5) и «Каналы продаж и привлечения» (4); ограничитель - низкое совпадение задачи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</sheetData>
  <mergeCells count="1">
    <mergeCell ref="A1:J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22"/>
  <sheetViews>
    <sheetView workbookViewId="0"/>
  </sheetViews>
  <sheetFormatPr defaultRowHeight="13.5"/>
  <cols>
    <col min="1" max="1" width="10.5625" customWidth="1"/>
    <col min="2" max="2" width="25.625" customWidth="1"/>
    <col min="3" max="3" width="28.75" customWidth="1"/>
    <col min="4" max="4" width="24.5625" customWidth="1"/>
    <col min="5" max="5" width="19.3125" customWidth="1"/>
    <col min="6" max="6" width="37.1875" customWidth="1"/>
    <col min="7" max="7" width="27.6875" customWidth="1"/>
    <col min="8" max="8" width="15.125" customWidth="1"/>
    <col min="9" max="9" width="18.25" customWidth="1"/>
    <col min="10" max="10" width="13" customWidth="1"/>
    <col min="11" max="11" width="31.9375" customWidth="1"/>
    <col min="12" max="26" width="10.5625" customWidth="1"/>
  </cols>
  <sheetData>
    <row r="1" spans="1:26" ht="20" customHeight="1">
      <c r="A1" s="36" t="s">
        <v>290</v>
      </c>
      <c r="B1" s="37" t="s">
        <v>290</v>
      </c>
      <c r="C1" s="37" t="s">
        <v>290</v>
      </c>
      <c r="D1" s="37" t="s">
        <v>290</v>
      </c>
      <c r="E1" s="37" t="s">
        <v>290</v>
      </c>
      <c r="F1" s="37" t="s">
        <v>290</v>
      </c>
      <c r="G1" s="37" t="s">
        <v>290</v>
      </c>
      <c r="H1" s="37" t="s">
        <v>290</v>
      </c>
      <c r="I1" s="37" t="s">
        <v>290</v>
      </c>
      <c r="J1" s="37" t="s">
        <v>290</v>
      </c>
      <c r="K1" s="38" t="s">
        <v>290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3" t="s">
        <v>61</v>
      </c>
      <c r="B2" s="3" t="s">
        <v>62</v>
      </c>
      <c r="C2" s="3" t="s">
        <v>291</v>
      </c>
      <c r="D2" s="3" t="s">
        <v>292</v>
      </c>
      <c r="E2" s="3" t="s">
        <v>211</v>
      </c>
      <c r="F2" s="3" t="s">
        <v>39</v>
      </c>
      <c r="G2" s="3" t="s">
        <v>293</v>
      </c>
      <c r="H2" s="3" t="s">
        <v>73</v>
      </c>
      <c r="I2" s="3" t="s">
        <v>294</v>
      </c>
      <c r="J2" s="3" t="s">
        <v>69</v>
      </c>
      <c r="K2" s="10" t="s">
        <v>71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4" t="s">
        <v>74</v>
      </c>
      <c r="B3" s="7" t="str">
        <f>IFERROR(INDEX('04_Оценка'!$B$3:$B$12,MATCH(A3,'04_Оценка'!$A$3:$A$12,0)),"")</f>
        <v>PerfectXL</v>
      </c>
      <c r="C3" s="19">
        <f>IFERROR(AVERAGE('04_Оценка'!D3,'04_Оценка'!F3),"")</f>
        <v>4.5</v>
      </c>
      <c r="D3" s="19">
        <f>IFERROR(AVERAGE('04_Оценка'!E3,'04_Оценка'!J3),"")</f>
        <v>4</v>
      </c>
      <c r="E3" s="19">
        <f>IFERROR('04_Оценка'!N3,"")</f>
        <v>4.1100000000000003</v>
      </c>
      <c r="F3" s="4" t="str">
        <f>IFERROR('04_Оценка'!R3,"")</f>
        <v>Близкий альтернативный конкурент</v>
      </c>
      <c r="G3" s="7" t="str">
        <f t="shared" ref="G3:G12" si="0">IF(E3="","",IF(AND(C3&gt;=4,D3&gt;=4),"Ядро прямой конкуренции",IF(AND(C3&gt;=3,D3&gt;=3),"Близкая альтернатива",IF(C3&gt;=3,"Функциональный заменитель",IF(D3&gt;=3,"Аудиторное пересечение","Периферия")))))</f>
        <v>Ядро прямой конкуренции</v>
      </c>
      <c r="H3" s="7" t="s">
        <v>332</v>
      </c>
      <c r="I3" s="7" t="s">
        <v>332</v>
      </c>
      <c r="J3" s="7" t="str">
        <f>IFERROR(INDEX('01_Компании'!$I$3:$I$12,MATCH(A3,'01_Компании'!$A$3:$A$12,0)),"")</f>
        <v>высокий</v>
      </c>
      <c r="K3" s="12" t="str">
        <f>IFERROR(INDEX('04_Оценка'!$S$3:$S$12,MATCH(A3,'04_Оценка'!$A$3:$A$12,0)),"")</f>
        <v>Подтверждено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75</v>
      </c>
      <c r="B4" s="7" t="str">
        <f>IFERROR(INDEX('04_Оценка'!$B$3:$B$12,MATCH(A4,'04_Оценка'!$A$3:$A$12,0)),"")</f>
        <v>Arixcel</v>
      </c>
      <c r="C4" s="19">
        <f>IFERROR(AVERAGE('04_Оценка'!D4,'04_Оценка'!F4),"")</f>
        <v>3.5</v>
      </c>
      <c r="D4" s="19">
        <f>IFERROR(AVERAGE('04_Оценка'!E4,'04_Оценка'!J4),"")</f>
        <v>4</v>
      </c>
      <c r="E4" s="19">
        <f>IFERROR('04_Оценка'!N4,"")</f>
        <v>3.44</v>
      </c>
      <c r="F4" s="4" t="str">
        <f>IFERROR('04_Оценка'!R4,"")</f>
        <v>Близкий альтернативный конкурент</v>
      </c>
      <c r="G4" s="7" t="str">
        <f t="shared" si="0"/>
        <v>Близкая альтернатива</v>
      </c>
      <c r="H4" s="7" t="s">
        <v>332</v>
      </c>
      <c r="I4" s="7" t="s">
        <v>332</v>
      </c>
      <c r="J4" s="7" t="str">
        <f>IFERROR(INDEX('01_Компании'!$I$3:$I$12,MATCH(A4,'01_Компании'!$A$3:$A$12,0)),"")</f>
        <v>высокий</v>
      </c>
      <c r="K4" s="12" t="str">
        <f>IFERROR(INDEX('04_Оценка'!$S$3:$S$12,MATCH(A4,'04_Оценка'!$A$3:$A$12,0)),"")</f>
        <v>Подтверждено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76</v>
      </c>
      <c r="B5" s="7" t="str">
        <f>IFERROR(INDEX('04_Оценка'!$B$3:$B$12,MATCH(A5,'04_Оценка'!$A$3:$A$12,0)),"")</f>
        <v>Operis</v>
      </c>
      <c r="C5" s="19">
        <f>IFERROR(AVERAGE('04_Оценка'!D5,'04_Оценка'!F5),"")</f>
        <v>3.5</v>
      </c>
      <c r="D5" s="19">
        <f>IFERROR(AVERAGE('04_Оценка'!E5,'04_Оценка'!J5),"")</f>
        <v>3</v>
      </c>
      <c r="E5" s="19">
        <f>IFERROR('04_Оценка'!N5,"")</f>
        <v>3.05</v>
      </c>
      <c r="F5" s="4" t="str">
        <f>IFERROR('04_Оценка'!R5,"")</f>
        <v>Косвенный конкурент / заменитель</v>
      </c>
      <c r="G5" s="7" t="str">
        <f t="shared" si="0"/>
        <v>Близкая альтернатива</v>
      </c>
      <c r="H5" s="7" t="s">
        <v>332</v>
      </c>
      <c r="I5" s="7" t="s">
        <v>332</v>
      </c>
      <c r="J5" s="7" t="str">
        <f>IFERROR(INDEX('01_Компании'!$I$3:$I$12,MATCH(A5,'01_Компании'!$A$3:$A$12,0)),"")</f>
        <v>высокий</v>
      </c>
      <c r="K5" s="12" t="str">
        <f>IFERROR(INDEX('04_Оценка'!$S$3:$S$12,MATCH(A5,'04_Оценка'!$A$3:$A$12,0)),"")</f>
        <v>Подтверждено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77</v>
      </c>
      <c r="B6" s="7" t="str">
        <f>IFERROR(INDEX('04_Оценка'!$B$3:$B$12,MATCH(A6,'04_Оценка'!$A$3:$A$12,0)),"")</f>
        <v>Shortcut</v>
      </c>
      <c r="C6" s="19">
        <f>IFERROR(AVERAGE('04_Оценка'!D6,'04_Оценка'!F6),"")</f>
        <v>3</v>
      </c>
      <c r="D6" s="19">
        <f>IFERROR(AVERAGE('04_Оценка'!E6,'04_Оценка'!J6),"")</f>
        <v>4</v>
      </c>
      <c r="E6" s="19">
        <f>IFERROR('04_Оценка'!N6,"")</f>
        <v>3.47</v>
      </c>
      <c r="F6" s="4" t="str">
        <f>IFERROR('04_Оценка'!R6,"")</f>
        <v>Близкий альтернативный конкурент</v>
      </c>
      <c r="G6" s="7" t="str">
        <f t="shared" si="0"/>
        <v>Близкая альтернатива</v>
      </c>
      <c r="H6" s="7" t="s">
        <v>332</v>
      </c>
      <c r="I6" s="7" t="s">
        <v>332</v>
      </c>
      <c r="J6" s="7" t="str">
        <f>IFERROR(INDEX('01_Компании'!$I$3:$I$12,MATCH(A6,'01_Компании'!$A$3:$A$12,0)),"")</f>
        <v>высокий</v>
      </c>
      <c r="K6" s="12" t="str">
        <f>IFERROR(INDEX('04_Оценка'!$S$3:$S$12,MATCH(A6,'04_Оценка'!$A$3:$A$12,0)),"")</f>
        <v>Подтверждено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4" t="s">
        <v>78</v>
      </c>
      <c r="B7" s="7" t="str">
        <f>IFERROR(INDEX('04_Оценка'!$B$3:$B$12,MATCH(A7,'04_Оценка'!$A$3:$A$12,0)),"")</f>
        <v>Numerous.ai</v>
      </c>
      <c r="C7" s="19">
        <f>IFERROR(AVERAGE('04_Оценка'!D7,'04_Оценка'!F7),"")</f>
        <v>2</v>
      </c>
      <c r="D7" s="19">
        <f>IFERROR(AVERAGE('04_Оценка'!E7,'04_Оценка'!J7),"")</f>
        <v>3</v>
      </c>
      <c r="E7" s="19">
        <f>IFERROR('04_Оценка'!N7,"")</f>
        <v>2.61</v>
      </c>
      <c r="F7" s="4" t="str">
        <f>IFERROR('04_Оценка'!R7,"")</f>
        <v>Косвенный конкурент / заменитель</v>
      </c>
      <c r="G7" s="7" t="str">
        <f t="shared" si="0"/>
        <v>Аудиторное пересечение</v>
      </c>
      <c r="H7" s="7" t="s">
        <v>332</v>
      </c>
      <c r="I7" s="7" t="s">
        <v>332</v>
      </c>
      <c r="J7" s="7" t="str">
        <f>IFERROR(INDEX('01_Компании'!$I$3:$I$12,MATCH(A7,'01_Компании'!$A$3:$A$12,0)),"")</f>
        <v>высокий</v>
      </c>
      <c r="K7" s="12" t="str">
        <f>IFERROR(INDEX('04_Оценка'!$S$3:$S$12,MATCH(A7,'04_Оценка'!$A$3:$A$12,0)),"")</f>
        <v>Подтверждено с ограничением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4" t="s">
        <v>79</v>
      </c>
      <c r="B8" s="7" t="str">
        <f>IFERROR(INDEX('04_Оценка'!$B$3:$B$12,MATCH(A8,'04_Оценка'!$A$3:$A$12,0)),"")</f>
        <v>Datarails</v>
      </c>
      <c r="C8" s="19">
        <f>IFERROR(AVERAGE('04_Оценка'!D8,'04_Оценка'!F8),"")</f>
        <v>2</v>
      </c>
      <c r="D8" s="19">
        <f>IFERROR(AVERAGE('04_Оценка'!E8,'04_Оценка'!J8),"")</f>
        <v>3.5</v>
      </c>
      <c r="E8" s="19">
        <f>IFERROR('04_Оценка'!N8,"")</f>
        <v>2.85</v>
      </c>
      <c r="F8" s="4" t="str">
        <f>IFERROR('04_Оценка'!R8,"")</f>
        <v>Косвенный конкурент / заменитель</v>
      </c>
      <c r="G8" s="7" t="str">
        <f t="shared" si="0"/>
        <v>Аудиторное пересечение</v>
      </c>
      <c r="H8" s="7" t="s">
        <v>332</v>
      </c>
      <c r="I8" s="7" t="s">
        <v>332</v>
      </c>
      <c r="J8" s="7" t="str">
        <f>IFERROR(INDEX('01_Компании'!$I$3:$I$12,MATCH(A8,'01_Компании'!$A$3:$A$12,0)),"")</f>
        <v>высокий</v>
      </c>
      <c r="K8" s="12" t="str">
        <f>IFERROR(INDEX('04_Оценка'!$S$3:$S$12,MATCH(A8,'04_Оценка'!$A$3:$A$12,0)),"")</f>
        <v>Подтверждено с ограничением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>
      <c r="A9" s="4" t="s">
        <v>80</v>
      </c>
      <c r="B9" s="7" t="str">
        <f>IFERROR(INDEX('04_Оценка'!$B$3:$B$12,MATCH(A9,'04_Оценка'!$A$3:$A$12,0)),"")</f>
        <v>DataSnipper</v>
      </c>
      <c r="C9" s="19">
        <f>IFERROR(AVERAGE('04_Оценка'!D9,'04_Оценка'!F9),"")</f>
        <v>2.5</v>
      </c>
      <c r="D9" s="19">
        <f>IFERROR(AVERAGE('04_Оценка'!E9,'04_Оценка'!J9),"")</f>
        <v>3.5</v>
      </c>
      <c r="E9" s="19">
        <f>IFERROR('04_Оценка'!N9,"")</f>
        <v>3.02</v>
      </c>
      <c r="F9" s="4" t="str">
        <f>IFERROR('04_Оценка'!R9,"")</f>
        <v>Косвенный конкурент / заменитель</v>
      </c>
      <c r="G9" s="7" t="str">
        <f t="shared" si="0"/>
        <v>Аудиторное пересечение</v>
      </c>
      <c r="H9" s="7" t="s">
        <v>332</v>
      </c>
      <c r="I9" s="7" t="s">
        <v>332</v>
      </c>
      <c r="J9" s="7" t="str">
        <f>IFERROR(INDEX('01_Компании'!$I$3:$I$12,MATCH(A9,'01_Компании'!$A$3:$A$12,0)),"")</f>
        <v>высокий</v>
      </c>
      <c r="K9" s="12" t="str">
        <f>IFERROR(INDEX('04_Оценка'!$S$3:$S$12,MATCH(A9,'04_Оценка'!$A$3:$A$12,0)),"")</f>
        <v>Подтверждено с ограничением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>
      <c r="A10" s="4" t="s">
        <v>81</v>
      </c>
      <c r="B10" s="7" t="str">
        <f>IFERROR(INDEX('04_Оценка'!$B$3:$B$12,MATCH(A10,'04_Оценка'!$A$3:$A$12,0)),"")</f>
        <v>Rows</v>
      </c>
      <c r="C10" s="19">
        <f>IFERROR(AVERAGE('04_Оценка'!D10,'04_Оценка'!F10),"")</f>
        <v>1.5</v>
      </c>
      <c r="D10" s="19">
        <f>IFERROR(AVERAGE('04_Оценка'!E10,'04_Оценка'!J10),"")</f>
        <v>3</v>
      </c>
      <c r="E10" s="19">
        <f>IFERROR('04_Оценка'!N10,"")</f>
        <v>2.52</v>
      </c>
      <c r="F10" s="4" t="str">
        <f>IFERROR('04_Оценка'!R10,"")</f>
        <v>Косвенный конкурент / заменитель</v>
      </c>
      <c r="G10" s="7" t="str">
        <f t="shared" si="0"/>
        <v>Аудиторное пересечение</v>
      </c>
      <c r="H10" s="7" t="s">
        <v>332</v>
      </c>
      <c r="I10" s="7" t="s">
        <v>332</v>
      </c>
      <c r="J10" s="7" t="str">
        <f>IFERROR(INDEX('01_Компании'!$I$3:$I$12,MATCH(A10,'01_Компании'!$A$3:$A$12,0)),"")</f>
        <v>средний</v>
      </c>
      <c r="K10" s="12" t="str">
        <f>IFERROR(INDEX('04_Оценка'!$S$3:$S$12,MATCH(A10,'04_Оценка'!$A$3:$A$12,0)),"")</f>
        <v>Подтверждено с ограничением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>
      <c r="A11" s="4" t="s">
        <v>82</v>
      </c>
      <c r="B11" s="7" t="str">
        <f>IFERROR(INDEX('04_Оценка'!$B$3:$B$12,MATCH(A11,'04_Оценка'!$A$3:$A$12,0)),"")</f>
        <v>Formula Bot</v>
      </c>
      <c r="C11" s="19">
        <f>IFERROR(AVERAGE('04_Оценка'!D11,'04_Оценка'!F11),"")</f>
        <v>2</v>
      </c>
      <c r="D11" s="19">
        <f>IFERROR(AVERAGE('04_Оценка'!E11,'04_Оценка'!J11),"")</f>
        <v>3</v>
      </c>
      <c r="E11" s="19">
        <f>IFERROR('04_Оценка'!N11,"")</f>
        <v>2.58</v>
      </c>
      <c r="F11" s="4" t="str">
        <f>IFERROR('04_Оценка'!R11,"")</f>
        <v>Косвенный конкурент / заменитель</v>
      </c>
      <c r="G11" s="7" t="str">
        <f t="shared" si="0"/>
        <v>Аудиторное пересечение</v>
      </c>
      <c r="H11" s="7" t="s">
        <v>332</v>
      </c>
      <c r="I11" s="7" t="s">
        <v>332</v>
      </c>
      <c r="J11" s="7" t="str">
        <f>IFERROR(INDEX('01_Компании'!$I$3:$I$12,MATCH(A11,'01_Компании'!$A$3:$A$12,0)),"")</f>
        <v>средний</v>
      </c>
      <c r="K11" s="12" t="str">
        <f>IFERROR(INDEX('04_Оценка'!$S$3:$S$12,MATCH(A11,'04_Оценка'!$A$3:$A$12,0)),"")</f>
        <v>Подтверждено с ограничением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>
      <c r="A12" s="4" t="s">
        <v>83</v>
      </c>
      <c r="B12" s="7" t="str">
        <f>IFERROR(INDEX('04_Оценка'!$B$3:$B$12,MATCH(A12,'04_Оценка'!$A$3:$A$12,0)),"")</f>
        <v>Microsoft 365 Copilot</v>
      </c>
      <c r="C12" s="19">
        <f>IFERROR(AVERAGE('04_Оценка'!D12,'04_Оценка'!F12),"")</f>
        <v>3</v>
      </c>
      <c r="D12" s="19">
        <f>IFERROR(AVERAGE('04_Оценка'!E12,'04_Оценка'!J12),"")</f>
        <v>5</v>
      </c>
      <c r="E12" s="19">
        <f>IFERROR('04_Оценка'!N12,"")</f>
        <v>3.88</v>
      </c>
      <c r="F12" s="4" t="str">
        <f>IFERROR('04_Оценка'!R12,"")</f>
        <v>Близкий альтернативный конкурент</v>
      </c>
      <c r="G12" s="7" t="str">
        <f t="shared" si="0"/>
        <v>Близкая альтернатива</v>
      </c>
      <c r="H12" s="7" t="s">
        <v>332</v>
      </c>
      <c r="I12" s="7" t="s">
        <v>332</v>
      </c>
      <c r="J12" s="7" t="str">
        <f>IFERROR(INDEX('01_Компании'!$I$3:$I$12,MATCH(A12,'01_Компании'!$A$3:$A$12,0)),"")</f>
        <v>средний</v>
      </c>
      <c r="K12" s="12" t="str">
        <f>IFERROR(INDEX('04_Оценка'!$S$3:$S$12,MATCH(A12,'04_Оценка'!$A$3:$A$12,0)),"")</f>
        <v>Подтверждено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>
      <c r="A13" s="4" t="s">
        <v>84</v>
      </c>
      <c r="B13" s="7" t="str">
        <f>IFERROR(INDEX('04_Оценка'!$B$3:$B$12,MATCH(A13,'04_Оценка'!$A$3:$A$12,0)),"")</f>
        <v/>
      </c>
      <c r="C13" s="19" t="str">
        <f>IF(LEN(IFERROR(AVERAGE('04_Оценка'!#REF!,'04_Оценка'!#REF!),""))=0,"-",IFERROR(AVERAGE('04_Оценка'!#REF!,'04_Оценка'!#REF!),""))</f>
        <v>-</v>
      </c>
      <c r="D13" s="19" t="str">
        <f>IF(LEN(IFERROR(AVERAGE('04_Оценка'!#REF!,'04_Оценка'!#REF!),""))=0,"-",IFERROR(AVERAGE('04_Оценка'!#REF!,'04_Оценка'!#REF!),""))</f>
        <v>-</v>
      </c>
      <c r="E13" s="19" t="str">
        <f>IF(LEN(IFERROR('04_Оценка'!#REF!,""))=0,"-",IFERROR('04_Оценка'!#REF!,""))</f>
        <v>-</v>
      </c>
      <c r="F13" s="7" t="str">
        <f>IF(LEN(IFERROR('04_Оценка'!#REF!,""))=0,"-",IFERROR('04_Оценка'!#REF!,""))</f>
        <v>-</v>
      </c>
      <c r="G13" s="7" t="str">
        <f t="shared" ref="G13:G22" si="1">IF(LEN(IF(E13="","",IF(AND(C13&gt;=4,D13&gt;=4),"Ядро прямой конкуренции",IF(AND(C13&gt;=3,D13&gt;=3),"Близкая альтернатива",IF(C13&gt;=3,"Функциональный заменитель",IF(D13&gt;=3,"Аудиторное пересечение","Периферия"))))))=0,"-",IF(E13="","",IF(AND(C13&gt;=4,D13&gt;=4),"Ядро прямой конкуренции",IF(AND(C13&gt;=3,D13&gt;=3),"Близкая альтернатива",IF(C13&gt;=3,"Функциональный заменитель",IF(D13&gt;=3,"Аудиторное пересечение","Периферия"))))))</f>
        <v>Ядро прямой конкуренции</v>
      </c>
      <c r="H13" s="7" t="s">
        <v>332</v>
      </c>
      <c r="I13" s="7" t="s">
        <v>332</v>
      </c>
      <c r="J13" s="7" t="str">
        <f>IFERROR(INDEX('01_Компании'!$I$3:$I$12,MATCH(A13,'01_Компании'!$A$3:$A$12,0)),"")</f>
        <v/>
      </c>
      <c r="K13" s="12" t="str">
        <f>IFERROR(INDEX('04_Оценка'!$S$3:$S$12,MATCH(A13,'04_Оценка'!$A$3:$A$12,0)),"")</f>
        <v/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>
      <c r="A14" s="4" t="s">
        <v>85</v>
      </c>
      <c r="B14" s="7" t="str">
        <f>IFERROR(INDEX('04_Оценка'!$B$3:$B$12,MATCH(A14,'04_Оценка'!$A$3:$A$12,0)),"")</f>
        <v/>
      </c>
      <c r="C14" s="19" t="str">
        <f>IF(LEN(IFERROR(AVERAGE('04_Оценка'!#REF!,'04_Оценка'!#REF!),""))=0,"-",IFERROR(AVERAGE('04_Оценка'!#REF!,'04_Оценка'!#REF!),""))</f>
        <v>-</v>
      </c>
      <c r="D14" s="19" t="str">
        <f>IF(LEN(IFERROR(AVERAGE('04_Оценка'!#REF!,'04_Оценка'!#REF!),""))=0,"-",IFERROR(AVERAGE('04_Оценка'!#REF!,'04_Оценка'!#REF!),""))</f>
        <v>-</v>
      </c>
      <c r="E14" s="19" t="str">
        <f>IF(LEN(IFERROR('04_Оценка'!#REF!,""))=0,"-",IFERROR('04_Оценка'!#REF!,""))</f>
        <v>-</v>
      </c>
      <c r="F14" s="7" t="str">
        <f>IF(LEN(IFERROR('04_Оценка'!#REF!,""))=0,"-",IFERROR('04_Оценка'!#REF!,""))</f>
        <v>-</v>
      </c>
      <c r="G14" s="7" t="str">
        <f t="shared" si="1"/>
        <v>Ядро прямой конкуренции</v>
      </c>
      <c r="H14" s="7" t="s">
        <v>332</v>
      </c>
      <c r="I14" s="7" t="s">
        <v>332</v>
      </c>
      <c r="J14" s="7" t="str">
        <f>IFERROR(INDEX('01_Компании'!$I$3:$I$12,MATCH(A14,'01_Компании'!$A$3:$A$12,0)),"")</f>
        <v/>
      </c>
      <c r="K14" s="12" t="str">
        <f>IFERROR(INDEX('04_Оценка'!$S$3:$S$12,MATCH(A14,'04_Оценка'!$A$3:$A$12,0)),"")</f>
        <v/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>
      <c r="A15" s="4" t="s">
        <v>86</v>
      </c>
      <c r="B15" s="7" t="str">
        <f>IFERROR(INDEX('04_Оценка'!$B$3:$B$12,MATCH(A15,'04_Оценка'!$A$3:$A$12,0)),"")</f>
        <v/>
      </c>
      <c r="C15" s="19" t="str">
        <f>IF(LEN(IFERROR(AVERAGE('04_Оценка'!#REF!,'04_Оценка'!#REF!),""))=0,"-",IFERROR(AVERAGE('04_Оценка'!#REF!,'04_Оценка'!#REF!),""))</f>
        <v>-</v>
      </c>
      <c r="D15" s="19" t="str">
        <f>IF(LEN(IFERROR(AVERAGE('04_Оценка'!#REF!,'04_Оценка'!#REF!),""))=0,"-",IFERROR(AVERAGE('04_Оценка'!#REF!,'04_Оценка'!#REF!),""))</f>
        <v>-</v>
      </c>
      <c r="E15" s="19" t="str">
        <f>IF(LEN(IFERROR('04_Оценка'!#REF!,""))=0,"-",IFERROR('04_Оценка'!#REF!,""))</f>
        <v>-</v>
      </c>
      <c r="F15" s="7" t="str">
        <f>IF(LEN(IFERROR('04_Оценка'!#REF!,""))=0,"-",IFERROR('04_Оценка'!#REF!,""))</f>
        <v>-</v>
      </c>
      <c r="G15" s="7" t="str">
        <f t="shared" si="1"/>
        <v>Ядро прямой конкуренции</v>
      </c>
      <c r="H15" s="7" t="s">
        <v>332</v>
      </c>
      <c r="I15" s="7" t="s">
        <v>332</v>
      </c>
      <c r="J15" s="7" t="str">
        <f>IFERROR(INDEX('01_Компании'!$I$3:$I$12,MATCH(A15,'01_Компании'!$A$3:$A$12,0)),"")</f>
        <v/>
      </c>
      <c r="K15" s="12" t="str">
        <f>IFERROR(INDEX('04_Оценка'!$S$3:$S$12,MATCH(A15,'04_Оценка'!$A$3:$A$12,0)),"")</f>
        <v/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>
      <c r="A16" s="4" t="s">
        <v>87</v>
      </c>
      <c r="B16" s="7" t="str">
        <f>IFERROR(INDEX('04_Оценка'!$B$3:$B$12,MATCH(A16,'04_Оценка'!$A$3:$A$12,0)),"")</f>
        <v/>
      </c>
      <c r="C16" s="19" t="str">
        <f>IF(LEN(IFERROR(AVERAGE('04_Оценка'!#REF!,'04_Оценка'!#REF!),""))=0,"-",IFERROR(AVERAGE('04_Оценка'!#REF!,'04_Оценка'!#REF!),""))</f>
        <v>-</v>
      </c>
      <c r="D16" s="19" t="str">
        <f>IF(LEN(IFERROR(AVERAGE('04_Оценка'!#REF!,'04_Оценка'!#REF!),""))=0,"-",IFERROR(AVERAGE('04_Оценка'!#REF!,'04_Оценка'!#REF!),""))</f>
        <v>-</v>
      </c>
      <c r="E16" s="19" t="str">
        <f>IF(LEN(IFERROR('04_Оценка'!#REF!,""))=0,"-",IFERROR('04_Оценка'!#REF!,""))</f>
        <v>-</v>
      </c>
      <c r="F16" s="7" t="str">
        <f>IF(LEN(IFERROR('04_Оценка'!#REF!,""))=0,"-",IFERROR('04_Оценка'!#REF!,""))</f>
        <v>-</v>
      </c>
      <c r="G16" s="7" t="str">
        <f t="shared" si="1"/>
        <v>Ядро прямой конкуренции</v>
      </c>
      <c r="H16" s="7" t="s">
        <v>332</v>
      </c>
      <c r="I16" s="7" t="s">
        <v>332</v>
      </c>
      <c r="J16" s="7" t="str">
        <f>IFERROR(INDEX('01_Компании'!$I$3:$I$12,MATCH(A16,'01_Компании'!$A$3:$A$12,0)),"")</f>
        <v/>
      </c>
      <c r="K16" s="12" t="str">
        <f>IFERROR(INDEX('04_Оценка'!$S$3:$S$12,MATCH(A16,'04_Оценка'!$A$3:$A$12,0)),"")</f>
        <v/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>
      <c r="A17" s="4" t="s">
        <v>88</v>
      </c>
      <c r="B17" s="7" t="str">
        <f>IFERROR(INDEX('04_Оценка'!$B$3:$B$12,MATCH(A17,'04_Оценка'!$A$3:$A$12,0)),"")</f>
        <v/>
      </c>
      <c r="C17" s="19" t="str">
        <f>IF(LEN(IFERROR(AVERAGE('04_Оценка'!#REF!,'04_Оценка'!#REF!),""))=0,"-",IFERROR(AVERAGE('04_Оценка'!#REF!,'04_Оценка'!#REF!),""))</f>
        <v>-</v>
      </c>
      <c r="D17" s="19" t="str">
        <f>IF(LEN(IFERROR(AVERAGE('04_Оценка'!#REF!,'04_Оценка'!#REF!),""))=0,"-",IFERROR(AVERAGE('04_Оценка'!#REF!,'04_Оценка'!#REF!),""))</f>
        <v>-</v>
      </c>
      <c r="E17" s="19" t="str">
        <f>IF(LEN(IFERROR('04_Оценка'!#REF!,""))=0,"-",IFERROR('04_Оценка'!#REF!,""))</f>
        <v>-</v>
      </c>
      <c r="F17" s="7" t="str">
        <f>IF(LEN(IFERROR('04_Оценка'!#REF!,""))=0,"-",IFERROR('04_Оценка'!#REF!,""))</f>
        <v>-</v>
      </c>
      <c r="G17" s="7" t="str">
        <f t="shared" si="1"/>
        <v>Ядро прямой конкуренции</v>
      </c>
      <c r="H17" s="7" t="s">
        <v>332</v>
      </c>
      <c r="I17" s="7" t="s">
        <v>332</v>
      </c>
      <c r="J17" s="7" t="str">
        <f>IFERROR(INDEX('01_Компании'!$I$3:$I$12,MATCH(A17,'01_Компании'!$A$3:$A$12,0)),"")</f>
        <v/>
      </c>
      <c r="K17" s="12" t="str">
        <f>IFERROR(INDEX('04_Оценка'!$S$3:$S$12,MATCH(A17,'04_Оценка'!$A$3:$A$12,0)),"")</f>
        <v/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>
      <c r="A18" s="4" t="s">
        <v>89</v>
      </c>
      <c r="B18" s="7" t="str">
        <f>IFERROR(INDEX('04_Оценка'!$B$3:$B$12,MATCH(A18,'04_Оценка'!$A$3:$A$12,0)),"")</f>
        <v/>
      </c>
      <c r="C18" s="19" t="str">
        <f>IF(LEN(IFERROR(AVERAGE('04_Оценка'!#REF!,'04_Оценка'!#REF!),""))=0,"-",IFERROR(AVERAGE('04_Оценка'!#REF!,'04_Оценка'!#REF!),""))</f>
        <v>-</v>
      </c>
      <c r="D18" s="19" t="str">
        <f>IF(LEN(IFERROR(AVERAGE('04_Оценка'!#REF!,'04_Оценка'!#REF!),""))=0,"-",IFERROR(AVERAGE('04_Оценка'!#REF!,'04_Оценка'!#REF!),""))</f>
        <v>-</v>
      </c>
      <c r="E18" s="19" t="str">
        <f>IF(LEN(IFERROR('04_Оценка'!#REF!,""))=0,"-",IFERROR('04_Оценка'!#REF!,""))</f>
        <v>-</v>
      </c>
      <c r="F18" s="7" t="str">
        <f>IF(LEN(IFERROR('04_Оценка'!#REF!,""))=0,"-",IFERROR('04_Оценка'!#REF!,""))</f>
        <v>-</v>
      </c>
      <c r="G18" s="7" t="str">
        <f t="shared" si="1"/>
        <v>Ядро прямой конкуренции</v>
      </c>
      <c r="H18" s="7" t="s">
        <v>332</v>
      </c>
      <c r="I18" s="7" t="s">
        <v>332</v>
      </c>
      <c r="J18" s="7" t="str">
        <f>IFERROR(INDEX('01_Компании'!$I$3:$I$12,MATCH(A18,'01_Компании'!$A$3:$A$12,0)),"")</f>
        <v/>
      </c>
      <c r="K18" s="12" t="str">
        <f>IFERROR(INDEX('04_Оценка'!$S$3:$S$12,MATCH(A18,'04_Оценка'!$A$3:$A$12,0)),"")</f>
        <v/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>
      <c r="A19" s="4" t="s">
        <v>90</v>
      </c>
      <c r="B19" s="7" t="str">
        <f>IFERROR(INDEX('04_Оценка'!$B$3:$B$12,MATCH(A19,'04_Оценка'!$A$3:$A$12,0)),"")</f>
        <v/>
      </c>
      <c r="C19" s="19" t="str">
        <f>IF(LEN(IFERROR(AVERAGE('04_Оценка'!#REF!,'04_Оценка'!#REF!),""))=0,"-",IFERROR(AVERAGE('04_Оценка'!#REF!,'04_Оценка'!#REF!),""))</f>
        <v>-</v>
      </c>
      <c r="D19" s="19" t="str">
        <f>IF(LEN(IFERROR(AVERAGE('04_Оценка'!#REF!,'04_Оценка'!#REF!),""))=0,"-",IFERROR(AVERAGE('04_Оценка'!#REF!,'04_Оценка'!#REF!),""))</f>
        <v>-</v>
      </c>
      <c r="E19" s="19" t="str">
        <f>IF(LEN(IFERROR('04_Оценка'!#REF!,""))=0,"-",IFERROR('04_Оценка'!#REF!,""))</f>
        <v>-</v>
      </c>
      <c r="F19" s="7" t="str">
        <f>IF(LEN(IFERROR('04_Оценка'!#REF!,""))=0,"-",IFERROR('04_Оценка'!#REF!,""))</f>
        <v>-</v>
      </c>
      <c r="G19" s="7" t="str">
        <f t="shared" si="1"/>
        <v>Ядро прямой конкуренции</v>
      </c>
      <c r="H19" s="7" t="s">
        <v>332</v>
      </c>
      <c r="I19" s="7" t="s">
        <v>332</v>
      </c>
      <c r="J19" s="7" t="str">
        <f>IFERROR(INDEX('01_Компании'!$I$3:$I$12,MATCH(A19,'01_Компании'!$A$3:$A$12,0)),"")</f>
        <v/>
      </c>
      <c r="K19" s="12" t="str">
        <f>IFERROR(INDEX('04_Оценка'!$S$3:$S$12,MATCH(A19,'04_Оценка'!$A$3:$A$12,0)),"")</f>
        <v/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>
      <c r="A20" s="4" t="s">
        <v>91</v>
      </c>
      <c r="B20" s="7" t="str">
        <f>IFERROR(INDEX('04_Оценка'!$B$3:$B$12,MATCH(A20,'04_Оценка'!$A$3:$A$12,0)),"")</f>
        <v/>
      </c>
      <c r="C20" s="19" t="str">
        <f>IF(LEN(IFERROR(AVERAGE('04_Оценка'!#REF!,'04_Оценка'!#REF!),""))=0,"-",IFERROR(AVERAGE('04_Оценка'!#REF!,'04_Оценка'!#REF!),""))</f>
        <v>-</v>
      </c>
      <c r="D20" s="19" t="str">
        <f>IF(LEN(IFERROR(AVERAGE('04_Оценка'!#REF!,'04_Оценка'!#REF!),""))=0,"-",IFERROR(AVERAGE('04_Оценка'!#REF!,'04_Оценка'!#REF!),""))</f>
        <v>-</v>
      </c>
      <c r="E20" s="19" t="str">
        <f>IF(LEN(IFERROR('04_Оценка'!#REF!,""))=0,"-",IFERROR('04_Оценка'!#REF!,""))</f>
        <v>-</v>
      </c>
      <c r="F20" s="7" t="str">
        <f>IF(LEN(IFERROR('04_Оценка'!#REF!,""))=0,"-",IFERROR('04_Оценка'!#REF!,""))</f>
        <v>-</v>
      </c>
      <c r="G20" s="7" t="str">
        <f t="shared" si="1"/>
        <v>Ядро прямой конкуренции</v>
      </c>
      <c r="H20" s="7" t="s">
        <v>332</v>
      </c>
      <c r="I20" s="7" t="s">
        <v>332</v>
      </c>
      <c r="J20" s="7" t="str">
        <f>IFERROR(INDEX('01_Компании'!$I$3:$I$12,MATCH(A20,'01_Компании'!$A$3:$A$12,0)),"")</f>
        <v/>
      </c>
      <c r="K20" s="12" t="str">
        <f>IFERROR(INDEX('04_Оценка'!$S$3:$S$12,MATCH(A20,'04_Оценка'!$A$3:$A$12,0)),"")</f>
        <v/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>
      <c r="A21" s="4" t="s">
        <v>92</v>
      </c>
      <c r="B21" s="7" t="str">
        <f>IFERROR(INDEX('04_Оценка'!$B$3:$B$12,MATCH(A21,'04_Оценка'!$A$3:$A$12,0)),"")</f>
        <v/>
      </c>
      <c r="C21" s="19" t="str">
        <f>IF(LEN(IFERROR(AVERAGE('04_Оценка'!#REF!,'04_Оценка'!#REF!),""))=0,"-",IFERROR(AVERAGE('04_Оценка'!#REF!,'04_Оценка'!#REF!),""))</f>
        <v>-</v>
      </c>
      <c r="D21" s="19" t="str">
        <f>IF(LEN(IFERROR(AVERAGE('04_Оценка'!#REF!,'04_Оценка'!#REF!),""))=0,"-",IFERROR(AVERAGE('04_Оценка'!#REF!,'04_Оценка'!#REF!),""))</f>
        <v>-</v>
      </c>
      <c r="E21" s="19" t="str">
        <f>IF(LEN(IFERROR('04_Оценка'!#REF!,""))=0,"-",IFERROR('04_Оценка'!#REF!,""))</f>
        <v>-</v>
      </c>
      <c r="F21" s="7" t="str">
        <f>IF(LEN(IFERROR('04_Оценка'!#REF!,""))=0,"-",IFERROR('04_Оценка'!#REF!,""))</f>
        <v>-</v>
      </c>
      <c r="G21" s="7" t="str">
        <f t="shared" si="1"/>
        <v>Ядро прямой конкуренции</v>
      </c>
      <c r="H21" s="7" t="s">
        <v>332</v>
      </c>
      <c r="I21" s="7" t="s">
        <v>332</v>
      </c>
      <c r="J21" s="7" t="str">
        <f>IFERROR(INDEX('01_Компании'!$I$3:$I$12,MATCH(A21,'01_Компании'!$A$3:$A$12,0)),"")</f>
        <v/>
      </c>
      <c r="K21" s="12" t="str">
        <f>IFERROR(INDEX('04_Оценка'!$S$3:$S$12,MATCH(A21,'04_Оценка'!$A$3:$A$12,0)),"")</f>
        <v/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>
      <c r="A22" s="5" t="s">
        <v>93</v>
      </c>
      <c r="B22" s="8" t="str">
        <f>IFERROR(INDEX('04_Оценка'!$B$3:$B$12,MATCH(A22,'04_Оценка'!$A$3:$A$12,0)),"")</f>
        <v/>
      </c>
      <c r="C22" s="20" t="str">
        <f>IF(LEN(IFERROR(AVERAGE('04_Оценка'!#REF!,'04_Оценка'!#REF!),""))=0,"-",IFERROR(AVERAGE('04_Оценка'!#REF!,'04_Оценка'!#REF!),""))</f>
        <v>-</v>
      </c>
      <c r="D22" s="20" t="str">
        <f>IF(LEN(IFERROR(AVERAGE('04_Оценка'!#REF!,'04_Оценка'!#REF!),""))=0,"-",IFERROR(AVERAGE('04_Оценка'!#REF!,'04_Оценка'!#REF!),""))</f>
        <v>-</v>
      </c>
      <c r="E22" s="20" t="str">
        <f>IF(LEN(IFERROR('04_Оценка'!#REF!,""))=0,"-",IFERROR('04_Оценка'!#REF!,""))</f>
        <v>-</v>
      </c>
      <c r="F22" s="8" t="str">
        <f>IF(LEN(IFERROR('04_Оценка'!#REF!,""))=0,"-",IFERROR('04_Оценка'!#REF!,""))</f>
        <v>-</v>
      </c>
      <c r="G22" s="8" t="str">
        <f t="shared" si="1"/>
        <v>Ядро прямой конкуренции</v>
      </c>
      <c r="H22" s="8" t="s">
        <v>332</v>
      </c>
      <c r="I22" s="8" t="s">
        <v>332</v>
      </c>
      <c r="J22" s="8" t="str">
        <f>IFERROR(INDEX('01_Компании'!$I$3:$I$12,MATCH(A22,'01_Компании'!$A$3:$A$12,0)),"")</f>
        <v/>
      </c>
      <c r="K22" s="9" t="str">
        <f>IFERROR(INDEX('04_Оценка'!$S$3:$S$12,MATCH(A22,'04_Оценка'!$A$3:$A$12,0)),"")</f>
        <v/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</sheetData>
  <mergeCells count="1">
    <mergeCell ref="A1:K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8"/>
  <sheetViews>
    <sheetView workbookViewId="0"/>
  </sheetViews>
  <sheetFormatPr defaultRowHeight="13.5"/>
  <cols>
    <col min="1" max="1" width="42.4375" customWidth="1"/>
    <col min="2" max="2" width="21.4375" customWidth="1"/>
    <col min="3" max="3" width="10.9375" customWidth="1"/>
    <col min="4" max="4" width="26.6875" customWidth="1"/>
    <col min="5" max="6" width="10.5625" customWidth="1"/>
    <col min="7" max="7" width="36.125" customWidth="1"/>
    <col min="8" max="26" width="10.5625" customWidth="1"/>
  </cols>
  <sheetData>
    <row r="1" spans="1:26" ht="20" customHeight="1">
      <c r="A1" s="29" t="s">
        <v>295</v>
      </c>
      <c r="B1" s="29" t="s">
        <v>296</v>
      </c>
      <c r="C1" s="29" t="s">
        <v>297</v>
      </c>
      <c r="D1" s="29" t="s">
        <v>298</v>
      </c>
      <c r="E1" s="34" t="s">
        <v>299</v>
      </c>
      <c r="F1" s="29" t="s">
        <v>300</v>
      </c>
      <c r="G1" s="29" t="s">
        <v>301</v>
      </c>
      <c r="H1" s="35" t="s">
        <v>299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>
      <c r="A2" s="7" t="s">
        <v>227</v>
      </c>
      <c r="B2" s="7" t="s">
        <v>302</v>
      </c>
      <c r="C2" s="7" t="s">
        <v>303</v>
      </c>
      <c r="D2" s="12" t="s">
        <v>117</v>
      </c>
      <c r="E2" s="1"/>
      <c r="F2" s="7" t="s">
        <v>304</v>
      </c>
      <c r="G2" s="12" t="s">
        <v>305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>
      <c r="A3" s="4" t="s">
        <v>234</v>
      </c>
      <c r="B3" s="7" t="s">
        <v>306</v>
      </c>
      <c r="C3" s="7" t="s">
        <v>307</v>
      </c>
      <c r="D3" s="12" t="s">
        <v>126</v>
      </c>
      <c r="E3" s="1"/>
      <c r="F3" s="7">
        <v>0</v>
      </c>
      <c r="G3" s="12" t="s">
        <v>308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>
      <c r="A4" s="4" t="s">
        <v>241</v>
      </c>
      <c r="B4" s="7" t="s">
        <v>309</v>
      </c>
      <c r="C4" s="8" t="s">
        <v>310</v>
      </c>
      <c r="D4" s="12" t="s">
        <v>311</v>
      </c>
      <c r="E4" s="1"/>
      <c r="F4" s="7">
        <v>1</v>
      </c>
      <c r="G4" s="11" t="s">
        <v>312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>
      <c r="A5" s="4" t="s">
        <v>248</v>
      </c>
      <c r="B5" s="12" t="s">
        <v>313</v>
      </c>
      <c r="C5" s="1"/>
      <c r="D5" s="12" t="s">
        <v>314</v>
      </c>
      <c r="E5" s="1"/>
      <c r="F5" s="7">
        <v>2</v>
      </c>
      <c r="G5" s="12" t="s">
        <v>315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>
      <c r="A6" s="4" t="s">
        <v>255</v>
      </c>
      <c r="B6" s="9" t="s">
        <v>316</v>
      </c>
      <c r="C6" s="1"/>
      <c r="D6" s="12" t="s">
        <v>317</v>
      </c>
      <c r="E6" s="1"/>
      <c r="F6" s="7">
        <v>3</v>
      </c>
      <c r="G6" s="12" t="s">
        <v>318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>
      <c r="A7" s="9" t="s">
        <v>262</v>
      </c>
      <c r="B7" s="1"/>
      <c r="C7" s="1"/>
      <c r="D7" s="12" t="s">
        <v>319</v>
      </c>
      <c r="E7" s="1"/>
      <c r="F7" s="7">
        <v>4</v>
      </c>
      <c r="G7" s="12" t="s">
        <v>320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>
      <c r="A8" s="1"/>
      <c r="B8" s="1"/>
      <c r="C8" s="1"/>
      <c r="D8" s="9" t="s">
        <v>321</v>
      </c>
      <c r="E8" s="1"/>
      <c r="F8" s="8">
        <v>5</v>
      </c>
      <c r="G8" s="9" t="s">
        <v>322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00_Инструкция</vt:lpstr>
      <vt:lpstr>01_Компании</vt:lpstr>
      <vt:lpstr>02_Доказательства</vt:lpstr>
      <vt:lpstr>03_Критерии</vt:lpstr>
      <vt:lpstr>04_Оценка</vt:lpstr>
      <vt:lpstr>05_Уровни</vt:lpstr>
      <vt:lpstr>06_Сводка</vt:lpstr>
      <vt:lpstr>07_Карта</vt:lpstr>
      <vt:lpstr>08_Справочники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2026-10-06T21:28:14Z</dcterms:modified>
</cp:coreProperties>
</file>