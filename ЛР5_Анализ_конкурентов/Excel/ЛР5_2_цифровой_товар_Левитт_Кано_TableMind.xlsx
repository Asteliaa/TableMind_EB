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5_Анализ_конкурентов\Excel\"/>
    </mc:Choice>
  </mc:AlternateContent>
  <xr:revisionPtr revIDLastSave="0" documentId="13_ncr:1_{20C84ACD-550A-4D90-980F-FC6B18F38B0E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Инструкция" sheetId="1" r:id="rId1"/>
    <sheet name="01_Конкуренты" sheetId="2" r:id="rId2"/>
    <sheet name="02_Карта_сайтов" sheetId="3" r:id="rId3"/>
    <sheet name="03_Левитт" sheetId="4" r:id="rId4"/>
    <sheet name="04_Кано" sheetId="5" r:id="rId5"/>
    <sheet name="05_Матрица_товара" sheetId="6" r:id="rId6"/>
    <sheet name="06_Сравнение" sheetId="7" r:id="rId7"/>
    <sheet name="07_Стандарт_рынка" sheetId="8" r:id="rId8"/>
    <sheet name="08_Преимущества" sheetId="9" r:id="rId9"/>
    <sheet name="09_Дашборд" sheetId="10" r:id="rId10"/>
    <sheet name="99_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8" i="8" l="1"/>
  <c r="I24" i="8"/>
  <c r="I23" i="8"/>
  <c r="I17" i="8"/>
  <c r="J28" i="5"/>
  <c r="J24" i="5"/>
  <c r="J23" i="5"/>
  <c r="J17" i="5"/>
  <c r="G9" i="10"/>
  <c r="K8" i="10"/>
  <c r="G8" i="10"/>
  <c r="K7" i="10"/>
  <c r="G7" i="10"/>
  <c r="B7" i="10"/>
  <c r="K6" i="10"/>
  <c r="G6" i="10"/>
  <c r="B6" i="10"/>
  <c r="K5" i="10"/>
  <c r="G5" i="10"/>
  <c r="B5" i="10"/>
  <c r="K4" i="10"/>
  <c r="G4" i="10"/>
  <c r="B4" i="10"/>
  <c r="L11" i="9"/>
  <c r="M11" i="9" s="1"/>
  <c r="L10" i="9"/>
  <c r="M10" i="9" s="1"/>
  <c r="L9" i="9"/>
  <c r="M9" i="9" s="1"/>
  <c r="L8" i="9"/>
  <c r="M8" i="9" s="1"/>
  <c r="L7" i="9"/>
  <c r="M7" i="9" s="1"/>
  <c r="L6" i="9"/>
  <c r="M6" i="9" s="1"/>
  <c r="L5" i="9"/>
  <c r="M5" i="9" s="1"/>
  <c r="L4" i="9"/>
  <c r="M4" i="9" s="1"/>
  <c r="G28" i="8"/>
  <c r="G27" i="8"/>
  <c r="I27" i="8" s="1"/>
  <c r="G26" i="8"/>
  <c r="I26" i="8" s="1"/>
  <c r="G25" i="8"/>
  <c r="I25" i="8" s="1"/>
  <c r="G24" i="8"/>
  <c r="G23" i="8"/>
  <c r="G22" i="8"/>
  <c r="I22" i="8" s="1"/>
  <c r="G21" i="8"/>
  <c r="I21" i="8" s="1"/>
  <c r="G20" i="8"/>
  <c r="I20" i="8" s="1"/>
  <c r="G19" i="8"/>
  <c r="I19" i="8" s="1"/>
  <c r="G18" i="8"/>
  <c r="I18" i="8" s="1"/>
  <c r="G17" i="8"/>
  <c r="G16" i="8"/>
  <c r="I16" i="8" s="1"/>
  <c r="G15" i="8"/>
  <c r="I15" i="8" s="1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G7" i="8"/>
  <c r="I7" i="8" s="1"/>
  <c r="G6" i="8"/>
  <c r="I6" i="8" s="1"/>
  <c r="G5" i="8"/>
  <c r="I5" i="8" s="1"/>
  <c r="G4" i="8"/>
  <c r="I4" i="8" s="1"/>
  <c r="L29" i="7"/>
  <c r="H15" i="10" s="1"/>
  <c r="K29" i="7"/>
  <c r="G15" i="10" s="1"/>
  <c r="J29" i="7"/>
  <c r="F15" i="10" s="1"/>
  <c r="I29" i="7"/>
  <c r="E15" i="10" s="1"/>
  <c r="H29" i="7"/>
  <c r="D15" i="10" s="1"/>
  <c r="G29" i="7"/>
  <c r="C15" i="10" s="1"/>
  <c r="F29" i="7"/>
  <c r="B15" i="10" s="1"/>
  <c r="E29" i="7"/>
  <c r="I30" i="7" s="1"/>
  <c r="E16" i="10" s="1"/>
  <c r="N28" i="7"/>
  <c r="O28" i="7" s="1"/>
  <c r="M28" i="7"/>
  <c r="N27" i="7"/>
  <c r="O27" i="7" s="1"/>
  <c r="M27" i="7"/>
  <c r="N26" i="7"/>
  <c r="O26" i="7" s="1"/>
  <c r="M26" i="7"/>
  <c r="N25" i="7"/>
  <c r="O25" i="7" s="1"/>
  <c r="M25" i="7"/>
  <c r="N24" i="7"/>
  <c r="O24" i="7" s="1"/>
  <c r="M24" i="7"/>
  <c r="N23" i="7"/>
  <c r="O23" i="7" s="1"/>
  <c r="M23" i="7"/>
  <c r="N22" i="7"/>
  <c r="O22" i="7" s="1"/>
  <c r="M22" i="7"/>
  <c r="N21" i="7"/>
  <c r="O21" i="7" s="1"/>
  <c r="M21" i="7"/>
  <c r="N20" i="7"/>
  <c r="O20" i="7" s="1"/>
  <c r="M20" i="7"/>
  <c r="N19" i="7"/>
  <c r="O19" i="7" s="1"/>
  <c r="M19" i="7"/>
  <c r="N18" i="7"/>
  <c r="O18" i="7" s="1"/>
  <c r="M18" i="7"/>
  <c r="N17" i="7"/>
  <c r="O17" i="7" s="1"/>
  <c r="M17" i="7"/>
  <c r="N16" i="7"/>
  <c r="O16" i="7" s="1"/>
  <c r="M16" i="7"/>
  <c r="N15" i="7"/>
  <c r="O15" i="7" s="1"/>
  <c r="M15" i="7"/>
  <c r="N14" i="7"/>
  <c r="O14" i="7" s="1"/>
  <c r="M14" i="7"/>
  <c r="N13" i="7"/>
  <c r="O13" i="7" s="1"/>
  <c r="M13" i="7"/>
  <c r="N12" i="7"/>
  <c r="O12" i="7" s="1"/>
  <c r="M12" i="7"/>
  <c r="N11" i="7"/>
  <c r="O11" i="7" s="1"/>
  <c r="M11" i="7"/>
  <c r="N10" i="7"/>
  <c r="O10" i="7" s="1"/>
  <c r="M10" i="7"/>
  <c r="N9" i="7"/>
  <c r="O9" i="7" s="1"/>
  <c r="M9" i="7"/>
  <c r="N8" i="7"/>
  <c r="O8" i="7" s="1"/>
  <c r="M8" i="7"/>
  <c r="N7" i="7"/>
  <c r="O7" i="7" s="1"/>
  <c r="M7" i="7"/>
  <c r="N6" i="7"/>
  <c r="O6" i="7" s="1"/>
  <c r="M6" i="7"/>
  <c r="N5" i="7"/>
  <c r="O5" i="7" s="1"/>
  <c r="M5" i="7"/>
  <c r="N4" i="7"/>
  <c r="O4" i="7" s="1"/>
  <c r="M4" i="7"/>
  <c r="H28" i="5"/>
  <c r="H27" i="5"/>
  <c r="J27" i="5" s="1"/>
  <c r="H26" i="5"/>
  <c r="J26" i="5" s="1"/>
  <c r="H25" i="5"/>
  <c r="J25" i="5" s="1"/>
  <c r="H24" i="5"/>
  <c r="H23" i="5"/>
  <c r="H22" i="5"/>
  <c r="J22" i="5" s="1"/>
  <c r="H21" i="5"/>
  <c r="J21" i="5" s="1"/>
  <c r="H20" i="5"/>
  <c r="J20" i="5" s="1"/>
  <c r="H19" i="5"/>
  <c r="J19" i="5" s="1"/>
  <c r="H18" i="5"/>
  <c r="J18" i="5" s="1"/>
  <c r="H17" i="5"/>
  <c r="H16" i="5"/>
  <c r="J16" i="5" s="1"/>
  <c r="H15" i="5"/>
  <c r="J15" i="5" s="1"/>
  <c r="H14" i="5"/>
  <c r="J14" i="5" s="1"/>
  <c r="H13" i="5"/>
  <c r="J13" i="5" s="1"/>
  <c r="H12" i="5"/>
  <c r="J12" i="5" s="1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L6" i="4"/>
  <c r="M6" i="4" s="1"/>
  <c r="L5" i="4"/>
  <c r="M5" i="4" s="1"/>
  <c r="L4" i="4"/>
  <c r="M4" i="4" s="1"/>
  <c r="B10" i="10" l="1"/>
  <c r="J30" i="7"/>
  <c r="F16" i="10" s="1"/>
  <c r="H6" i="10"/>
  <c r="H5" i="10"/>
  <c r="H8" i="10"/>
  <c r="H9" i="10"/>
  <c r="L8" i="10"/>
  <c r="M45" i="4"/>
  <c r="L5" i="10"/>
  <c r="L7" i="10"/>
  <c r="L6" i="10"/>
  <c r="L4" i="10"/>
  <c r="B9" i="10"/>
  <c r="B8" i="10"/>
  <c r="A15" i="10"/>
  <c r="K30" i="7"/>
  <c r="G16" i="10" s="1"/>
  <c r="L30" i="7"/>
  <c r="H16" i="10" s="1"/>
  <c r="H7" i="10"/>
  <c r="H4" i="10"/>
  <c r="E30" i="7"/>
  <c r="A16" i="10" s="1"/>
  <c r="F30" i="7"/>
  <c r="B16" i="10" s="1"/>
  <c r="G30" i="7"/>
  <c r="C16" i="10" s="1"/>
  <c r="H30" i="7"/>
  <c r="D16" i="10" s="1"/>
</calcChain>
</file>

<file path=xl/sharedStrings.xml><?xml version="1.0" encoding="utf-8"?>
<sst xmlns="http://schemas.openxmlformats.org/spreadsheetml/2006/main" count="2018" uniqueCount="702">
  <si>
    <t>Раздел</t>
  </si>
  <si>
    <t>Что делать</t>
  </si>
  <si>
    <t>Результат</t>
  </si>
  <si>
    <t>1. Реестр конкурентов</t>
  </si>
  <si>
    <t>Сформирован сопоставимый контур анализа.</t>
  </si>
  <si>
    <t>2. Карта сайта</t>
  </si>
  <si>
    <t>Появляется проверяемая база доказательств, а не субъективное впечатление.</t>
  </si>
  <si>
    <t>3. Модель Левитта</t>
  </si>
  <si>
    <t>Понятно, что именно продает конкурент и за счет каких уровней формируется ценность.</t>
  </si>
  <si>
    <t>4. Модель Кано</t>
  </si>
  <si>
    <t>Понятно, какие признаки должны быть обязательно, какие повышают удовлетворенность, а какие создают отличие.</t>
  </si>
  <si>
    <t>5. Сравнение</t>
  </si>
  <si>
    <t>Оценить конкурентов по критериям товара, сайта и цифрового сервиса по шкале 0–5.</t>
  </si>
  <si>
    <t>Получается количественная карта сильных и слабых сторон.</t>
  </si>
  <si>
    <t>6. Рыночный стандарт</t>
  </si>
  <si>
    <t>Определить признаки, встречающиеся у большинства конкурентов, особенно если они относятся к обязательным или линейным требованиям Кано.</t>
  </si>
  <si>
    <t>Сформулирован минимально приемлемый состав цифрового товара на рынке.</t>
  </si>
  <si>
    <t>7. Преимущества</t>
  </si>
  <si>
    <t>Выделить признаки, которые редки, хорошо реализованы, заметны пользователю и повышают воспринимаемую ценность.</t>
  </si>
  <si>
    <t>Сформирован список конкурентных преимуществ и гипотез дифференциации.</t>
  </si>
  <si>
    <t>8. Итоговая формулировка товара</t>
  </si>
  <si>
    <t>Получено предметное определение цифрового товара и требований к его составу.</t>
  </si>
  <si>
    <t>Шкалы оценки</t>
  </si>
  <si>
    <t>Шкала</t>
  </si>
  <si>
    <t>0</t>
  </si>
  <si>
    <t>1</t>
  </si>
  <si>
    <t>2</t>
  </si>
  <si>
    <t>3</t>
  </si>
  <si>
    <t>4</t>
  </si>
  <si>
    <t>5</t>
  </si>
  <si>
    <t>Когда применять</t>
  </si>
  <si>
    <t>Интерпретация</t>
  </si>
  <si>
    <t>Наличие признака</t>
  </si>
  <si>
    <t>Нет</t>
  </si>
  <si>
    <t>Есть частично</t>
  </si>
  <si>
    <t>Есть явно</t>
  </si>
  <si>
    <t>Есть полно</t>
  </si>
  <si>
    <t>Для бинарных и полуколичественных признаков</t>
  </si>
  <si>
    <t>Сила реализации</t>
  </si>
  <si>
    <t>Слабая</t>
  </si>
  <si>
    <t>Средняя</t>
  </si>
  <si>
    <t>Сильная</t>
  </si>
  <si>
    <t>Для уровня Левитта и качества функции</t>
  </si>
  <si>
    <t>3 означает, что признак хорошо заметен и функционально раскрыт.</t>
  </si>
  <si>
    <t>Пользовательская ценность</t>
  </si>
  <si>
    <t>Низкая</t>
  </si>
  <si>
    <t>Умеренная</t>
  </si>
  <si>
    <t>Высокая</t>
  </si>
  <si>
    <t>Очень высокая</t>
  </si>
  <si>
    <t>Критическая</t>
  </si>
  <si>
    <t>Для оценки влияния на решение о покупке/регистрации/использовании</t>
  </si>
  <si>
    <t>Сравнение конкурентов</t>
  </si>
  <si>
    <t>Очень слабо</t>
  </si>
  <si>
    <t>Слабо</t>
  </si>
  <si>
    <t>Средне</t>
  </si>
  <si>
    <t>Сильно</t>
  </si>
  <si>
    <t>Лучший уровень</t>
  </si>
  <si>
    <t>Для листа «06_Сравнение»</t>
  </si>
  <si>
    <t>Оценки сопоставимы только при одинаковой логике анализа.</t>
  </si>
  <si>
    <t>01. Реестр конкурентов и сайтов</t>
  </si>
  <si>
    <t>ID</t>
  </si>
  <si>
    <t>Наименование конкурента</t>
  </si>
  <si>
    <t>Сайт</t>
  </si>
  <si>
    <t>Страна/рынок</t>
  </si>
  <si>
    <t>Тип конкурента</t>
  </si>
  <si>
    <t>Сегмент аудитории</t>
  </si>
  <si>
    <t>Модель монетизации</t>
  </si>
  <si>
    <t>Цифровой товар по сайту</t>
  </si>
  <si>
    <t>Приоритет анализа</t>
  </si>
  <si>
    <t>Статус</t>
  </si>
  <si>
    <t>Комментарий</t>
  </si>
  <si>
    <t>C01</t>
  </si>
  <si>
    <t>C02</t>
  </si>
  <si>
    <t>C03</t>
  </si>
  <si>
    <t>C04</t>
  </si>
  <si>
    <t>C05</t>
  </si>
  <si>
    <t>C06</t>
  </si>
  <si>
    <t>C07</t>
  </si>
  <si>
    <t>C08</t>
  </si>
  <si>
    <t>02. Карта страниц сайта конкурента</t>
  </si>
  <si>
    <t>ID конкурента</t>
  </si>
  <si>
    <t>Раздел/страница</t>
  </si>
  <si>
    <t>URL</t>
  </si>
  <si>
    <t>Тип страницы</t>
  </si>
  <si>
    <t>Цель анализа</t>
  </si>
  <si>
    <t>Что извлекаем</t>
  </si>
  <si>
    <t>Дата просмотра</t>
  </si>
  <si>
    <t>Скриншот/архив</t>
  </si>
  <si>
    <t>Достоверность 1–5</t>
  </si>
  <si>
    <t>Краткий вывод</t>
  </si>
  <si>
    <t>03. Анализ цифрового товара по модели Левитта</t>
  </si>
  <si>
    <t>Товар/предложение</t>
  </si>
  <si>
    <t>URL/страница</t>
  </si>
  <si>
    <t>Уровень товара по Левитту</t>
  </si>
  <si>
    <t>Элемент товара / признак</t>
  </si>
  <si>
    <t>Как проявлен на сайте</t>
  </si>
  <si>
    <t>Доказательство</t>
  </si>
  <si>
    <t>Наличие 0/1</t>
  </si>
  <si>
    <t>Сила реализации 0–3</t>
  </si>
  <si>
    <t>Понятность 0–3</t>
  </si>
  <si>
    <t>Влияние на ценность 1–5</t>
  </si>
  <si>
    <t>Оценка признака</t>
  </si>
  <si>
    <t>Роль признака</t>
  </si>
  <si>
    <t>Примечание</t>
  </si>
  <si>
    <t>04. Классификация признаков по модели Кано</t>
  </si>
  <si>
    <t>ID требования</t>
  </si>
  <si>
    <t>Функция / признак товара</t>
  </si>
  <si>
    <t>Пользовательская задача</t>
  </si>
  <si>
    <t>Доказательства с сайтов</t>
  </si>
  <si>
    <t>Категория Кано</t>
  </si>
  <si>
    <t>Вес 1–5</t>
  </si>
  <si>
    <t>Кол-во конкурентов с признаком</t>
  </si>
  <si>
    <t>Доля конкурентов</t>
  </si>
  <si>
    <t>Средняя сила реализации 0–5</t>
  </si>
  <si>
    <t>Решение для своего товара</t>
  </si>
  <si>
    <t>Ответственный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</si>
  <si>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</si>
  <si>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</si>
  <si>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</si>
  <si>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</si>
  <si>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</si>
  <si>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</si>
  <si>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</si>
  <si>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</si>
  <si>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</si>
  <si>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</si>
  <si>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</si>
  <si>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</si>
  <si>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</si>
  <si>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</si>
  <si>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</si>
  <si>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</si>
  <si>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</si>
  <si>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</si>
  <si>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</si>
  <si>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</si>
  <si>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</si>
  <si>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</si>
  <si>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</si>
  <si>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</si>
  <si>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</si>
  <si>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05. Определение цифрового товара</t>
  </si>
  <si>
    <t>Блок определения</t>
  </si>
  <si>
    <t>Вопрос для анализа</t>
  </si>
  <si>
    <t>Вывод по рынку</t>
  </si>
  <si>
    <t>Доказательства</t>
  </si>
  <si>
    <t>Связь с Левиттом</t>
  </si>
  <si>
    <t>Связь с Кано</t>
  </si>
  <si>
    <t>Статус для своего товара</t>
  </si>
  <si>
    <t>Минимальная реализация</t>
  </si>
  <si>
    <t>Расширенная реализация</t>
  </si>
  <si>
    <t>Риск исключения</t>
  </si>
  <si>
    <t>Решение</t>
  </si>
  <si>
    <t>Целевая пользовательская задача</t>
  </si>
  <si>
    <t>Какую основную задачу обещает решить товар?</t>
  </si>
  <si>
    <t>1. Базовая выгода</t>
  </si>
  <si>
    <t>Обязательное / Линейное</t>
  </si>
  <si>
    <t>Пользовательский сегмент</t>
  </si>
  <si>
    <t>Для кого товар явно предназначен по сайту конкурентов?</t>
  </si>
  <si>
    <t>Линейное</t>
  </si>
  <si>
    <t>Родовой товар</t>
  </si>
  <si>
    <t>2. Родовой товар</t>
  </si>
  <si>
    <t>Обязательное</t>
  </si>
  <si>
    <t>Ожидаемый состав</t>
  </si>
  <si>
    <t>Какие функции пользователь считает нормой рынка?</t>
  </si>
  <si>
    <t>3. Ожидаемый товар</t>
  </si>
  <si>
    <t>Интерфейс и доступ</t>
  </si>
  <si>
    <t>Оплата и тарифы</t>
  </si>
  <si>
    <t>Какой способ оплаты и представления тарифов является нормой?</t>
  </si>
  <si>
    <t>Поддержка и сопровождение</t>
  </si>
  <si>
    <t>Какой уровень поддержки включен в товар?</t>
  </si>
  <si>
    <t>Расширение ценности</t>
  </si>
  <si>
    <t>4. Расширенный товар</t>
  </si>
  <si>
    <t>Линейное / Привлекательное</t>
  </si>
  <si>
    <t>Доверие и доказательства</t>
  </si>
  <si>
    <t>Потенциальное развитие</t>
  </si>
  <si>
    <t>Какие будущие возможности видны по дорожной карте, интеграциям, пробным функциям, технологиям?</t>
  </si>
  <si>
    <t>5. Потенциальный товар</t>
  </si>
  <si>
    <t>Привлекательное</t>
  </si>
  <si>
    <t>Граница товара</t>
  </si>
  <si>
    <t>Что входит в товар, а что остается услугой, сопровождением или маркетинговым обещанием?</t>
  </si>
  <si>
    <t>Все уровни</t>
  </si>
  <si>
    <t>Все категории</t>
  </si>
  <si>
    <t>Формулировка товара</t>
  </si>
  <si>
    <t>Синтез</t>
  </si>
  <si>
    <t>06. Сравнительная оценка конкурентов</t>
  </si>
  <si>
    <t>ID критерия</t>
  </si>
  <si>
    <t>Группа</t>
  </si>
  <si>
    <t>Критерий</t>
  </si>
  <si>
    <t>Вес</t>
  </si>
  <si>
    <t>Среднее</t>
  </si>
  <si>
    <t>Лучший балл</t>
  </si>
  <si>
    <t>Лидер</t>
  </si>
  <si>
    <t>P01</t>
  </si>
  <si>
    <t>Сущность товара</t>
  </si>
  <si>
    <t>На сайте ясно понятно, какой цифровой товар предлагается</t>
  </si>
  <si>
    <t>P02</t>
  </si>
  <si>
    <t>Целевая пользовательская задача сформулирована конкретно</t>
  </si>
  <si>
    <t>P03</t>
  </si>
  <si>
    <t>Граница товара отделена от консультаций, сопровождения и маркетинговых обещаний</t>
  </si>
  <si>
    <t>P04</t>
  </si>
  <si>
    <t>Функциональность</t>
  </si>
  <si>
    <t>Ключевые функции товара раскрыты через сценарии использования</t>
  </si>
  <si>
    <t>P05</t>
  </si>
  <si>
    <t>Есть демонстрация интерфейса, личного кабинета или результата работы</t>
  </si>
  <si>
    <t>P06</t>
  </si>
  <si>
    <t>Есть пробный доступ, демоверсия, бесплатный фрагмент или понятный вход в использование</t>
  </si>
  <si>
    <t>P07</t>
  </si>
  <si>
    <t>Ценность</t>
  </si>
  <si>
    <t>P08</t>
  </si>
  <si>
    <t>Преимущества связаны с функциями товара, а не только с рекламными обещаниями</t>
  </si>
  <si>
    <t>P09</t>
  </si>
  <si>
    <t>Есть сравнение тарифов, комплектаций или уровней доступа</t>
  </si>
  <si>
    <t>P10</t>
  </si>
  <si>
    <t>Доверие</t>
  </si>
  <si>
    <t>Есть отзывы, кейсы, примеры клиентов или подтверждения результата</t>
  </si>
  <si>
    <t>P11</t>
  </si>
  <si>
    <t>Раскрыты безопасность, обработка данных, юридические условия, гарантии</t>
  </si>
  <si>
    <t>P12</t>
  </si>
  <si>
    <t>Есть прозрачные контакты, реквизиты, команда или сведения о поставщике</t>
  </si>
  <si>
    <t>P13</t>
  </si>
  <si>
    <t>Интерфейс</t>
  </si>
  <si>
    <t>Путь пользователя к покупке/регистрации короткий и понятный</t>
  </si>
  <si>
    <t>P14</t>
  </si>
  <si>
    <t>P15</t>
  </si>
  <si>
    <t>Навигация помогает понять состав товара без лишнего поиска</t>
  </si>
  <si>
    <t>P16</t>
  </si>
  <si>
    <t>Тарифы и оплата</t>
  </si>
  <si>
    <t>Цена, состав тарифа и ограничения раскрыты ясно</t>
  </si>
  <si>
    <t>P17</t>
  </si>
  <si>
    <t>Оплата, возврат, пробный период или условия подключения объяснены без неопределенности</t>
  </si>
  <si>
    <t>P18</t>
  </si>
  <si>
    <t>Сопровождение</t>
  </si>
  <si>
    <t>Поддержка и обучение встроены в товарное предложение</t>
  </si>
  <si>
    <t>P19</t>
  </si>
  <si>
    <t>Есть база знаний, вопросы и ответы, инструкции или документация</t>
  </si>
  <si>
    <t>P20</t>
  </si>
  <si>
    <t>Расширение товара</t>
  </si>
  <si>
    <t>Есть персонализация, рекомендации, интеграции, автоматизация или аналитика</t>
  </si>
  <si>
    <t>P21</t>
  </si>
  <si>
    <t>P22</t>
  </si>
  <si>
    <t>Дифференциация</t>
  </si>
  <si>
    <t>Есть уникальные или редкие товарные признаки</t>
  </si>
  <si>
    <t>P23</t>
  </si>
  <si>
    <t>Отличия хорошо объяснены через пользовательскую ценность</t>
  </si>
  <si>
    <t>P24</t>
  </si>
  <si>
    <t>Рыночный стандарт</t>
  </si>
  <si>
    <t>На сайте закрыты обязательные требования категории</t>
  </si>
  <si>
    <t>P25</t>
  </si>
  <si>
    <t>Предложение не уступает большинству конкурентов по базовым ожиданиям</t>
  </si>
  <si>
    <t>Итоговый взвешенный балл</t>
  </si>
  <si>
    <t>07. Определение рыночного стандарта</t>
  </si>
  <si>
    <t>Лист позволяет отделить обязательную норму рынка от зон дифференциации и спорных признаков.</t>
  </si>
  <si>
    <t>ID признака</t>
  </si>
  <si>
    <t>Признак / требование</t>
  </si>
  <si>
    <t>Источник</t>
  </si>
  <si>
    <t>Уровень Левитта</t>
  </si>
  <si>
    <t>Кол-во конкурентов</t>
  </si>
  <si>
    <t>Средняя сила 0–5</t>
  </si>
  <si>
    <t>Минимальная формулировка стандарта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</si>
  <si>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</si>
  <si>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</si>
  <si>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</si>
  <si>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</si>
  <si>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</si>
  <si>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</si>
  <si>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</si>
  <si>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</si>
  <si>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</si>
  <si>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</si>
  <si>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</si>
  <si>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</si>
  <si>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</si>
  <si>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</si>
  <si>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</si>
  <si>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</si>
  <si>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</si>
  <si>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</si>
  <si>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</si>
  <si>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</si>
  <si>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</si>
  <si>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</si>
  <si>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</si>
  <si>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</si>
  <si>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</si>
  <si>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08. Выявление конкурентных преимуществ по товару</t>
  </si>
  <si>
    <t>Преимущество фиксируется только при наличии доказательства с сайта, пользовательской ценности и отличия от среднего рынка.</t>
  </si>
  <si>
    <t>Признак преимущества</t>
  </si>
  <si>
    <t>Доказательство / URL</t>
  </si>
  <si>
    <t>Тип преимущества</t>
  </si>
  <si>
    <t>Редкость 1–5</t>
  </si>
  <si>
    <t>Сила 1–5</t>
  </si>
  <si>
    <t>Пользовательская ценность 1–5</t>
  </si>
  <si>
    <t>Качество доказательства 1–5</t>
  </si>
  <si>
    <t>Индекс преимущества</t>
  </si>
  <si>
    <t>Вывод</t>
  </si>
  <si>
    <t>Как использовать для своего товара</t>
  </si>
  <si>
    <t>A001</t>
  </si>
  <si>
    <t>A002</t>
  </si>
  <si>
    <t>A003</t>
  </si>
  <si>
    <t>A004</t>
  </si>
  <si>
    <t>A005</t>
  </si>
  <si>
    <t>A006</t>
  </si>
  <si>
    <t>A007</t>
  </si>
  <si>
    <t>A008</t>
  </si>
  <si>
    <t>09. Дашборд анализа цифрового товара</t>
  </si>
  <si>
    <t>Сводные показатели обновляются после заполнения листов. Используйте лист для контроля полноты анализа и обсуждения итоговых выводов.</t>
  </si>
  <si>
    <t>Показатель</t>
  </si>
  <si>
    <t>Значение</t>
  </si>
  <si>
    <t>Норма контроля</t>
  </si>
  <si>
    <t>Количество</t>
  </si>
  <si>
    <t>Доля</t>
  </si>
  <si>
    <t>Кол-во признаков</t>
  </si>
  <si>
    <t>Средняя оценка</t>
  </si>
  <si>
    <t>Конкурентов в анализе</t>
  </si>
  <si>
    <t>5–12</t>
  </si>
  <si>
    <t>Проверенных страниц</t>
  </si>
  <si>
    <t>30+</t>
  </si>
  <si>
    <t>Желательно несколько типов страниц по каждому конкуренту.</t>
  </si>
  <si>
    <t>Признаков по Левитту</t>
  </si>
  <si>
    <t>40+</t>
  </si>
  <si>
    <t>Нужны признаки по всем уровням товара.</t>
  </si>
  <si>
    <t>Требований по Кано</t>
  </si>
  <si>
    <t>25+</t>
  </si>
  <si>
    <t>Обязательные и привлекательные признаки должны быть разделены.</t>
  </si>
  <si>
    <t>Безразличное</t>
  </si>
  <si>
    <t>Рыночных стандартов</t>
  </si>
  <si>
    <t>по факту</t>
  </si>
  <si>
    <t>Это минимальная планка цифрового товара.</t>
  </si>
  <si>
    <t>Обратное</t>
  </si>
  <si>
    <t>Зон дифференциации</t>
  </si>
  <si>
    <t>Это пространство для конкурентного отличия.</t>
  </si>
  <si>
    <t>Неясное</t>
  </si>
  <si>
    <t>Сильных преимуществ</t>
  </si>
  <si>
    <t>Проверять доказательства и воспроизводимость.</t>
  </si>
  <si>
    <t>Итоговые баллы конкурентов</t>
  </si>
  <si>
    <t>Итоговые управленческие выводы</t>
  </si>
  <si>
    <t>1. Минимальный состав цифрового товара</t>
  </si>
  <si>
    <t>2. Признаки, которые нельзя игнорировать</t>
  </si>
  <si>
    <t>3. Главные зоны дифференциации</t>
  </si>
  <si>
    <t>4. Лучшие практики конкурентов</t>
  </si>
  <si>
    <t>5. Риски копирования конкурентов без проверки спроса</t>
  </si>
  <si>
    <t>99. Справочники для заполнения</t>
  </si>
  <si>
    <t>Лист содержит подсказки по классификациям, используемым в шаблоне.</t>
  </si>
  <si>
    <t>Справочник</t>
  </si>
  <si>
    <t>Пояснение</t>
  </si>
  <si>
    <t>Уровни Левитта</t>
  </si>
  <si>
    <t>Главная задача и ценность для пользователя.</t>
  </si>
  <si>
    <t>То, что пользователь считает нормой категории.</t>
  </si>
  <si>
    <t>Дополнительные элементы, повышающие ценность и доверие.</t>
  </si>
  <si>
    <t>Будущие функции, развитие, интеграции, персонализация, данные.</t>
  </si>
  <si>
    <t>Категории Кано</t>
  </si>
  <si>
    <t>Отсутствие вызывает неудовлетворенность; наличие обычно воспринимается как норма.</t>
  </si>
  <si>
    <t>Чем лучше реализовано, тем выше удовлетворенность и готовность выбрать товар.</t>
  </si>
  <si>
    <t>Не ожидается большинством, но создает положительное отличие.</t>
  </si>
  <si>
    <t>Слабо влияет на выбор и удовлетворенность.</t>
  </si>
  <si>
    <t>Может снижать удовлетворенность или создавать отторжение.</t>
  </si>
  <si>
    <t>Недостаточно данных для классификации.</t>
  </si>
  <si>
    <t>Типы преимуществ</t>
  </si>
  <si>
    <t>Функциональное</t>
  </si>
  <si>
    <t>Лучший набор функций или качество их реализации.</t>
  </si>
  <si>
    <t>Экономическое</t>
  </si>
  <si>
    <t>Цена, стоимость владения, экономия ресурсов.</t>
  </si>
  <si>
    <t>Интерфейсное</t>
  </si>
  <si>
    <t>Простота, скорость и понятность пользовательского пути.</t>
  </si>
  <si>
    <t>Сервисное</t>
  </si>
  <si>
    <t>Поддержка, сопровождение, обучение, гарантия результата.</t>
  </si>
  <si>
    <t>Доверительное</t>
  </si>
  <si>
    <t>Доказательства надежности, безопасность, репутация.</t>
  </si>
  <si>
    <t>Данные и аналитика</t>
  </si>
  <si>
    <t>Персонализация, рекомендации, отчеты, прогнозы.</t>
  </si>
  <si>
    <t>Сетевой эффект</t>
  </si>
  <si>
    <t>Ценность растет с числом пользователей, участников, данных или партнеров.</t>
  </si>
  <si>
    <t>Интеграционное</t>
  </si>
  <si>
    <t>Связь с другими системами и процессами пользователя.</t>
  </si>
  <si>
    <t>Контентное</t>
  </si>
  <si>
    <t>Качество, глубина, эксклюзивность или регулярность материалов.</t>
  </si>
  <si>
    <t>PerfectXL</t>
  </si>
  <si>
    <t>https://www.perfectxl.com/</t>
  </si>
  <si>
    <t>Нидерланды, мир</t>
  </si>
  <si>
    <t>прямой</t>
  </si>
  <si>
    <t>аудиторские, налоговые и консалтинговые фирмы, страховщики, пенсионные фонды, контролеры</t>
  </si>
  <si>
    <t>подписка на инструменты и пакеты, услуги и обучение</t>
  </si>
  <si>
    <t>высокий</t>
  </si>
  <si>
    <t>Подтверждено</t>
  </si>
  <si>
    <t>Просмотр страниц сайта</t>
  </si>
  <si>
    <t>Arixcel</t>
  </si>
  <si>
    <t>https://www.arixcel.com/</t>
  </si>
  <si>
    <t>мир (США, Австралия, Япония)</t>
  </si>
  <si>
    <t>профессиональные пользователи Excel и моделисты</t>
  </si>
  <si>
    <t>Operis</t>
  </si>
  <si>
    <t>https://www.operis.com/</t>
  </si>
  <si>
    <t>Великобритания, мир</t>
  </si>
  <si>
    <t>проектное финансирование, инфраструктура</t>
  </si>
  <si>
    <t>консалтинг и аудит моделей, надстройка OAK, обучение</t>
  </si>
  <si>
    <t>Model Audit, OAK (надстройка Excel), онлайн-курс по моделированию</t>
  </si>
  <si>
    <t>Shortcut</t>
  </si>
  <si>
    <t>https://www.shortcut.ai/</t>
  </si>
  <si>
    <t>США, мир</t>
  </si>
  <si>
    <t>частичный</t>
  </si>
  <si>
    <t>хедж-фонды, PE, банки, управляющие активами, FP&amp;A-команды</t>
  </si>
  <si>
    <t>подписка Free / Pro / Teams / Enterprise</t>
  </si>
  <si>
    <t>AI-агент для финансового моделирования в Excel, веб и CLI</t>
  </si>
  <si>
    <t>Numerous.ai</t>
  </si>
  <si>
    <t>https://www.numerous.ai/</t>
  </si>
  <si>
    <t>заменитель</t>
  </si>
  <si>
    <t>маркетологи, студенты, исследователи, менеджеры</t>
  </si>
  <si>
    <t>функция =AI для ChatGPT в Google Sheets и Excel</t>
  </si>
  <si>
    <t>Datarails</t>
  </si>
  <si>
    <t>https://datarails.com/</t>
  </si>
  <si>
    <t>США, Израиль</t>
  </si>
  <si>
    <t>CFO, финансовые директора и контролеры компаний среднего размера</t>
  </si>
  <si>
    <t>подписка по запросу, демо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</si>
  <si>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</si>
  <si>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</si>
  <si>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</si>
  <si>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корпоративные продажи, демо</t>
  </si>
  <si>
    <t>агентная автоматизация аудита, надстройка Excel, извлечение данных из документов</t>
  </si>
  <si>
    <t>Главная</t>
  </si>
  <si>
    <t>главная</t>
  </si>
  <si>
    <t>ценностное предложение</t>
  </si>
  <si>
    <t>Software That Helps You Master Excel; клиенты Deloitte, Grant Thornton, BDO; премия 2026</t>
  </si>
  <si>
    <t>-</t>
  </si>
  <si>
    <t>Позиционирование на контроле качества и рисках</t>
  </si>
  <si>
    <t>Цены</t>
  </si>
  <si>
    <t>https://www.perfectxl.com/pricing/</t>
  </si>
  <si>
    <t>тарифы</t>
  </si>
  <si>
    <t>модель монетизации</t>
  </si>
  <si>
    <t>Цены раскрыты частично</t>
  </si>
  <si>
    <t>состав товара</t>
  </si>
  <si>
    <t>Узкий инструмент без цен и без отзывов</t>
  </si>
  <si>
    <t>услуги и товар</t>
  </si>
  <si>
    <t>Advisory, Modelling, Model Audit, Tax &amp; Accounting, OAK, Training; с 1990 г., более 1 200 проектов</t>
  </si>
  <si>
    <t>Консалтинговый бизнес с надстройкой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</si>
  <si>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</si>
  <si>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</si>
  <si>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</si>
  <si>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Прозрачные тарифы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</si>
  <si>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</si>
  <si>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</si>
  <si>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</si>
  <si>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Один тариф</t>
  </si>
  <si>
    <t>Trusted AI for Finance Teams; 600+ интеграций; 2 000+ клиентов</t>
  </si>
  <si>
    <t>Платформа, а не инструмент проверки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</si>
  <si>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</si>
  <si>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</si>
  <si>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</si>
  <si>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</si>
  <si>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отзывы</t>
  </si>
  <si>
    <t>доверие</t>
  </si>
  <si>
    <t>карточки на G2 нет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</si>
  <si>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</si>
  <si>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</si>
  <si>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</si>
  <si>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</si>
  <si>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</si>
  <si>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</si>
  <si>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</si>
  <si>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</si>
  <si>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</si>
  <si>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</si>
  <si>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</si>
  <si>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каталог надстроек</t>
  </si>
  <si>
    <t>канал</t>
  </si>
  <si>
    <t>OAK (Excel add-in) указан на сайте; в AppSource по запросу formula checker найден 1 результат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</si>
  <si>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</si>
  <si>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</si>
  <si>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</si>
  <si>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</si>
  <si>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</si>
  <si>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безопасность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</si>
  <si>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</si>
  <si>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</si>
  <si>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</si>
  <si>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</si>
  <si>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</si>
  <si>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</si>
  <si>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</si>
  <si>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интеграции</t>
  </si>
  <si>
    <t>ценность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</si>
  <si>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</si>
  <si>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</si>
  <si>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</si>
  <si>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</si>
  <si>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</si>
  <si>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</si>
  <si>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</si>
  <si>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</si>
  <si>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</si>
  <si>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</si>
  <si>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</si>
  <si>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</si>
  <si>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</si>
  <si>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</si>
  <si>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</si>
  <si>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</si>
  <si>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</si>
  <si>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</si>
  <si>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</si>
  <si>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</si>
  <si>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цены</t>
  </si>
  <si>
    <t>Цена опубликована, лестницы тарифов нет</t>
  </si>
  <si>
    <t>Цены OAK</t>
  </si>
  <si>
    <t>https://www.operisanalysiskit.com/oak-price/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</si>
  <si>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</si>
  <si>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</si>
  <si>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</si>
  <si>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</si>
  <si>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</si>
  <si>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</si>
  <si>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Путь от пробы к подписке без продавца</t>
  </si>
  <si>
    <t>Подвал сайта</t>
  </si>
  <si>
    <t>правовые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</si>
  <si>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</si>
  <si>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</si>
  <si>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</si>
  <si>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</si>
  <si>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</si>
  <si>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</si>
  <si>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</si>
  <si>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</si>
  <si>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пробный доступ</t>
  </si>
  <si>
    <t>вход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</si>
  <si>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</si>
  <si>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</si>
  <si>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</si>
  <si>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</si>
  <si>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</si>
  <si>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Поиск ошибок формул и аномалий</t>
  </si>
  <si>
    <t>главная и продуктовые страницы</t>
  </si>
  <si>
    <t>страницы сайта</t>
  </si>
  <si>
    <t>Трассировка зависимостей и карта формул</t>
  </si>
  <si>
    <t>страницы продукта</t>
  </si>
  <si>
    <t>Сравнение версий файлов</t>
  </si>
  <si>
    <t>страница Compare / продукт</t>
  </si>
  <si>
    <t>Отчет аудита с экспортом</t>
  </si>
  <si>
    <t>страницы пакетов и аудита</t>
  </si>
  <si>
    <t>Надстройка для Excel</t>
  </si>
  <si>
    <t>главная и загрузка</t>
  </si>
  <si>
    <t>Пробный доступ или бесплатный тариф</t>
  </si>
  <si>
    <t>цены и главная</t>
  </si>
  <si>
    <t>Прозрачные тарифы на сайте</t>
  </si>
  <si>
    <t>страница цен</t>
  </si>
  <si>
    <t>Кейсы, клиенты и отзывы</t>
  </si>
  <si>
    <t>клиенты и кейсы</t>
  </si>
  <si>
    <t>Документация и обучение</t>
  </si>
  <si>
    <t>академия и справка</t>
  </si>
  <si>
    <t>Командная работа и совместный аудит</t>
  </si>
  <si>
    <t>корпоративные пакеты</t>
  </si>
  <si>
    <t>Подсветка проблемных ячеек в файле</t>
  </si>
  <si>
    <t>продуктовые страницы</t>
  </si>
  <si>
    <t>Оценка рисков и здоровья модели</t>
  </si>
  <si>
    <t>Библиотека правил проверки</t>
  </si>
  <si>
    <t>страницы продукта и принципов</t>
  </si>
  <si>
    <t>Веб-версия без установки</t>
  </si>
  <si>
    <t>AI-пояснения и подсказки</t>
  </si>
  <si>
    <t>главная и функции</t>
  </si>
  <si>
    <t>Безопасность и соответствие (SOC 2, GDPR)</t>
  </si>
  <si>
    <t>доверие и безопасность</t>
  </si>
  <si>
    <t>Интеграции и API</t>
  </si>
  <si>
    <t>Автоматическое исправление ошибок</t>
  </si>
  <si>
    <t>страница агента</t>
  </si>
  <si>
    <t>Работа в Google Sheets</t>
  </si>
  <si>
    <t>главная и интеграции</t>
  </si>
  <si>
    <t>Политика хранения и удаления данных</t>
  </si>
  <si>
    <t>Ролевой доступ в команде</t>
  </si>
  <si>
    <t>страницы безопасности и цен</t>
  </si>
  <si>
    <t>Журнал изменений и трассировка источников</t>
  </si>
  <si>
    <t>страницы безопасности и продукта</t>
  </si>
  <si>
    <t>Доказательство вывода детерминированным движком</t>
  </si>
  <si>
    <t>заявления о проверяемости</t>
  </si>
  <si>
    <t>Интеграции с ERP и учетными системами</t>
  </si>
  <si>
    <t>страница интеграций</t>
  </si>
  <si>
    <t>Извлечение данных из документов</t>
  </si>
  <si>
    <t>найти ошибки до отправки файла</t>
  </si>
  <si>
    <t>включить в MVP (ядро проверки)</t>
  </si>
  <si>
    <t>понять, как считается результат</t>
  </si>
  <si>
    <t>рассмотреть во втором релизе</t>
  </si>
  <si>
    <t>увидеть, что изменилось</t>
  </si>
  <si>
    <t>рассмотреть как дифференциацию после MVP</t>
  </si>
  <si>
    <t>передать результат проверки</t>
  </si>
  <si>
    <t>включить в MVP в базовой форме, экспорт - во втором релизе</t>
  </si>
  <si>
    <t>работать в привычной среде</t>
  </si>
  <si>
    <t>включить в релиз 3 (бета v1); в MVP его заменяет веб-аудит</t>
  </si>
  <si>
    <t>быстро проверить файл</t>
  </si>
  <si>
    <t>понять причину и исправление</t>
  </si>
  <si>
    <t>рассмотреть для релиза 3 после проверки спроса (AI-пояснения)</t>
  </si>
  <si>
    <t>довериться результату проверки</t>
  </si>
  <si>
    <t>включить в MVP как ядро дифференциации</t>
  </si>
  <si>
    <t>безопасно загружать файлы</t>
  </si>
  <si>
    <t>включить в MVP</t>
  </si>
  <si>
    <t>попробовать без обязательств</t>
  </si>
  <si>
    <t>включить в MVP (бесплатный тариф)</t>
  </si>
  <si>
    <t>понять цену до разговора с продавцом</t>
  </si>
  <si>
    <t>включить в MVP (страница тарифов)</t>
  </si>
  <si>
    <t>встроить проверку в процесс</t>
  </si>
  <si>
    <t>рассмотреть после проверки спроса (API)</t>
  </si>
  <si>
    <t>убедиться в надежности поставщика</t>
  </si>
  <si>
    <t>включить в MVP (примеры найденных ошибок, первые отзывы)</t>
  </si>
  <si>
    <t>освоить продукт без помощи</t>
  </si>
  <si>
    <t>включить в MVP в минимальной форме (справка)</t>
  </si>
  <si>
    <t>работать группой</t>
  </si>
  <si>
    <t>включить в релиз Team (следующий релиз)</t>
  </si>
  <si>
    <t>увидеть ошибки прямо в таблице</t>
  </si>
  <si>
    <t>рассмотреть как дифференциацию</t>
  </si>
  <si>
    <t>понять общий уровень риска файла</t>
  </si>
  <si>
    <t>проверять по известным принципам моделирования</t>
  </si>
  <si>
    <t>рассмотреть как дифференциацию (шаблоны правил)</t>
  </si>
  <si>
    <t>использовать сервис вне Excel</t>
  </si>
  <si>
    <t>не делать (вне границ ПЗ1)</t>
  </si>
  <si>
    <t>получать данные из учета без выгрузки</t>
  </si>
  <si>
    <t>не делать при дефиците ресурсов</t>
  </si>
  <si>
    <t>знать, сколько хранится файл</t>
  </si>
  <si>
    <t>разграничить права пользователей</t>
  </si>
  <si>
    <t>включить в релиз Team</t>
  </si>
  <si>
    <t>проследить каждое изменение и источник</t>
  </si>
  <si>
    <t>сверить таблицу с первичными документами</t>
  </si>
  <si>
    <t>04_Кано</t>
  </si>
  <si>
    <t>Методология 39 принципов, подтвержденная вузами, и клиенты Big-4</t>
  </si>
  <si>
    <t>perfectxl.com</t>
  </si>
  <si>
    <t>Учесть при формировании предложения TableMind (ЛР6)</t>
  </si>
  <si>
    <t>Широкий набор инструментов проверки в одном пакете</t>
  </si>
  <si>
    <t>perfectxl.com/products</t>
  </si>
  <si>
    <t>товарное</t>
  </si>
  <si>
    <t>Прозрачная лестница тарифов и бесплатный вход</t>
  </si>
  <si>
    <t>shortcut.ai/pricing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</si>
  <si>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</si>
  <si>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</si>
  <si>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</si>
  <si>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</si>
  <si>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numerous.ai/pricing</t>
  </si>
  <si>
    <t>ценовое</t>
  </si>
  <si>
    <t>Более 600 интеграций и 2 000 клиентов</t>
  </si>
  <si>
    <t>datarails.com</t>
  </si>
  <si>
    <t>ресурсное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</si>
  <si>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</si>
  <si>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</si>
  <si>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</si>
  <si>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operis.com</t>
  </si>
  <si>
    <t>репутационное</t>
  </si>
  <si>
    <t>Проверить Excel-модель на ошибки и доказать результат</t>
  </si>
  <si>
    <t>R001, R008</t>
  </si>
  <si>
    <t>Финансовые аналитики, аудиторы, консультанты и МСП</t>
  </si>
  <si>
    <t>сайты PerfectXL, Shortcut, Datarails</t>
  </si>
  <si>
    <t>Надстройка Excel и веб-сервис с личным кабинетом</t>
  </si>
  <si>
    <t>R005, R006</t>
  </si>
  <si>
    <t>Поиск ошибок, карта зависимостей, отчет аудита</t>
  </si>
  <si>
    <t>R001-R004</t>
  </si>
  <si>
    <t>Надстройка Excel, веб, личный кабинет</t>
  </si>
  <si>
    <t>Бесплатный вход и прозрачные тарифы, подписка</t>
  </si>
  <si>
    <t>R010, R011</t>
  </si>
  <si>
    <t>Документация и обучение; поддержка по тарифам</t>
  </si>
  <si>
    <t>AI-пояснения, интеграции, командная работа</t>
  </si>
  <si>
    <t>R007, R012, R015</t>
  </si>
  <si>
    <t>Безопасность (SOC 2, GDPR), кейсы и отзывы</t>
  </si>
  <si>
    <t>R009, R013</t>
  </si>
  <si>
    <t>Доказательство движком и автоисправление</t>
  </si>
  <si>
    <t>R008, R016</t>
  </si>
  <si>
    <t>Проверка и доказательство входят; консалтинг и сопровождение вне товара</t>
  </si>
  <si>
    <t>ПЗ1</t>
  </si>
  <si>
    <t>Цифровой товар TableMind - облачная проверка Excel-моделей для финансовых специалистов, находящая ошибки и доказывающая их вычислением, чтобы снизить риск неверных решений</t>
  </si>
  <si>
    <t>синтез</t>
  </si>
  <si>
    <t>Анализ конкурентов по сайтам</t>
  </si>
  <si>
    <t>Назначение - определить рыночный стандарт цифрового товара, выделить конкурентные преимущества по товару и сформулировать сам цифровой товар через модель Левитта и модель Кано.</t>
  </si>
  <si>
    <t>Зафиксировать проверенные страницы - главная, лендинг товара, тарифы, функциональные страницы, личный кабинет, поддержка, вопросы и ответы, блог, документация.</t>
  </si>
  <si>
    <t>Разложить цифровой товар на уровни - базовая выгода, родовой товар, ожидаемый товар, расширенный товар, потенциальный товар.</t>
  </si>
  <si>
    <t>Классифицировать функции и признаки товара - обязательные, линейные, привлекательные, безразличные, обратные, неясные.</t>
  </si>
  <si>
    <t>На листе «05_Матрица_товара» собрать описание целевого цифрового товара - для кого, какую задачу решает, какие функции включает, где границы продукта.</t>
  </si>
  <si>
    <t>0 - отсутствует; 1–3 - степень проявления.</t>
  </si>
  <si>
    <t>4–5 - признак способен влиять на выбор товара.</t>
  </si>
  <si>
    <t>PerfectXL Suite - Risk Finder, Explore, Compare, Highlighter, Formula Inspector, Source Inspector</t>
  </si>
  <si>
    <t>лицензия на надстройку (3,2 у.е. за пользователя в месяц, срок 12-36 месяцев)</t>
  </si>
  <si>
    <t>Arixcel Explorer - логика формул, сравнение таблиц, карта формул, трассировка зависимых ячеек</t>
  </si>
  <si>
    <t>подписка 8,9 у.е. в месяц</t>
  </si>
  <si>
    <t>FinanceOS - FP&amp;A, закрытие месяца, денежные потоки, контроль расходов</t>
  </si>
  <si>
    <t>один инструмент от 69 у.е. в месяц; пакеты без цен; обучение от 49 у.е.</t>
  </si>
  <si>
    <t>надстройка Excel - логика формул, сравнение, карта формул, трассировка</t>
  </si>
  <si>
    <t>Free, Pro 89 у.е., Teams 284 у.е. + 89 у.е. за место, Enterprise</t>
  </si>
  <si>
    <t>8,9 у.е. в месяц, 7 дней пробного периода</t>
  </si>
  <si>
    <t>3,2 у.е. за пользователя в месяц, лицензия 12-36 месяцев, только Windows, пробный режим</t>
  </si>
  <si>
    <t>подписка 365 у.е. в год, более 30 инструментов, Try OAK и Buy now</t>
  </si>
  <si>
    <t>7 дней бесплатно, оплата за год, 8,9 у.е. в месяц, лимит 500 тыс. символов</t>
  </si>
  <si>
    <t>реализовано в MVP - веб-аудит без установки</t>
  </si>
  <si>
    <t>Используйте этот лист для итогового синтеза - какие элементы входят в цифровой товар, какие являются обязательными, а какие формируют отличие.</t>
  </si>
  <si>
    <t>Какой минимальный цифровой объект продается - сервис, приложение, платформа, курс, кабинет, база данных, подписка?</t>
  </si>
  <si>
    <t>Как организован доступ - сайт, приложение, личный кабинет, мобильная версия, интеграции?</t>
  </si>
  <si>
    <t>Какие дополнительные функции повышают ценность - персонализация, аналитика, рекомендации, автоматизация?</t>
  </si>
  <si>
    <t>Какие элементы подтверждают надежность - кейсы, отзывы, сертификаты, политика безопасности, гарантии?</t>
  </si>
  <si>
    <t>Сформулируйте итог - цифровой товар - это… для… который решает… за счет…</t>
  </si>
  <si>
    <t>Показана измеримая выгода - экономия времени, денег, снижение риска, рост результата</t>
  </si>
  <si>
    <t>Призыв к действию соответствует стадии выбора - узнать, попробовать, купить, запросить демо</t>
  </si>
  <si>
    <t>Есть признаки будущего развития товара - дорожная карта, обновления, новые функции</t>
  </si>
  <si>
    <t>Рекомендация</t>
  </si>
  <si>
    <t>Меньше 5 - риск случайных выводов.</t>
  </si>
  <si>
    <t>Минимальная форма товара - сервис, приложение, кабинет, база, подписка.</t>
  </si>
  <si>
    <t>Лист «01_Конкуренты» - прямые конкуренты, косвенные конкуренты, эталонные сайты для наблюдения за лучшей практикой.</t>
  </si>
  <si>
    <t>Список конкурентов и базовые параметры. ID конкурента используется в остальных листах для связки данных.</t>
  </si>
  <si>
    <t>Каждую страницу, которая стала источником вывода. Это повышает воспроизводимость анализа и качество итоговых решений.</t>
  </si>
  <si>
    <t>Товар конкурента на уровни - от базовой выгоды до потенциального развития. Оценка признака рассчитывается автоматически.</t>
  </si>
  <si>
    <t>Требования к цифровому товару - что обязательно, что прямо повышает удовлетворенность, а что создает эффект привлекательности.</t>
  </si>
  <si>
    <t>Рассчитывается формулой</t>
  </si>
  <si>
    <t>Каждый критерий по шкале 0–5. Вес показывает влияние критерия на товарную конкурентоспособность.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</si>
</sst>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sz val="11"/>
      <name val="Carlito"/>
    </font>
    <font>
      <b/>
      <sz val="11"/>
      <color rgb="FFFFFFFF"/>
      <name val="Calibri"/>
      <family val="2"/>
      <charset val="204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4" fillId="0" borderId="0" xfId="0" applyFont="1" applyAlignment="1">
      <alignment vertical="center" wrapText="1"/>
    </xf>
    <xf numFmtId="0" fontId="4" fillId="0" borderId="0" xfId="1" applyFont="1" applyAlignment="1">
      <alignment vertical="center" wrapText="1"/>
    </xf>
    <xf numFmtId="0" fontId="2" fillId="4" borderId="1" xfId="1" applyFont="1" applyFill="1" applyBorder="1" applyAlignment="1">
      <alignment horizontal="center" vertical="center" wrapText="1"/>
    </xf>
    <xf numFmtId="0" fontId="2" fillId="4" borderId="2" xfId="1" applyFont="1" applyFill="1" applyBorder="1" applyAlignment="1">
      <alignment horizontal="center" vertical="center" wrapText="1"/>
    </xf>
    <xf numFmtId="0" fontId="2" fillId="4" borderId="3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2" fillId="4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0" borderId="4" xfId="1" applyFont="1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9" fontId="4" fillId="0" borderId="1" xfId="1" applyNumberFormat="1" applyFont="1" applyBorder="1" applyAlignment="1">
      <alignment horizontal="center" vertical="center" wrapText="1"/>
    </xf>
    <xf numFmtId="9" fontId="4" fillId="0" borderId="2" xfId="1" applyNumberFormat="1" applyFont="1" applyBorder="1" applyAlignment="1">
      <alignment horizontal="center" vertical="center" wrapText="1"/>
    </xf>
    <xf numFmtId="9" fontId="4" fillId="0" borderId="3" xfId="1" applyNumberFormat="1" applyFont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9" fontId="4" fillId="0" borderId="4" xfId="1" applyNumberFormat="1" applyFont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3" xfId="1" applyFont="1" applyFill="1" applyBorder="1" applyAlignment="1">
      <alignment horizontal="left" vertical="center" wrapText="1"/>
    </xf>
    <xf numFmtId="0" fontId="5" fillId="2" borderId="1" xfId="1" applyFont="1" applyFill="1" applyBorder="1" applyAlignment="1">
      <alignment horizontal="left" vertical="center" wrapText="1"/>
    </xf>
    <xf numFmtId="0" fontId="5" fillId="2" borderId="4" xfId="1" applyFont="1" applyFill="1" applyBorder="1" applyAlignment="1">
      <alignment horizontal="left" vertical="center" wrapText="1"/>
    </xf>
    <xf numFmtId="0" fontId="4" fillId="3" borderId="4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vertical="center" wrapText="1"/>
    </xf>
    <xf numFmtId="0" fontId="4" fillId="3" borderId="4" xfId="1" applyFont="1" applyFill="1" applyBorder="1" applyAlignment="1">
      <alignment vertical="center" wrapText="1"/>
    </xf>
    <xf numFmtId="0" fontId="4" fillId="3" borderId="2" xfId="1" applyFont="1" applyFill="1" applyBorder="1" applyAlignment="1">
      <alignment vertical="center" wrapText="1"/>
    </xf>
    <xf numFmtId="0" fontId="4" fillId="3" borderId="3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125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Распределение требований по Кано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spPr>
            <a:solidFill>
              <a:srgbClr val="1F4E79"/>
            </a:solidFill>
          </c:spPr>
          <c:invertIfNegative val="1"/>
          <c:cat>
            <c:strRef>
              <c:f>'09_Дашборд'!$F$4:$F$9</c:f>
              <c:strCache>
                <c:ptCount val="6"/>
                <c:pt idx="0">
                  <c:v>Обязательное</c:v>
                </c:pt>
                <c:pt idx="1">
                  <c:v>Линейное</c:v>
                </c:pt>
                <c:pt idx="2">
                  <c:v>Привлекательное</c:v>
                </c:pt>
                <c:pt idx="3">
                  <c:v>Безразличное</c:v>
                </c:pt>
                <c:pt idx="4">
                  <c:v>Обратное</c:v>
                </c:pt>
                <c:pt idx="5">
                  <c:v>Неясное</c:v>
                </c:pt>
              </c:strCache>
            </c:strRef>
          </c:cat>
          <c:val>
            <c:numRef>
              <c:f>'09_Дашборд'!$G$4:$G$9</c:f>
              <c:numCache>
                <c:formatCode>General</c:formatCode>
                <c:ptCount val="6"/>
                <c:pt idx="0">
                  <c:v>5</c:v>
                </c:pt>
                <c:pt idx="1">
                  <c:v>11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078-4FF6-ADDC-45E58F682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Итоговые баллы конкурентов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C02</c:v>
          </c:tx>
          <c:spPr>
            <a:solidFill>
              <a:srgbClr val="1F4E79"/>
            </a:solidFill>
          </c:spPr>
          <c:invertIfNegative val="1"/>
          <c:cat>
            <c:numRef>
              <c:f>'09_Дашборд'!$A$15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'09_Дашборд'!$B$15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E389-4C1A-9874-9F2A6DFACB9D}"/>
            </c:ext>
          </c:extLst>
        </c:ser>
        <c:ser>
          <c:idx val="1"/>
          <c:order val="1"/>
          <c:tx>
            <c:v>C03</c:v>
          </c:tx>
          <c:spPr>
            <a:solidFill>
              <a:srgbClr val="2E75B6"/>
            </a:solidFill>
          </c:spPr>
          <c:invertIfNegative val="1"/>
          <c:cat>
            <c:numRef>
              <c:f>'09_Дашборд'!$A$15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'09_Дашборд'!$C$15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E389-4C1A-9874-9F2A6DFACB9D}"/>
            </c:ext>
          </c:extLst>
        </c:ser>
        <c:ser>
          <c:idx val="2"/>
          <c:order val="2"/>
          <c:tx>
            <c:v>C04</c:v>
          </c:tx>
          <c:spPr>
            <a:solidFill>
              <a:srgbClr val="9DC3E6"/>
            </a:solidFill>
          </c:spPr>
          <c:invertIfNegative val="1"/>
          <c:cat>
            <c:numRef>
              <c:f>'09_Дашборд'!$A$15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'09_Дашборд'!$D$15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E389-4C1A-9874-9F2A6DFACB9D}"/>
            </c:ext>
          </c:extLst>
        </c:ser>
        <c:ser>
          <c:idx val="3"/>
          <c:order val="3"/>
          <c:tx>
            <c:v>C05</c:v>
          </c:tx>
          <c:spPr>
            <a:solidFill>
              <a:srgbClr val="5B9BD5"/>
            </a:solidFill>
          </c:spPr>
          <c:invertIfNegative val="1"/>
          <c:cat>
            <c:numRef>
              <c:f>'09_Дашборд'!$A$15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'09_Дашборд'!$E$15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3-E389-4C1A-9874-9F2A6DFACB9D}"/>
            </c:ext>
          </c:extLst>
        </c:ser>
        <c:ser>
          <c:idx val="4"/>
          <c:order val="4"/>
          <c:tx>
            <c:v>C06</c:v>
          </c:tx>
          <c:spPr>
            <a:solidFill>
              <a:srgbClr val="BDD7EE"/>
            </a:solidFill>
          </c:spPr>
          <c:invertIfNegative val="1"/>
          <c:cat>
            <c:numRef>
              <c:f>'09_Дашборд'!$A$15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'09_Дашборд'!$F$15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4-E389-4C1A-9874-9F2A6DFACB9D}"/>
            </c:ext>
          </c:extLst>
        </c:ser>
        <c:ser>
          <c:idx val="5"/>
          <c:order val="5"/>
          <c:tx>
            <c:v>C07</c:v>
          </c:tx>
          <c:spPr>
            <a:solidFill>
              <a:srgbClr val="1F4E79"/>
            </a:solidFill>
          </c:spPr>
          <c:invertIfNegative val="1"/>
          <c:cat>
            <c:numRef>
              <c:f>'09_Дашборд'!$A$15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'09_Дашборд'!$G$15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5-E389-4C1A-9874-9F2A6DFACB9D}"/>
            </c:ext>
          </c:extLst>
        </c:ser>
        <c:ser>
          <c:idx val="6"/>
          <c:order val="6"/>
          <c:tx>
            <c:v>C08</c:v>
          </c:tx>
          <c:spPr>
            <a:solidFill>
              <a:srgbClr val="2E75B6"/>
            </a:solidFill>
          </c:spPr>
          <c:invertIfNegative val="1"/>
          <c:cat>
            <c:numRef>
              <c:f>'09_Дашборд'!$A$15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'09_Дашборд'!$H$15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E389-4C1A-9874-9F2A6DFACB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2</xdr:col>
      <xdr:colOff>365125</xdr:colOff>
      <xdr:row>45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517525</xdr:colOff>
      <xdr:row>26</xdr:row>
      <xdr:rowOff>0</xdr:rowOff>
    </xdr:from>
    <xdr:to>
      <xdr:col>4</xdr:col>
      <xdr:colOff>882650</xdr:colOff>
      <xdr:row>45</xdr:row>
      <xdr:rowOff>44450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etitorsTable" displayName="CompetitorsTable" ref="A3:K10" headerRowDxfId="124" dataDxfId="123" totalsRowDxfId="122">
  <tableColumns count="11">
    <tableColumn id="1" xr3:uid="{00000000-0010-0000-0000-000001000000}" name="ID" dataDxfId="121"/>
    <tableColumn id="2" xr3:uid="{00000000-0010-0000-0000-000002000000}" name="Наименование конкурента" dataDxfId="120"/>
    <tableColumn id="3" xr3:uid="{00000000-0010-0000-0000-000003000000}" name="Сайт" dataDxfId="119"/>
    <tableColumn id="4" xr3:uid="{00000000-0010-0000-0000-000004000000}" name="Страна/рынок" dataDxfId="118"/>
    <tableColumn id="5" xr3:uid="{00000000-0010-0000-0000-000005000000}" name="Тип конкурента" dataDxfId="117"/>
    <tableColumn id="6" xr3:uid="{00000000-0010-0000-0000-000006000000}" name="Сегмент аудитории" dataDxfId="116"/>
    <tableColumn id="7" xr3:uid="{00000000-0010-0000-0000-000007000000}" name="Модель монетизации" dataDxfId="115"/>
    <tableColumn id="8" xr3:uid="{00000000-0010-0000-0000-000008000000}" name="Цифровой товар по сайту" dataDxfId="114"/>
    <tableColumn id="9" xr3:uid="{00000000-0010-0000-0000-000009000000}" name="Приоритет анализа" dataDxfId="113"/>
    <tableColumn id="10" xr3:uid="{00000000-0010-0000-0000-00000A000000}" name="Статус" dataDxfId="112"/>
    <tableColumn id="11" xr3:uid="{00000000-0010-0000-0000-00000B000000}" name="Комментарий" dataDxfId="1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MapTable" displayName="SiteMapTable" ref="A3:J35" headerRowDxfId="110" dataDxfId="109" totalsRowDxfId="108">
  <tableColumns count="10">
    <tableColumn id="1" xr3:uid="{00000000-0010-0000-0100-000001000000}" name="ID конкурента" dataDxfId="107"/>
    <tableColumn id="2" xr3:uid="{00000000-0010-0000-0100-000002000000}" name="Раздел/страница" dataDxfId="106"/>
    <tableColumn id="3" xr3:uid="{00000000-0010-0000-0100-000003000000}" name="URL" dataDxfId="105"/>
    <tableColumn id="4" xr3:uid="{00000000-0010-0000-0100-000004000000}" name="Тип страницы" dataDxfId="104"/>
    <tableColumn id="5" xr3:uid="{00000000-0010-0000-0100-000005000000}" name="Цель анализа" dataDxfId="103"/>
    <tableColumn id="6" xr3:uid="{00000000-0010-0000-0100-000006000000}" name="Что извлекаем" dataDxfId="102"/>
    <tableColumn id="7" xr3:uid="{00000000-0010-0000-0100-000007000000}" name="Дата просмотра" dataDxfId="101"/>
    <tableColumn id="8" xr3:uid="{00000000-0010-0000-0100-000008000000}" name="Скриншот/архив" dataDxfId="100"/>
    <tableColumn id="9" xr3:uid="{00000000-0010-0000-0100-000009000000}" name="Достоверность 1–5" dataDxfId="99"/>
    <tableColumn id="10" xr3:uid="{00000000-0010-0000-0100-00000A000000}" name="Краткий вывод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ittTable" displayName="LevittTable" ref="A3:N81" headerRowDxfId="97" dataDxfId="96" totalsRowDxfId="95">
  <tableColumns count="14">
    <tableColumn id="1" xr3:uid="{00000000-0010-0000-0200-000001000000}" name="ID конкурента" dataDxfId="94"/>
    <tableColumn id="2" xr3:uid="{00000000-0010-0000-0200-000002000000}" name="Товар/предложение" dataDxfId="93"/>
    <tableColumn id="3" xr3:uid="{00000000-0010-0000-0200-000003000000}" name="URL/страница" dataDxfId="92"/>
    <tableColumn id="4" xr3:uid="{00000000-0010-0000-0200-000004000000}" name="Уровень товара по Левитту" dataDxfId="91"/>
    <tableColumn id="5" xr3:uid="{00000000-0010-0000-0200-000005000000}" name="Элемент товара / признак" dataDxfId="90"/>
    <tableColumn id="6" xr3:uid="{00000000-0010-0000-0200-000006000000}" name="Как проявлен на сайте" dataDxfId="89"/>
    <tableColumn id="7" xr3:uid="{00000000-0010-0000-0200-000007000000}" name="Доказательство" dataDxfId="88"/>
    <tableColumn id="8" xr3:uid="{00000000-0010-0000-0200-000008000000}" name="Наличие 0/1" dataDxfId="87"/>
    <tableColumn id="9" xr3:uid="{00000000-0010-0000-0200-000009000000}" name="Сила реализации 0–3" dataDxfId="86"/>
    <tableColumn id="10" xr3:uid="{00000000-0010-0000-0200-00000A000000}" name="Понятность 0–3" dataDxfId="85"/>
    <tableColumn id="11" xr3:uid="{00000000-0010-0000-0200-00000B000000}" name="Влияние на ценность 1–5" dataDxfId="84"/>
    <tableColumn id="12" xr3:uid="{00000000-0010-0000-0200-00000C000000}" name="Оценка признака" dataDxfId="83"/>
    <tableColumn id="13" xr3:uid="{00000000-0010-0000-0200-00000D000000}" name="Роль признака" dataDxfId="82"/>
    <tableColumn id="14" xr3:uid="{00000000-0010-0000-0200-00000E000000}" name="Примечание" dataDxfId="8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noTable" displayName="KanoTable" ref="A3:M28" headerRowDxfId="80" dataDxfId="79" totalsRowDxfId="78">
  <tableColumns count="13">
    <tableColumn id="1" xr3:uid="{00000000-0010-0000-0300-000001000000}" name="ID требования" dataDxfId="77"/>
    <tableColumn id="2" xr3:uid="{00000000-0010-0000-0300-000002000000}" name="Функция / признак товара" dataDxfId="76"/>
    <tableColumn id="3" xr3:uid="{00000000-0010-0000-0300-000003000000}" name="Пользовательская задача" dataDxfId="75"/>
    <tableColumn id="4" xr3:uid="{00000000-0010-0000-0300-000004000000}" name="Доказательства с сайтов" dataDxfId="74"/>
    <tableColumn id="5" xr3:uid="{00000000-0010-0000-0300-000005000000}" name="Категория Кано" dataDxfId="73"/>
    <tableColumn id="6" xr3:uid="{00000000-0010-0000-0300-000006000000}" name="Вес 1–5" dataDxfId="72"/>
    <tableColumn id="7" xr3:uid="{00000000-0010-0000-0300-000007000000}" name="Кол-во конкурентов с признаком" dataDxfId="71"/>
    <tableColumn id="8" xr3:uid="{00000000-0010-0000-0300-000008000000}" name="Доля конкурентов" dataDxfId="70"/>
    <tableColumn id="9" xr3:uid="{00000000-0010-0000-0300-000009000000}" name="Средняя сила реализации 0–5" dataDxfId="69"/>
    <tableColumn id="10" xr3:uid="{00000000-0010-0000-0300-00000A000000}" name="Интерпретация" dataDxfId="68"/>
    <tableColumn id="11" xr3:uid="{00000000-0010-0000-0300-00000B000000}" name="Решение для своего товара" dataDxfId="67"/>
    <tableColumn id="12" xr3:uid="{00000000-0010-0000-0300-00000C000000}" name="Ответственный" dataDxfId="66"/>
    <tableColumn id="13" xr3:uid="{00000000-0010-0000-0300-00000D000000}" name="Примечание" dataDxfId="6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MatrixTable" displayName="ProductMatrixTable" ref="A3:L15" headerRowDxfId="64" dataDxfId="63" totalsRowDxfId="62">
  <tableColumns count="12">
    <tableColumn id="1" xr3:uid="{00000000-0010-0000-0400-000001000000}" name="Блок определения" dataDxfId="61"/>
    <tableColumn id="2" xr3:uid="{00000000-0010-0000-0400-000002000000}" name="Вопрос для анализа" dataDxfId="60"/>
    <tableColumn id="3" xr3:uid="{00000000-0010-0000-0400-000003000000}" name="Вывод по рынку" dataDxfId="59"/>
    <tableColumn id="4" xr3:uid="{00000000-0010-0000-0400-000004000000}" name="Доказательства" dataDxfId="58"/>
    <tableColumn id="5" xr3:uid="{00000000-0010-0000-0400-000005000000}" name="Связь с Левиттом" dataDxfId="57"/>
    <tableColumn id="6" xr3:uid="{00000000-0010-0000-0400-000006000000}" name="Связь с Кано" dataDxfId="56"/>
    <tableColumn id="7" xr3:uid="{00000000-0010-0000-0400-000007000000}" name="Статус для своего товара" dataDxfId="55"/>
    <tableColumn id="8" xr3:uid="{00000000-0010-0000-0400-000008000000}" name="Минимальная реализация" dataDxfId="54"/>
    <tableColumn id="9" xr3:uid="{00000000-0010-0000-0400-000009000000}" name="Расширенная реализация" dataDxfId="53"/>
    <tableColumn id="10" xr3:uid="{00000000-0010-0000-0400-00000A000000}" name="Риск исключения" dataDxfId="52"/>
    <tableColumn id="11" xr3:uid="{00000000-0010-0000-0400-00000B000000}" name="Решение" dataDxfId="51"/>
    <tableColumn id="12" xr3:uid="{00000000-0010-0000-0400-00000C000000}" name="Комментарий" dataDxfId="5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arisonTable" displayName="ComparisonTable" ref="A3:O28" headerRowDxfId="49" dataDxfId="48" totalsRowDxfId="47">
  <tableColumns count="15">
    <tableColumn id="1" xr3:uid="{00000000-0010-0000-0500-000001000000}" name="ID критерия" dataDxfId="46"/>
    <tableColumn id="2" xr3:uid="{00000000-0010-0000-0500-000002000000}" name="Группа" dataDxfId="45"/>
    <tableColumn id="3" xr3:uid="{00000000-0010-0000-0500-000003000000}" name="Критерий" dataDxfId="44"/>
    <tableColumn id="4" xr3:uid="{00000000-0010-0000-0500-000004000000}" name="Вес" dataDxfId="43"/>
    <tableColumn id="5" xr3:uid="{00000000-0010-0000-0500-000005000000}" name="C01" dataDxfId="42"/>
    <tableColumn id="6" xr3:uid="{00000000-0010-0000-0500-000006000000}" name="C02" dataDxfId="41"/>
    <tableColumn id="7" xr3:uid="{00000000-0010-0000-0500-000007000000}" name="C03" dataDxfId="40"/>
    <tableColumn id="8" xr3:uid="{00000000-0010-0000-0500-000008000000}" name="C04" dataDxfId="39"/>
    <tableColumn id="9" xr3:uid="{00000000-0010-0000-0500-000009000000}" name="C05" dataDxfId="38"/>
    <tableColumn id="10" xr3:uid="{00000000-0010-0000-0500-00000A000000}" name="C06" dataDxfId="37"/>
    <tableColumn id="11" xr3:uid="{00000000-0010-0000-0500-00000B000000}" name="C07" dataDxfId="36"/>
    <tableColumn id="12" xr3:uid="{00000000-0010-0000-0500-00000C000000}" name="C08" dataDxfId="35"/>
    <tableColumn id="13" xr3:uid="{00000000-0010-0000-0500-00000D000000}" name="Среднее" dataDxfId="34"/>
    <tableColumn id="14" xr3:uid="{00000000-0010-0000-0500-00000E000000}" name="Лучший балл" dataDxfId="33"/>
    <tableColumn id="15" xr3:uid="{00000000-0010-0000-0500-00000F000000}" name="Лидер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rketStandardTable" displayName="MarketStandardTable" ref="A3:L28" headerRowDxfId="31" dataDxfId="30" totalsRowDxfId="29">
  <tableColumns count="12">
    <tableColumn id="1" xr3:uid="{00000000-0010-0000-0600-000001000000}" name="ID признака" dataDxfId="28"/>
    <tableColumn id="2" xr3:uid="{00000000-0010-0000-0600-000002000000}" name="Признак / требование" dataDxfId="27"/>
    <tableColumn id="3" xr3:uid="{00000000-0010-0000-0600-000003000000}" name="Источник" dataDxfId="26"/>
    <tableColumn id="4" xr3:uid="{00000000-0010-0000-0600-000004000000}" name="Уровень Левитта" dataDxfId="25"/>
    <tableColumn id="5" xr3:uid="{00000000-0010-0000-0600-000005000000}" name="Категория Кано" dataDxfId="24"/>
    <tableColumn id="6" xr3:uid="{00000000-0010-0000-0600-000006000000}" name="Кол-во конкурентов" dataDxfId="23"/>
    <tableColumn id="7" xr3:uid="{00000000-0010-0000-0600-000007000000}" name="Доля конкурентов" dataDxfId="22"/>
    <tableColumn id="8" xr3:uid="{00000000-0010-0000-0600-000008000000}" name="Средняя сила 0–5" dataDxfId="21"/>
    <tableColumn id="9" xr3:uid="{00000000-0010-0000-0600-000009000000}" name="Статус" dataDxfId="20"/>
    <tableColumn id="10" xr3:uid="{00000000-0010-0000-0600-00000A000000}" name="Минимальная формулировка стандарта" dataDxfId="19"/>
    <tableColumn id="11" xr3:uid="{00000000-0010-0000-0600-00000B000000}" name="Рекомендация" dataDxfId="18"/>
    <tableColumn id="12" xr3:uid="{00000000-0010-0000-0600-00000C000000}" name="Комментарий" dataDxfId="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dvantageTable" displayName="AdvantageTable" ref="A3:N11" headerRowDxfId="16" dataDxfId="15" totalsRowDxfId="14">
  <tableColumns count="14">
    <tableColumn id="1" xr3:uid="{00000000-0010-0000-0700-000001000000}" name="ID" dataDxfId="13"/>
    <tableColumn id="2" xr3:uid="{00000000-0010-0000-0700-000002000000}" name="ID конкурента" dataDxfId="12"/>
    <tableColumn id="3" xr3:uid="{00000000-0010-0000-0700-000003000000}" name="Признак преимущества" dataDxfId="11"/>
    <tableColumn id="4" xr3:uid="{00000000-0010-0000-0700-000004000000}" name="Доказательство / URL" dataDxfId="10"/>
    <tableColumn id="5" xr3:uid="{00000000-0010-0000-0700-000005000000}" name="Уровень Левитта" dataDxfId="9"/>
    <tableColumn id="6" xr3:uid="{00000000-0010-0000-0700-000006000000}" name="Категория Кано" dataDxfId="8"/>
    <tableColumn id="7" xr3:uid="{00000000-0010-0000-0700-000007000000}" name="Тип преимущества" dataDxfId="7"/>
    <tableColumn id="8" xr3:uid="{00000000-0010-0000-0700-000008000000}" name="Редкость 1–5" dataDxfId="6"/>
    <tableColumn id="9" xr3:uid="{00000000-0010-0000-0700-000009000000}" name="Сила 1–5" dataDxfId="5"/>
    <tableColumn id="10" xr3:uid="{00000000-0010-0000-0700-00000A000000}" name="Пользовательская ценность 1–5" dataDxfId="4"/>
    <tableColumn id="11" xr3:uid="{00000000-0010-0000-0700-00000B000000}" name="Качество доказательства 1–5" dataDxfId="3"/>
    <tableColumn id="12" xr3:uid="{00000000-0010-0000-0700-00000C000000}" name="Индекс преимущества" dataDxfId="2"/>
    <tableColumn id="13" xr3:uid="{00000000-0010-0000-0700-00000D000000}" name="Вывод" dataDxfId="1"/>
    <tableColumn id="14" xr3:uid="{00000000-0010-0000-0700-00000E000000}" name="Как использовать для своего товара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tabSelected="1" workbookViewId="0">
      <selection sqref="A1:I1"/>
    </sheetView>
  </sheetViews>
  <sheetFormatPr defaultRowHeight="13.5"/>
  <cols>
    <col min="1" max="1" width="36.125" customWidth="1"/>
    <col min="2" max="3" width="52.5625" customWidth="1"/>
    <col min="4" max="4" width="13" customWidth="1"/>
    <col min="5" max="5" width="14.0625" customWidth="1"/>
    <col min="6" max="6" width="17.1875" customWidth="1"/>
    <col min="7" max="7" width="18.25" customWidth="1"/>
    <col min="8" max="9" width="52.5625" customWidth="1"/>
  </cols>
  <sheetData>
    <row r="1" spans="1:9" ht="20" customHeight="1">
      <c r="A1" s="26" t="s">
        <v>662</v>
      </c>
      <c r="B1" s="26"/>
      <c r="C1" s="26"/>
      <c r="D1" s="26"/>
      <c r="E1" s="26"/>
      <c r="F1" s="26"/>
      <c r="G1" s="26"/>
      <c r="H1" s="26"/>
      <c r="I1" s="27"/>
    </row>
    <row r="2" spans="1:9" ht="20" customHeight="1">
      <c r="A2" s="28" t="s">
        <v>663</v>
      </c>
      <c r="B2" s="28"/>
      <c r="C2" s="28"/>
      <c r="D2" s="29"/>
      <c r="E2" s="29"/>
      <c r="F2" s="29"/>
      <c r="G2" s="29"/>
      <c r="H2" s="29"/>
      <c r="I2" s="30"/>
    </row>
    <row r="3" spans="1:9" ht="14.25">
      <c r="A3" s="3" t="s">
        <v>0</v>
      </c>
      <c r="B3" s="3" t="s">
        <v>1</v>
      </c>
      <c r="C3" s="9" t="s">
        <v>2</v>
      </c>
      <c r="D3" s="1"/>
      <c r="E3" s="1"/>
      <c r="F3" s="1"/>
      <c r="G3" s="1"/>
      <c r="H3" s="1"/>
      <c r="I3" s="1"/>
    </row>
    <row r="4" spans="1:9" ht="42.75">
      <c r="A4" s="6" t="s">
        <v>3</v>
      </c>
      <c r="B4" s="6" t="s">
        <v>695</v>
      </c>
      <c r="C4" s="10" t="s">
        <v>4</v>
      </c>
      <c r="D4" s="1"/>
      <c r="E4" s="1"/>
      <c r="F4" s="1"/>
      <c r="G4" s="1"/>
      <c r="H4" s="1"/>
      <c r="I4" s="1"/>
    </row>
    <row r="5" spans="1:9" ht="42.75">
      <c r="A5" s="6" t="s">
        <v>5</v>
      </c>
      <c r="B5" s="6" t="s">
        <v>664</v>
      </c>
      <c r="C5" s="10" t="s">
        <v>6</v>
      </c>
      <c r="D5" s="1"/>
      <c r="E5" s="1"/>
      <c r="F5" s="1"/>
      <c r="G5" s="1"/>
      <c r="H5" s="1"/>
      <c r="I5" s="1"/>
    </row>
    <row r="6" spans="1:9" ht="42.75">
      <c r="A6" s="6" t="s">
        <v>7</v>
      </c>
      <c r="B6" s="6" t="s">
        <v>665</v>
      </c>
      <c r="C6" s="10" t="s">
        <v>8</v>
      </c>
      <c r="D6" s="1"/>
      <c r="E6" s="1"/>
      <c r="F6" s="1"/>
      <c r="G6" s="1"/>
      <c r="H6" s="1"/>
      <c r="I6" s="1"/>
    </row>
    <row r="7" spans="1:9" ht="28.5">
      <c r="A7" s="6" t="s">
        <v>9</v>
      </c>
      <c r="B7" s="6" t="s">
        <v>666</v>
      </c>
      <c r="C7" s="10" t="s">
        <v>10</v>
      </c>
      <c r="D7" s="1"/>
      <c r="E7" s="1"/>
      <c r="F7" s="1"/>
      <c r="G7" s="1"/>
      <c r="H7" s="1"/>
      <c r="I7" s="1"/>
    </row>
    <row r="8" spans="1:9" ht="28.5">
      <c r="A8" s="6" t="s">
        <v>11</v>
      </c>
      <c r="B8" s="6" t="s">
        <v>12</v>
      </c>
      <c r="C8" s="10" t="s">
        <v>13</v>
      </c>
      <c r="D8" s="1"/>
      <c r="E8" s="1"/>
      <c r="F8" s="1"/>
      <c r="G8" s="1"/>
      <c r="H8" s="1"/>
      <c r="I8" s="1"/>
    </row>
    <row r="9" spans="1:9" ht="42.75">
      <c r="A9" s="6" t="s">
        <v>14</v>
      </c>
      <c r="B9" s="6" t="s">
        <v>15</v>
      </c>
      <c r="C9" s="10" t="s">
        <v>16</v>
      </c>
      <c r="D9" s="1"/>
      <c r="E9" s="1"/>
      <c r="F9" s="1"/>
      <c r="G9" s="1"/>
      <c r="H9" s="1"/>
      <c r="I9" s="1"/>
    </row>
    <row r="10" spans="1:9" ht="28.5">
      <c r="A10" s="6" t="s">
        <v>17</v>
      </c>
      <c r="B10" s="6" t="s">
        <v>18</v>
      </c>
      <c r="C10" s="10" t="s">
        <v>19</v>
      </c>
      <c r="D10" s="1"/>
      <c r="E10" s="1"/>
      <c r="F10" s="1"/>
      <c r="G10" s="1"/>
      <c r="H10" s="1"/>
      <c r="I10" s="1"/>
    </row>
    <row r="11" spans="1:9" ht="42.75">
      <c r="A11" s="6" t="s">
        <v>20</v>
      </c>
      <c r="B11" s="6" t="s">
        <v>667</v>
      </c>
      <c r="C11" s="10" t="s">
        <v>21</v>
      </c>
      <c r="D11" s="1"/>
      <c r="E11" s="1"/>
      <c r="F11" s="1"/>
      <c r="G11" s="1"/>
      <c r="H11" s="1"/>
      <c r="I11" s="1"/>
    </row>
    <row r="12" spans="1:9" ht="20" customHeight="1">
      <c r="A12" s="31" t="s">
        <v>22</v>
      </c>
      <c r="B12" s="31"/>
      <c r="C12" s="31"/>
      <c r="D12" s="31"/>
      <c r="E12" s="31"/>
      <c r="F12" s="31"/>
      <c r="G12" s="31"/>
      <c r="H12" s="31"/>
      <c r="I12" s="32"/>
    </row>
    <row r="13" spans="1:9" ht="14.25">
      <c r="A13" s="3" t="s">
        <v>23</v>
      </c>
      <c r="B13" s="3" t="s">
        <v>24</v>
      </c>
      <c r="C13" s="3" t="s">
        <v>25</v>
      </c>
      <c r="D13" s="3" t="s">
        <v>26</v>
      </c>
      <c r="E13" s="3" t="s">
        <v>27</v>
      </c>
      <c r="F13" s="3" t="s">
        <v>28</v>
      </c>
      <c r="G13" s="3" t="s">
        <v>29</v>
      </c>
      <c r="H13" s="3" t="s">
        <v>30</v>
      </c>
      <c r="I13" s="9" t="s">
        <v>31</v>
      </c>
    </row>
    <row r="14" spans="1:9" ht="14.25">
      <c r="A14" s="6" t="s">
        <v>32</v>
      </c>
      <c r="B14" s="11" t="s">
        <v>33</v>
      </c>
      <c r="C14" s="11" t="s">
        <v>34</v>
      </c>
      <c r="D14" s="11" t="s">
        <v>35</v>
      </c>
      <c r="E14" s="11" t="s">
        <v>36</v>
      </c>
      <c r="F14" s="11" t="s">
        <v>422</v>
      </c>
      <c r="G14" s="11" t="s">
        <v>422</v>
      </c>
      <c r="H14" s="6" t="s">
        <v>37</v>
      </c>
      <c r="I14" s="10" t="s">
        <v>668</v>
      </c>
    </row>
    <row r="15" spans="1:9" ht="28.5">
      <c r="A15" s="6" t="s">
        <v>38</v>
      </c>
      <c r="B15" s="11" t="s">
        <v>33</v>
      </c>
      <c r="C15" s="11" t="s">
        <v>39</v>
      </c>
      <c r="D15" s="11" t="s">
        <v>40</v>
      </c>
      <c r="E15" s="11" t="s">
        <v>41</v>
      </c>
      <c r="F15" s="11" t="s">
        <v>422</v>
      </c>
      <c r="G15" s="11" t="s">
        <v>422</v>
      </c>
      <c r="H15" s="6" t="s">
        <v>42</v>
      </c>
      <c r="I15" s="10" t="s">
        <v>43</v>
      </c>
    </row>
    <row r="16" spans="1:9" ht="28.5">
      <c r="A16" s="6" t="s">
        <v>44</v>
      </c>
      <c r="B16" s="11" t="s">
        <v>33</v>
      </c>
      <c r="C16" s="11" t="s">
        <v>45</v>
      </c>
      <c r="D16" s="11" t="s">
        <v>46</v>
      </c>
      <c r="E16" s="11" t="s">
        <v>47</v>
      </c>
      <c r="F16" s="11" t="s">
        <v>48</v>
      </c>
      <c r="G16" s="11" t="s">
        <v>49</v>
      </c>
      <c r="H16" s="6" t="s">
        <v>50</v>
      </c>
      <c r="I16" s="10" t="s">
        <v>669</v>
      </c>
    </row>
    <row r="17" spans="1:9" ht="14.25">
      <c r="A17" s="7" t="s">
        <v>51</v>
      </c>
      <c r="B17" s="12" t="s">
        <v>33</v>
      </c>
      <c r="C17" s="12" t="s">
        <v>52</v>
      </c>
      <c r="D17" s="12" t="s">
        <v>53</v>
      </c>
      <c r="E17" s="12" t="s">
        <v>54</v>
      </c>
      <c r="F17" s="12" t="s">
        <v>55</v>
      </c>
      <c r="G17" s="12" t="s">
        <v>56</v>
      </c>
      <c r="H17" s="12" t="s">
        <v>57</v>
      </c>
      <c r="I17" s="8" t="s">
        <v>58</v>
      </c>
    </row>
  </sheetData>
  <mergeCells count="3">
    <mergeCell ref="A1:I1"/>
    <mergeCell ref="A2:I2"/>
    <mergeCell ref="A12:I1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"/>
  <sheetViews>
    <sheetView workbookViewId="0"/>
  </sheetViews>
  <sheetFormatPr defaultRowHeight="13.5"/>
  <cols>
    <col min="1" max="1" width="10.5625" customWidth="1"/>
    <col min="2" max="2" width="27.6875" customWidth="1"/>
    <col min="3" max="4" width="32.9375" customWidth="1"/>
    <col min="5" max="5" width="18.25" customWidth="1"/>
    <col min="6" max="8" width="52.5625" customWidth="1"/>
    <col min="9" max="9" width="21.4375" customWidth="1"/>
    <col min="10" max="10" width="16.1875" customWidth="1"/>
    <col min="11" max="11" width="26.6875" customWidth="1"/>
  </cols>
  <sheetData>
    <row r="1" spans="1:11" ht="20" customHeight="1">
      <c r="A1" s="26" t="s">
        <v>59</v>
      </c>
      <c r="B1" s="26"/>
      <c r="C1" s="26"/>
      <c r="D1" s="26"/>
      <c r="E1" s="26"/>
      <c r="F1" s="26"/>
      <c r="G1" s="26"/>
      <c r="H1" s="26"/>
      <c r="I1" s="26"/>
      <c r="J1" s="26"/>
      <c r="K1" s="27"/>
    </row>
    <row r="2" spans="1:11" ht="20" customHeight="1">
      <c r="A2" s="28" t="s">
        <v>696</v>
      </c>
      <c r="B2" s="28"/>
      <c r="C2" s="28"/>
      <c r="D2" s="28"/>
      <c r="E2" s="28"/>
      <c r="F2" s="28"/>
      <c r="G2" s="28"/>
      <c r="H2" s="28"/>
      <c r="I2" s="28"/>
      <c r="J2" s="28"/>
      <c r="K2" s="33"/>
    </row>
    <row r="3" spans="1:11" ht="14.25">
      <c r="A3" s="3" t="s">
        <v>60</v>
      </c>
      <c r="B3" s="3" t="s">
        <v>61</v>
      </c>
      <c r="C3" s="3" t="s">
        <v>62</v>
      </c>
      <c r="D3" s="3" t="s">
        <v>63</v>
      </c>
      <c r="E3" s="3" t="s">
        <v>64</v>
      </c>
      <c r="F3" s="3" t="s">
        <v>65</v>
      </c>
      <c r="G3" s="3" t="s">
        <v>66</v>
      </c>
      <c r="H3" s="3" t="s">
        <v>67</v>
      </c>
      <c r="I3" s="3" t="s">
        <v>68</v>
      </c>
      <c r="J3" s="3" t="s">
        <v>69</v>
      </c>
      <c r="K3" s="9" t="s">
        <v>70</v>
      </c>
    </row>
    <row r="4" spans="1:11" ht="28.5">
      <c r="A4" s="14" t="s">
        <v>71</v>
      </c>
      <c r="B4" s="11" t="s">
        <v>377</v>
      </c>
      <c r="C4" s="11" t="s">
        <v>378</v>
      </c>
      <c r="D4" s="11" t="s">
        <v>379</v>
      </c>
      <c r="E4" s="11" t="s">
        <v>380</v>
      </c>
      <c r="F4" s="6" t="s">
        <v>381</v>
      </c>
      <c r="G4" s="6" t="s">
        <v>382</v>
      </c>
      <c r="H4" s="6" t="s">
        <v>670</v>
      </c>
      <c r="I4" s="11" t="s">
        <v>383</v>
      </c>
      <c r="J4" s="11" t="s">
        <v>384</v>
      </c>
      <c r="K4" s="16" t="s">
        <v>385</v>
      </c>
    </row>
    <row r="5" spans="1:11" ht="28.5">
      <c r="A5" s="14" t="s">
        <v>72</v>
      </c>
      <c r="B5" s="11" t="s">
        <v>386</v>
      </c>
      <c r="C5" s="11" t="s">
        <v>387</v>
      </c>
      <c r="D5" s="11" t="s">
        <v>388</v>
      </c>
      <c r="E5" s="11" t="s">
        <v>380</v>
      </c>
      <c r="F5" s="6" t="s">
        <v>389</v>
      </c>
      <c r="G5" s="6" t="s">
        <v>671</v>
      </c>
      <c r="H5" s="6" t="s">
        <v>672</v>
      </c>
      <c r="I5" s="11" t="s">
        <v>383</v>
      </c>
      <c r="J5" s="11" t="s">
        <v>384</v>
      </c>
      <c r="K5" s="16" t="s">
        <v>385</v>
      </c>
    </row>
    <row r="6" spans="1:11" ht="28.5">
      <c r="A6" s="14" t="s">
        <v>73</v>
      </c>
      <c r="B6" s="11" t="s">
        <v>390</v>
      </c>
      <c r="C6" s="11" t="s">
        <v>391</v>
      </c>
      <c r="D6" s="11" t="s">
        <v>392</v>
      </c>
      <c r="E6" s="11" t="s">
        <v>380</v>
      </c>
      <c r="F6" s="6" t="s">
        <v>393</v>
      </c>
      <c r="G6" s="6" t="s">
        <v>394</v>
      </c>
      <c r="H6" s="6" t="s">
        <v>395</v>
      </c>
      <c r="I6" s="11" t="s">
        <v>383</v>
      </c>
      <c r="J6" s="11" t="s">
        <v>384</v>
      </c>
      <c r="K6" s="16" t="s">
        <v>385</v>
      </c>
    </row>
    <row r="7" spans="1:11" ht="14.25">
      <c r="A7" s="14" t="s">
        <v>74</v>
      </c>
      <c r="B7" s="11" t="s">
        <v>396</v>
      </c>
      <c r="C7" s="11" t="s">
        <v>397</v>
      </c>
      <c r="D7" s="11" t="s">
        <v>398</v>
      </c>
      <c r="E7" s="11" t="s">
        <v>399</v>
      </c>
      <c r="F7" s="6" t="s">
        <v>400</v>
      </c>
      <c r="G7" s="6" t="s">
        <v>401</v>
      </c>
      <c r="H7" s="6" t="s">
        <v>402</v>
      </c>
      <c r="I7" s="11" t="s">
        <v>383</v>
      </c>
      <c r="J7" s="11" t="s">
        <v>384</v>
      </c>
      <c r="K7" s="16" t="s">
        <v>385</v>
      </c>
    </row>
    <row r="8" spans="1:11" ht="14.25">
      <c r="A8" s="14" t="s">
        <v>75</v>
      </c>
      <c r="B8" s="11" t="s">
        <v>403</v>
      </c>
      <c r="C8" s="11" t="s">
        <v>404</v>
      </c>
      <c r="D8" s="11" t="s">
        <v>398</v>
      </c>
      <c r="E8" s="11" t="s">
        <v>405</v>
      </c>
      <c r="F8" s="6" t="s">
        <v>406</v>
      </c>
      <c r="G8" s="11" t="s">
        <v>673</v>
      </c>
      <c r="H8" s="6" t="s">
        <v>407</v>
      </c>
      <c r="I8" s="11" t="s">
        <v>383</v>
      </c>
      <c r="J8" s="11" t="s">
        <v>384</v>
      </c>
      <c r="K8" s="16" t="s">
        <v>385</v>
      </c>
    </row>
    <row r="9" spans="1:11" ht="28.5">
      <c r="A9" s="14" t="s">
        <v>76</v>
      </c>
      <c r="B9" s="11" t="s">
        <v>408</v>
      </c>
      <c r="C9" s="11" t="s">
        <v>409</v>
      </c>
      <c r="D9" s="11" t="s">
        <v>410</v>
      </c>
      <c r="E9" s="11" t="s">
        <v>405</v>
      </c>
      <c r="F9" s="6" t="s">
        <v>411</v>
      </c>
      <c r="G9" s="11" t="s">
        <v>412</v>
      </c>
      <c r="H9" s="6" t="s">
        <v>674</v>
      </c>
      <c r="I9" s="11" t="s">
        <v>383</v>
      </c>
      <c r="J9" s="11" t="s">
        <v>384</v>
      </c>
      <c r="K9" s="16" t="s">
        <v>385</v>
      </c>
    </row>
    <row r="10" spans="1:11" ht="28.5">
      <c r="A10" s="15" t="s">
        <v>77</v>
      </c>
      <c r="B10" s="12" t="s">
        <v>413</v>
      </c>
      <c r="C10" s="12" t="s">
        <v>414</v>
      </c>
      <c r="D10" s="12" t="s">
        <v>379</v>
      </c>
      <c r="E10" s="12" t="s">
        <v>399</v>
      </c>
      <c r="F10" s="7" t="s">
        <v>415</v>
      </c>
      <c r="G10" s="12" t="s">
        <v>416</v>
      </c>
      <c r="H10" s="7" t="s">
        <v>417</v>
      </c>
      <c r="I10" s="12" t="s">
        <v>383</v>
      </c>
      <c r="J10" s="12" t="s">
        <v>384</v>
      </c>
      <c r="K10" s="13" t="s">
        <v>385</v>
      </c>
    </row>
  </sheetData>
  <mergeCells count="2">
    <mergeCell ref="A1:K1"/>
    <mergeCell ref="A2:K2"/>
  </mergeCells>
  <dataValidations count="4">
    <dataValidation type="list" sqref="E4:E10" xr:uid="{00000000-0002-0000-0100-000000000000}">
      <formula1>"Прямой конкурент,Косвенный конкурент,Заменитель,Эталон лучшей практики,Смежный рынок"</formula1>
    </dataValidation>
    <dataValidation type="list" sqref="G4:G10" xr:uid="{00000000-0002-0000-0100-000001000000}">
      <formula1>"Разовая покупка,Подписка,Комиссия,Бесплатно + платные функции,Реклама,Лидогенерация,Корпоративная лицензия,Смешанная модель"</formula1>
    </dataValidation>
    <dataValidation type="list" sqref="I4:I10" xr:uid="{00000000-0002-0000-0100-000002000000}">
      <formula1>"1,2,3,4,5"</formula1>
    </dataValidation>
    <dataValidation type="list" sqref="J4:J10" xr:uid="{00000000-0002-0000-0100-000003000000}">
      <formula1>"Не начато,В работе,Проверено,Исключено"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5"/>
  <sheetViews>
    <sheetView workbookViewId="0"/>
  </sheetViews>
  <sheetFormatPr defaultRowHeight="13.5"/>
  <cols>
    <col min="1" max="1" width="17.1875" customWidth="1"/>
    <col min="2" max="2" width="22.4375" customWidth="1"/>
    <col min="3" max="3" width="52.5625" customWidth="1"/>
    <col min="4" max="4" width="21.4375" customWidth="1"/>
    <col min="5" max="5" width="26.6875" customWidth="1"/>
    <col min="6" max="6" width="52.5625" customWidth="1"/>
    <col min="7" max="8" width="18.25" customWidth="1"/>
    <col min="9" max="9" width="21.4375" customWidth="1"/>
    <col min="10" max="10" width="52.5625" customWidth="1"/>
  </cols>
  <sheetData>
    <row r="1" spans="1:10" ht="20" customHeight="1">
      <c r="A1" s="26" t="s">
        <v>79</v>
      </c>
      <c r="B1" s="26"/>
      <c r="C1" s="26"/>
      <c r="D1" s="26"/>
      <c r="E1" s="26"/>
      <c r="F1" s="26"/>
      <c r="G1" s="26"/>
      <c r="H1" s="26"/>
      <c r="I1" s="26"/>
      <c r="J1" s="27"/>
    </row>
    <row r="2" spans="1:10" ht="20" customHeight="1">
      <c r="A2" s="28" t="s">
        <v>697</v>
      </c>
      <c r="B2" s="28"/>
      <c r="C2" s="28"/>
      <c r="D2" s="28"/>
      <c r="E2" s="28"/>
      <c r="F2" s="28"/>
      <c r="G2" s="28"/>
      <c r="H2" s="28"/>
      <c r="I2" s="28"/>
      <c r="J2" s="33"/>
    </row>
    <row r="3" spans="1:10" ht="14.25">
      <c r="A3" s="3" t="s">
        <v>80</v>
      </c>
      <c r="B3" s="3" t="s">
        <v>81</v>
      </c>
      <c r="C3" s="3" t="s">
        <v>82</v>
      </c>
      <c r="D3" s="3" t="s">
        <v>83</v>
      </c>
      <c r="E3" s="3" t="s">
        <v>84</v>
      </c>
      <c r="F3" s="3" t="s">
        <v>85</v>
      </c>
      <c r="G3" s="3" t="s">
        <v>86</v>
      </c>
      <c r="H3" s="3" t="s">
        <v>87</v>
      </c>
      <c r="I3" s="3" t="s">
        <v>88</v>
      </c>
      <c r="J3" s="9" t="s">
        <v>89</v>
      </c>
    </row>
    <row r="4" spans="1:10" ht="28.5">
      <c r="A4" s="6" t="s">
        <v>71</v>
      </c>
      <c r="B4" s="11" t="s">
        <v>418</v>
      </c>
      <c r="C4" s="11" t="s">
        <v>378</v>
      </c>
      <c r="D4" s="11" t="s">
        <v>419</v>
      </c>
      <c r="E4" s="11" t="s">
        <v>420</v>
      </c>
      <c r="F4" s="6" t="s">
        <v>421</v>
      </c>
      <c r="G4" s="17" t="s">
        <v>422</v>
      </c>
      <c r="H4" s="11" t="s">
        <v>422</v>
      </c>
      <c r="I4" s="11">
        <v>4</v>
      </c>
      <c r="J4" s="10" t="s">
        <v>423</v>
      </c>
    </row>
    <row r="5" spans="1:10" ht="28.5">
      <c r="A5" s="6" t="s">
        <v>71</v>
      </c>
      <c r="B5" s="11" t="s">
        <v>424</v>
      </c>
      <c r="C5" s="6" t="s">
        <v>425</v>
      </c>
      <c r="D5" s="11" t="s">
        <v>426</v>
      </c>
      <c r="E5" s="11" t="s">
        <v>427</v>
      </c>
      <c r="F5" s="6" t="s">
        <v>675</v>
      </c>
      <c r="G5" s="17" t="s">
        <v>422</v>
      </c>
      <c r="H5" s="11" t="s">
        <v>422</v>
      </c>
      <c r="I5" s="11">
        <v>5</v>
      </c>
      <c r="J5" s="16" t="s">
        <v>428</v>
      </c>
    </row>
    <row r="6" spans="1:10" ht="28.5">
      <c r="A6" s="6" t="s">
        <v>72</v>
      </c>
      <c r="B6" s="11" t="s">
        <v>418</v>
      </c>
      <c r="C6" s="11" t="s">
        <v>387</v>
      </c>
      <c r="D6" s="11" t="s">
        <v>419</v>
      </c>
      <c r="E6" s="11" t="s">
        <v>429</v>
      </c>
      <c r="F6" s="6" t="s">
        <v>676</v>
      </c>
      <c r="G6" s="17" t="s">
        <v>422</v>
      </c>
      <c r="H6" s="11" t="s">
        <v>422</v>
      </c>
      <c r="I6" s="11">
        <v>4</v>
      </c>
      <c r="J6" s="10" t="s">
        <v>430</v>
      </c>
    </row>
    <row r="7" spans="1:10" ht="28.5">
      <c r="A7" s="6" t="s">
        <v>73</v>
      </c>
      <c r="B7" s="11" t="s">
        <v>418</v>
      </c>
      <c r="C7" s="11" t="s">
        <v>391</v>
      </c>
      <c r="D7" s="11" t="s">
        <v>419</v>
      </c>
      <c r="E7" s="11" t="s">
        <v>431</v>
      </c>
      <c r="F7" s="6" t="s">
        <v>432</v>
      </c>
      <c r="G7" s="17" t="s">
        <v>422</v>
      </c>
      <c r="H7" s="11" t="s">
        <v>422</v>
      </c>
      <c r="I7" s="11">
        <v>4</v>
      </c>
      <c r="J7" s="10" t="s">
        <v>433</v>
      </c>
    </row>
    <row r="8" spans="1:10" ht="14.25">
      <c r="A8" s="6" t="s">
        <v>74</v>
      </c>
      <c r="B8" s="11" t="s">
        <v>418</v>
      </c>
      <c r="C8" s="11" t="s">
        <v>397</v>
      </c>
      <c r="D8" s="11" t="s">
        <v>419</v>
      </c>
      <c r="E8" s="11" t="s">
        <v>420</v>
      </c>
      <c r="F8" s="6" t="s">
        <v>434</v>
      </c>
      <c r="G8" s="17" t="s">
        <v>422</v>
      </c>
      <c r="H8" s="11" t="s">
        <v>422</v>
      </c>
      <c r="I8" s="11">
        <v>5</v>
      </c>
      <c r="J8" s="10" t="s">
        <v>435</v>
      </c>
    </row>
    <row r="9" spans="1:10" ht="14.25">
      <c r="A9" s="6" t="s">
        <v>74</v>
      </c>
      <c r="B9" s="11" t="s">
        <v>424</v>
      </c>
      <c r="C9" s="6" t="s">
        <v>436</v>
      </c>
      <c r="D9" s="11" t="s">
        <v>426</v>
      </c>
      <c r="E9" s="11" t="s">
        <v>427</v>
      </c>
      <c r="F9" s="6" t="s">
        <v>677</v>
      </c>
      <c r="G9" s="17" t="s">
        <v>422</v>
      </c>
      <c r="H9" s="11" t="s">
        <v>422</v>
      </c>
      <c r="I9" s="11">
        <v>5</v>
      </c>
      <c r="J9" s="16" t="s">
        <v>437</v>
      </c>
    </row>
    <row r="10" spans="1:10" ht="14.25">
      <c r="A10" s="6" t="s">
        <v>75</v>
      </c>
      <c r="B10" s="11" t="s">
        <v>418</v>
      </c>
      <c r="C10" s="11" t="s">
        <v>404</v>
      </c>
      <c r="D10" s="11" t="s">
        <v>419</v>
      </c>
      <c r="E10" s="11" t="s">
        <v>420</v>
      </c>
      <c r="F10" s="6" t="s">
        <v>438</v>
      </c>
      <c r="G10" s="17" t="s">
        <v>422</v>
      </c>
      <c r="H10" s="11" t="s">
        <v>422</v>
      </c>
      <c r="I10" s="11">
        <v>4</v>
      </c>
      <c r="J10" s="10" t="s">
        <v>439</v>
      </c>
    </row>
    <row r="11" spans="1:10" ht="14.25">
      <c r="A11" s="6" t="s">
        <v>75</v>
      </c>
      <c r="B11" s="11" t="s">
        <v>424</v>
      </c>
      <c r="C11" s="6" t="s">
        <v>440</v>
      </c>
      <c r="D11" s="11" t="s">
        <v>426</v>
      </c>
      <c r="E11" s="11" t="s">
        <v>427</v>
      </c>
      <c r="F11" s="6" t="s">
        <v>678</v>
      </c>
      <c r="G11" s="17" t="s">
        <v>422</v>
      </c>
      <c r="H11" s="11" t="s">
        <v>422</v>
      </c>
      <c r="I11" s="11">
        <v>5</v>
      </c>
      <c r="J11" s="16" t="s">
        <v>441</v>
      </c>
    </row>
    <row r="12" spans="1:10" ht="14.25">
      <c r="A12" s="6" t="s">
        <v>76</v>
      </c>
      <c r="B12" s="11" t="s">
        <v>418</v>
      </c>
      <c r="C12" s="11" t="s">
        <v>409</v>
      </c>
      <c r="D12" s="11" t="s">
        <v>419</v>
      </c>
      <c r="E12" s="11" t="s">
        <v>420</v>
      </c>
      <c r="F12" s="6" t="s">
        <v>442</v>
      </c>
      <c r="G12" s="17" t="s">
        <v>422</v>
      </c>
      <c r="H12" s="11" t="s">
        <v>422</v>
      </c>
      <c r="I12" s="11">
        <v>4</v>
      </c>
      <c r="J12" s="10" t="s">
        <v>443</v>
      </c>
    </row>
    <row r="13" spans="1:10" ht="28.5">
      <c r="A13" s="6" t="s">
        <v>77</v>
      </c>
      <c r="B13" s="11" t="s">
        <v>418</v>
      </c>
      <c r="C13" s="11" t="s">
        <v>414</v>
      </c>
      <c r="D13" s="11" t="s">
        <v>419</v>
      </c>
      <c r="E13" s="11" t="s">
        <v>420</v>
      </c>
      <c r="F13" s="6" t="s">
        <v>444</v>
      </c>
      <c r="G13" s="17" t="s">
        <v>422</v>
      </c>
      <c r="H13" s="11" t="s">
        <v>422</v>
      </c>
      <c r="I13" s="11">
        <v>5</v>
      </c>
      <c r="J13" s="16" t="s">
        <v>445</v>
      </c>
    </row>
    <row r="14" spans="1:10" ht="14.25">
      <c r="A14" s="6" t="s">
        <v>74</v>
      </c>
      <c r="B14" s="11" t="s">
        <v>446</v>
      </c>
      <c r="C14" s="6" t="s">
        <v>447</v>
      </c>
      <c r="D14" s="11" t="s">
        <v>448</v>
      </c>
      <c r="E14" s="11" t="s">
        <v>449</v>
      </c>
      <c r="F14" s="11" t="s">
        <v>450</v>
      </c>
      <c r="G14" s="17" t="s">
        <v>422</v>
      </c>
      <c r="H14" s="11" t="s">
        <v>422</v>
      </c>
      <c r="I14" s="11">
        <v>3</v>
      </c>
      <c r="J14" s="16" t="s">
        <v>451</v>
      </c>
    </row>
    <row r="15" spans="1:10" ht="14.25">
      <c r="A15" s="6" t="s">
        <v>76</v>
      </c>
      <c r="B15" s="11" t="s">
        <v>446</v>
      </c>
      <c r="C15" s="6" t="s">
        <v>452</v>
      </c>
      <c r="D15" s="11" t="s">
        <v>448</v>
      </c>
      <c r="E15" s="11" t="s">
        <v>449</v>
      </c>
      <c r="F15" s="11" t="s">
        <v>453</v>
      </c>
      <c r="G15" s="17" t="s">
        <v>422</v>
      </c>
      <c r="H15" s="11" t="s">
        <v>422</v>
      </c>
      <c r="I15" s="11">
        <v>5</v>
      </c>
      <c r="J15" s="10" t="s">
        <v>454</v>
      </c>
    </row>
    <row r="16" spans="1:10" ht="14.25">
      <c r="A16" s="6" t="s">
        <v>71</v>
      </c>
      <c r="B16" s="11" t="s">
        <v>446</v>
      </c>
      <c r="C16" s="6" t="s">
        <v>455</v>
      </c>
      <c r="D16" s="11" t="s">
        <v>448</v>
      </c>
      <c r="E16" s="11" t="s">
        <v>449</v>
      </c>
      <c r="F16" s="11" t="s">
        <v>456</v>
      </c>
      <c r="G16" s="17" t="s">
        <v>422</v>
      </c>
      <c r="H16" s="11" t="s">
        <v>422</v>
      </c>
      <c r="I16" s="11">
        <v>3</v>
      </c>
      <c r="J16" s="16" t="s">
        <v>451</v>
      </c>
    </row>
    <row r="17" spans="1:10" ht="14.25">
      <c r="A17" s="6" t="s">
        <v>72</v>
      </c>
      <c r="B17" s="11" t="s">
        <v>446</v>
      </c>
      <c r="C17" s="6" t="s">
        <v>457</v>
      </c>
      <c r="D17" s="11" t="s">
        <v>448</v>
      </c>
      <c r="E17" s="11" t="s">
        <v>449</v>
      </c>
      <c r="F17" s="6" t="s">
        <v>458</v>
      </c>
      <c r="G17" s="17" t="s">
        <v>422</v>
      </c>
      <c r="H17" s="11" t="s">
        <v>422</v>
      </c>
      <c r="I17" s="11">
        <v>3</v>
      </c>
      <c r="J17" s="16" t="s">
        <v>459</v>
      </c>
    </row>
    <row r="18" spans="1:10" ht="28.5">
      <c r="A18" s="6" t="s">
        <v>73</v>
      </c>
      <c r="B18" s="11" t="s">
        <v>460</v>
      </c>
      <c r="C18" s="6" t="s">
        <v>461</v>
      </c>
      <c r="D18" s="11" t="s">
        <v>462</v>
      </c>
      <c r="E18" s="11" t="s">
        <v>463</v>
      </c>
      <c r="F18" s="6" t="s">
        <v>464</v>
      </c>
      <c r="G18" s="17" t="s">
        <v>422</v>
      </c>
      <c r="H18" s="11" t="s">
        <v>422</v>
      </c>
      <c r="I18" s="11">
        <v>3</v>
      </c>
      <c r="J18" s="16" t="s">
        <v>465</v>
      </c>
    </row>
    <row r="19" spans="1:10" ht="14.25">
      <c r="A19" s="6" t="s">
        <v>77</v>
      </c>
      <c r="B19" s="11" t="s">
        <v>460</v>
      </c>
      <c r="C19" s="6" t="s">
        <v>461</v>
      </c>
      <c r="D19" s="11" t="s">
        <v>462</v>
      </c>
      <c r="E19" s="11" t="s">
        <v>463</v>
      </c>
      <c r="F19" s="6" t="s">
        <v>466</v>
      </c>
      <c r="G19" s="17" t="s">
        <v>422</v>
      </c>
      <c r="H19" s="11" t="s">
        <v>422</v>
      </c>
      <c r="I19" s="11">
        <v>4</v>
      </c>
      <c r="J19" s="10" t="s">
        <v>467</v>
      </c>
    </row>
    <row r="20" spans="1:10" ht="28.5">
      <c r="A20" s="6" t="s">
        <v>77</v>
      </c>
      <c r="B20" s="11" t="s">
        <v>468</v>
      </c>
      <c r="C20" s="6" t="s">
        <v>469</v>
      </c>
      <c r="D20" s="11" t="s">
        <v>470</v>
      </c>
      <c r="E20" s="11" t="s">
        <v>449</v>
      </c>
      <c r="F20" s="6" t="s">
        <v>471</v>
      </c>
      <c r="G20" s="17" t="s">
        <v>422</v>
      </c>
      <c r="H20" s="11" t="s">
        <v>422</v>
      </c>
      <c r="I20" s="11">
        <v>5</v>
      </c>
      <c r="J20" s="10" t="s">
        <v>472</v>
      </c>
    </row>
    <row r="21" spans="1:10" ht="14.25">
      <c r="A21" s="6" t="s">
        <v>77</v>
      </c>
      <c r="B21" s="11" t="s">
        <v>424</v>
      </c>
      <c r="C21" s="6" t="s">
        <v>473</v>
      </c>
      <c r="D21" s="11" t="s">
        <v>426</v>
      </c>
      <c r="E21" s="11" t="s">
        <v>427</v>
      </c>
      <c r="F21" s="6" t="s">
        <v>474</v>
      </c>
      <c r="G21" s="17" t="s">
        <v>422</v>
      </c>
      <c r="H21" s="11" t="s">
        <v>422</v>
      </c>
      <c r="I21" s="11">
        <v>4</v>
      </c>
      <c r="J21" s="10" t="s">
        <v>475</v>
      </c>
    </row>
    <row r="22" spans="1:10" ht="28.5">
      <c r="A22" s="6" t="s">
        <v>77</v>
      </c>
      <c r="B22" s="11" t="s">
        <v>476</v>
      </c>
      <c r="C22" s="6" t="s">
        <v>477</v>
      </c>
      <c r="D22" s="11" t="s">
        <v>478</v>
      </c>
      <c r="E22" s="11" t="s">
        <v>479</v>
      </c>
      <c r="F22" s="6" t="s">
        <v>480</v>
      </c>
      <c r="G22" s="17" t="s">
        <v>422</v>
      </c>
      <c r="H22" s="11" t="s">
        <v>422</v>
      </c>
      <c r="I22" s="11">
        <v>4</v>
      </c>
      <c r="J22" s="10" t="s">
        <v>481</v>
      </c>
    </row>
    <row r="23" spans="1:10" ht="14.25">
      <c r="A23" s="6" t="s">
        <v>77</v>
      </c>
      <c r="B23" s="11" t="s">
        <v>482</v>
      </c>
      <c r="C23" s="6" t="s">
        <v>483</v>
      </c>
      <c r="D23" s="11" t="s">
        <v>448</v>
      </c>
      <c r="E23" s="11" t="s">
        <v>449</v>
      </c>
      <c r="F23" s="6" t="s">
        <v>484</v>
      </c>
      <c r="G23" s="17" t="s">
        <v>422</v>
      </c>
      <c r="H23" s="11" t="s">
        <v>422</v>
      </c>
      <c r="I23" s="11">
        <v>3</v>
      </c>
      <c r="J23" s="10" t="s">
        <v>485</v>
      </c>
    </row>
    <row r="24" spans="1:10" ht="28.5">
      <c r="A24" s="6" t="s">
        <v>76</v>
      </c>
      <c r="B24" s="11" t="s">
        <v>424</v>
      </c>
      <c r="C24" s="6" t="s">
        <v>486</v>
      </c>
      <c r="D24" s="11" t="s">
        <v>426</v>
      </c>
      <c r="E24" s="11" t="s">
        <v>427</v>
      </c>
      <c r="F24" s="6" t="s">
        <v>487</v>
      </c>
      <c r="G24" s="17" t="s">
        <v>422</v>
      </c>
      <c r="H24" s="11" t="s">
        <v>422</v>
      </c>
      <c r="I24" s="11">
        <v>4</v>
      </c>
      <c r="J24" s="10" t="s">
        <v>488</v>
      </c>
    </row>
    <row r="25" spans="1:10" ht="28.5">
      <c r="A25" s="6" t="s">
        <v>76</v>
      </c>
      <c r="B25" s="11" t="s">
        <v>489</v>
      </c>
      <c r="C25" s="6" t="s">
        <v>490</v>
      </c>
      <c r="D25" s="11" t="s">
        <v>470</v>
      </c>
      <c r="E25" s="11" t="s">
        <v>449</v>
      </c>
      <c r="F25" s="6" t="s">
        <v>491</v>
      </c>
      <c r="G25" s="17" t="s">
        <v>422</v>
      </c>
      <c r="H25" s="11" t="s">
        <v>422</v>
      </c>
      <c r="I25" s="11">
        <v>5</v>
      </c>
      <c r="J25" s="16" t="s">
        <v>492</v>
      </c>
    </row>
    <row r="26" spans="1:10" ht="28.5">
      <c r="A26" s="6" t="s">
        <v>76</v>
      </c>
      <c r="B26" s="11" t="s">
        <v>476</v>
      </c>
      <c r="C26" s="6" t="s">
        <v>493</v>
      </c>
      <c r="D26" s="11" t="s">
        <v>478</v>
      </c>
      <c r="E26" s="11" t="s">
        <v>479</v>
      </c>
      <c r="F26" s="6" t="s">
        <v>494</v>
      </c>
      <c r="G26" s="17" t="s">
        <v>422</v>
      </c>
      <c r="H26" s="11" t="s">
        <v>422</v>
      </c>
      <c r="I26" s="11">
        <v>4</v>
      </c>
      <c r="J26" s="10" t="s">
        <v>495</v>
      </c>
    </row>
    <row r="27" spans="1:10" ht="14.25">
      <c r="A27" s="6" t="s">
        <v>76</v>
      </c>
      <c r="B27" s="11" t="s">
        <v>482</v>
      </c>
      <c r="C27" s="6" t="s">
        <v>496</v>
      </c>
      <c r="D27" s="11" t="s">
        <v>448</v>
      </c>
      <c r="E27" s="11" t="s">
        <v>449</v>
      </c>
      <c r="F27" s="11" t="s">
        <v>497</v>
      </c>
      <c r="G27" s="17" t="s">
        <v>422</v>
      </c>
      <c r="H27" s="11" t="s">
        <v>422</v>
      </c>
      <c r="I27" s="11">
        <v>5</v>
      </c>
      <c r="J27" s="10" t="s">
        <v>485</v>
      </c>
    </row>
    <row r="28" spans="1:10" ht="28.5">
      <c r="A28" s="6" t="s">
        <v>72</v>
      </c>
      <c r="B28" s="11" t="s">
        <v>498</v>
      </c>
      <c r="C28" s="6" t="s">
        <v>499</v>
      </c>
      <c r="D28" s="11" t="s">
        <v>500</v>
      </c>
      <c r="E28" s="11" t="s">
        <v>427</v>
      </c>
      <c r="F28" s="6" t="s">
        <v>679</v>
      </c>
      <c r="G28" s="17" t="s">
        <v>422</v>
      </c>
      <c r="H28" s="11" t="s">
        <v>422</v>
      </c>
      <c r="I28" s="11">
        <v>5</v>
      </c>
      <c r="J28" s="10" t="s">
        <v>501</v>
      </c>
    </row>
    <row r="29" spans="1:10" ht="28.5">
      <c r="A29" s="6" t="s">
        <v>73</v>
      </c>
      <c r="B29" s="11" t="s">
        <v>502</v>
      </c>
      <c r="C29" s="6" t="s">
        <v>503</v>
      </c>
      <c r="D29" s="11" t="s">
        <v>426</v>
      </c>
      <c r="E29" s="11" t="s">
        <v>427</v>
      </c>
      <c r="F29" s="6" t="s">
        <v>680</v>
      </c>
      <c r="G29" s="17" t="s">
        <v>422</v>
      </c>
      <c r="H29" s="11" t="s">
        <v>422</v>
      </c>
      <c r="I29" s="11">
        <v>5</v>
      </c>
      <c r="J29" s="10" t="s">
        <v>504</v>
      </c>
    </row>
    <row r="30" spans="1:10" ht="28.5">
      <c r="A30" s="6" t="s">
        <v>74</v>
      </c>
      <c r="B30" s="11" t="s">
        <v>468</v>
      </c>
      <c r="C30" s="11" t="s">
        <v>505</v>
      </c>
      <c r="D30" s="11" t="s">
        <v>470</v>
      </c>
      <c r="E30" s="11" t="s">
        <v>449</v>
      </c>
      <c r="F30" s="6" t="s">
        <v>506</v>
      </c>
      <c r="G30" s="17" t="s">
        <v>422</v>
      </c>
      <c r="H30" s="11" t="s">
        <v>422</v>
      </c>
      <c r="I30" s="11">
        <v>5</v>
      </c>
      <c r="J30" s="10" t="s">
        <v>507</v>
      </c>
    </row>
    <row r="31" spans="1:10" ht="28.5">
      <c r="A31" s="6" t="s">
        <v>75</v>
      </c>
      <c r="B31" s="11" t="s">
        <v>508</v>
      </c>
      <c r="C31" s="11" t="s">
        <v>509</v>
      </c>
      <c r="D31" s="11" t="s">
        <v>426</v>
      </c>
      <c r="E31" s="11" t="s">
        <v>427</v>
      </c>
      <c r="F31" s="6" t="s">
        <v>681</v>
      </c>
      <c r="G31" s="17" t="s">
        <v>422</v>
      </c>
      <c r="H31" s="11" t="s">
        <v>422</v>
      </c>
      <c r="I31" s="11">
        <v>5</v>
      </c>
      <c r="J31" s="10" t="s">
        <v>510</v>
      </c>
    </row>
    <row r="32" spans="1:10" ht="28.5">
      <c r="A32" s="6" t="s">
        <v>75</v>
      </c>
      <c r="B32" s="11" t="s">
        <v>511</v>
      </c>
      <c r="C32" s="11" t="s">
        <v>509</v>
      </c>
      <c r="D32" s="11" t="s">
        <v>512</v>
      </c>
      <c r="E32" s="11" t="s">
        <v>449</v>
      </c>
      <c r="F32" s="6" t="s">
        <v>513</v>
      </c>
      <c r="G32" s="17" t="s">
        <v>422</v>
      </c>
      <c r="H32" s="11" t="s">
        <v>422</v>
      </c>
      <c r="I32" s="11">
        <v>4</v>
      </c>
      <c r="J32" s="16" t="s">
        <v>514</v>
      </c>
    </row>
    <row r="33" spans="1:10" ht="28.5">
      <c r="A33" s="6" t="s">
        <v>75</v>
      </c>
      <c r="B33" s="11" t="s">
        <v>515</v>
      </c>
      <c r="C33" s="6" t="s">
        <v>516</v>
      </c>
      <c r="D33" s="11" t="s">
        <v>448</v>
      </c>
      <c r="E33" s="11" t="s">
        <v>449</v>
      </c>
      <c r="F33" s="6" t="s">
        <v>517</v>
      </c>
      <c r="G33" s="17" t="s">
        <v>422</v>
      </c>
      <c r="H33" s="11" t="s">
        <v>422</v>
      </c>
      <c r="I33" s="11">
        <v>3</v>
      </c>
      <c r="J33" s="10" t="s">
        <v>518</v>
      </c>
    </row>
    <row r="34" spans="1:10" ht="28.5">
      <c r="A34" s="6" t="s">
        <v>71</v>
      </c>
      <c r="B34" s="11" t="s">
        <v>519</v>
      </c>
      <c r="C34" s="6" t="s">
        <v>520</v>
      </c>
      <c r="D34" s="11" t="s">
        <v>521</v>
      </c>
      <c r="E34" s="11" t="s">
        <v>522</v>
      </c>
      <c r="F34" s="6" t="s">
        <v>523</v>
      </c>
      <c r="G34" s="17" t="s">
        <v>422</v>
      </c>
      <c r="H34" s="11" t="s">
        <v>422</v>
      </c>
      <c r="I34" s="11">
        <v>5</v>
      </c>
      <c r="J34" s="16" t="s">
        <v>524</v>
      </c>
    </row>
    <row r="35" spans="1:10" ht="28.5">
      <c r="A35" s="7" t="s">
        <v>71</v>
      </c>
      <c r="B35" s="12" t="s">
        <v>525</v>
      </c>
      <c r="C35" s="7" t="s">
        <v>526</v>
      </c>
      <c r="D35" s="12" t="s">
        <v>512</v>
      </c>
      <c r="E35" s="12" t="s">
        <v>449</v>
      </c>
      <c r="F35" s="7" t="s">
        <v>527</v>
      </c>
      <c r="G35" s="18" t="s">
        <v>422</v>
      </c>
      <c r="H35" s="12" t="s">
        <v>422</v>
      </c>
      <c r="I35" s="12">
        <v>4</v>
      </c>
      <c r="J35" s="13" t="s">
        <v>514</v>
      </c>
    </row>
  </sheetData>
  <mergeCells count="2">
    <mergeCell ref="A1:J1"/>
    <mergeCell ref="A2:J2"/>
  </mergeCells>
  <dataValidations count="2">
    <dataValidation type="list" sqref="D4:D35" xr:uid="{00000000-0002-0000-0200-000000000000}">
      <formula1>"Главная страница,Лендинг товара,Тарифы,Функции,Каталог/карточка,Регистрация,Личный кабинет,Оплата,Поддержка,FAQ,Документация,Блог/медиа,Отзывы/кейсы,Правовые документы"</formula1>
    </dataValidation>
    <dataValidation type="list" sqref="I4:I35" xr:uid="{00000000-0002-0000-02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81"/>
  <sheetViews>
    <sheetView workbookViewId="0"/>
  </sheetViews>
  <sheetFormatPr defaultRowHeight="13.5"/>
  <cols>
    <col min="1" max="1" width="17.1875" customWidth="1"/>
    <col min="2" max="2" width="52.5625" customWidth="1"/>
    <col min="3" max="3" width="32.9375" customWidth="1"/>
    <col min="4" max="4" width="29.8125" customWidth="1"/>
    <col min="5" max="5" width="52.5625" customWidth="1"/>
    <col min="6" max="6" width="37.1875" customWidth="1"/>
    <col min="7" max="7" width="18.25" customWidth="1"/>
    <col min="8" max="8" width="15.125" customWidth="1"/>
    <col min="9" max="9" width="23.5" customWidth="1"/>
    <col min="10" max="10" width="18.25" customWidth="1"/>
    <col min="11" max="11" width="27.6875" customWidth="1"/>
    <col min="12" max="13" width="19.3125" customWidth="1"/>
    <col min="14" max="14" width="14.0625" customWidth="1"/>
  </cols>
  <sheetData>
    <row r="1" spans="1:14" ht="20" customHeight="1">
      <c r="A1" s="26" t="s">
        <v>90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7"/>
    </row>
    <row r="2" spans="1:14" ht="20" customHeight="1">
      <c r="A2" s="28" t="s">
        <v>698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33"/>
    </row>
    <row r="3" spans="1:14" ht="14.25">
      <c r="A3" s="3" t="s">
        <v>80</v>
      </c>
      <c r="B3" s="3" t="s">
        <v>91</v>
      </c>
      <c r="C3" s="3" t="s">
        <v>92</v>
      </c>
      <c r="D3" s="3" t="s">
        <v>93</v>
      </c>
      <c r="E3" s="3" t="s">
        <v>94</v>
      </c>
      <c r="F3" s="3" t="s">
        <v>95</v>
      </c>
      <c r="G3" s="3" t="s">
        <v>96</v>
      </c>
      <c r="H3" s="3" t="s">
        <v>97</v>
      </c>
      <c r="I3" s="3" t="s">
        <v>98</v>
      </c>
      <c r="J3" s="3" t="s">
        <v>99</v>
      </c>
      <c r="K3" s="3" t="s">
        <v>100</v>
      </c>
      <c r="L3" s="3" t="s">
        <v>101</v>
      </c>
      <c r="M3" s="3" t="s">
        <v>102</v>
      </c>
      <c r="N3" s="9" t="s">
        <v>103</v>
      </c>
    </row>
    <row r="4" spans="1:14" ht="28.5">
      <c r="A4" s="6" t="s">
        <v>71</v>
      </c>
      <c r="B4" s="6" t="s">
        <v>670</v>
      </c>
      <c r="C4" s="11" t="s">
        <v>378</v>
      </c>
      <c r="D4" s="11" t="s">
        <v>155</v>
      </c>
      <c r="E4" s="6" t="s">
        <v>528</v>
      </c>
      <c r="F4" s="6" t="s">
        <v>529</v>
      </c>
      <c r="G4" s="11" t="s">
        <v>530</v>
      </c>
      <c r="H4" s="11">
        <v>1</v>
      </c>
      <c r="I4" s="11">
        <v>2</v>
      </c>
      <c r="J4" s="11">
        <v>2</v>
      </c>
      <c r="K4" s="11">
        <v>5</v>
      </c>
      <c r="L4" s="11">
        <f t="shared" ref="L4:L67" si="0">IF(OR(H4="",I4="",J4="",K4=""),"",ROUND(H4*((I4+J4)/6)*K4,2))</f>
        <v>3.33</v>
      </c>
      <c r="M4" s="11" t="str">
        <f t="shared" ref="M4:M67" si="1">IF(L4="","",IF(AND(L4&gt;=3.5,H4=1),"Сильный признак",IF(AND(L4&gt;=2,H4=1),"Рабочий признак",IF(H4=1,"Слабый признак","Отсутствует"))))</f>
        <v>Рабочий признак</v>
      </c>
      <c r="N4" s="16" t="s">
        <v>422</v>
      </c>
    </row>
    <row r="5" spans="1:14" ht="28.5">
      <c r="A5" s="6" t="s">
        <v>71</v>
      </c>
      <c r="B5" s="6" t="s">
        <v>670</v>
      </c>
      <c r="C5" s="11" t="s">
        <v>378</v>
      </c>
      <c r="D5" s="11" t="s">
        <v>172</v>
      </c>
      <c r="E5" s="6" t="s">
        <v>531</v>
      </c>
      <c r="F5" s="11" t="s">
        <v>532</v>
      </c>
      <c r="G5" s="11" t="s">
        <v>530</v>
      </c>
      <c r="H5" s="11">
        <v>1</v>
      </c>
      <c r="I5" s="11">
        <v>3</v>
      </c>
      <c r="J5" s="11">
        <v>3</v>
      </c>
      <c r="K5" s="11">
        <v>4</v>
      </c>
      <c r="L5" s="11">
        <f t="shared" si="0"/>
        <v>4</v>
      </c>
      <c r="M5" s="11" t="str">
        <f t="shared" si="1"/>
        <v>Сильный признак</v>
      </c>
      <c r="N5" s="16" t="s">
        <v>422</v>
      </c>
    </row>
    <row r="6" spans="1:14" ht="28.5">
      <c r="A6" s="6" t="s">
        <v>71</v>
      </c>
      <c r="B6" s="6" t="s">
        <v>670</v>
      </c>
      <c r="C6" s="11" t="s">
        <v>378</v>
      </c>
      <c r="D6" s="11" t="s">
        <v>172</v>
      </c>
      <c r="E6" s="11" t="s">
        <v>533</v>
      </c>
      <c r="F6" s="11" t="s">
        <v>534</v>
      </c>
      <c r="G6" s="11" t="s">
        <v>530</v>
      </c>
      <c r="H6" s="11">
        <v>1</v>
      </c>
      <c r="I6" s="11">
        <v>2</v>
      </c>
      <c r="J6" s="11">
        <v>3</v>
      </c>
      <c r="K6" s="11">
        <v>4</v>
      </c>
      <c r="L6" s="11">
        <f t="shared" si="0"/>
        <v>3.33</v>
      </c>
      <c r="M6" s="11" t="str">
        <f t="shared" si="1"/>
        <v>Рабочий признак</v>
      </c>
      <c r="N6" s="16" t="s">
        <v>422</v>
      </c>
    </row>
    <row r="7" spans="1:14" ht="28.5">
      <c r="A7" s="6" t="s">
        <v>71</v>
      </c>
      <c r="B7" s="6" t="s">
        <v>670</v>
      </c>
      <c r="C7" s="11" t="s">
        <v>378</v>
      </c>
      <c r="D7" s="11" t="s">
        <v>165</v>
      </c>
      <c r="E7" s="11" t="s">
        <v>535</v>
      </c>
      <c r="F7" s="11" t="s">
        <v>536</v>
      </c>
      <c r="G7" s="11" t="s">
        <v>530</v>
      </c>
      <c r="H7" s="11">
        <v>1</v>
      </c>
      <c r="I7" s="11">
        <v>2</v>
      </c>
      <c r="J7" s="11">
        <v>3</v>
      </c>
      <c r="K7" s="11">
        <v>4</v>
      </c>
      <c r="L7" s="11">
        <f t="shared" si="0"/>
        <v>3.33</v>
      </c>
      <c r="M7" s="11" t="str">
        <f t="shared" si="1"/>
        <v>Рабочий признак</v>
      </c>
      <c r="N7" s="16" t="s">
        <v>422</v>
      </c>
    </row>
    <row r="8" spans="1:14" ht="28.5">
      <c r="A8" s="6" t="s">
        <v>71</v>
      </c>
      <c r="B8" s="6" t="s">
        <v>670</v>
      </c>
      <c r="C8" s="11" t="s">
        <v>378</v>
      </c>
      <c r="D8" s="11" t="s">
        <v>161</v>
      </c>
      <c r="E8" s="11" t="s">
        <v>537</v>
      </c>
      <c r="F8" s="11" t="s">
        <v>538</v>
      </c>
      <c r="G8" s="11" t="s">
        <v>530</v>
      </c>
      <c r="H8" s="11">
        <v>1</v>
      </c>
      <c r="I8" s="11">
        <v>3</v>
      </c>
      <c r="J8" s="11">
        <v>2</v>
      </c>
      <c r="K8" s="11">
        <v>5</v>
      </c>
      <c r="L8" s="11">
        <f t="shared" si="0"/>
        <v>4.17</v>
      </c>
      <c r="M8" s="11" t="str">
        <f t="shared" si="1"/>
        <v>Сильный признак</v>
      </c>
      <c r="N8" s="16" t="s">
        <v>422</v>
      </c>
    </row>
    <row r="9" spans="1:14" ht="28.5">
      <c r="A9" s="6" t="s">
        <v>71</v>
      </c>
      <c r="B9" s="6" t="s">
        <v>670</v>
      </c>
      <c r="C9" s="11" t="s">
        <v>378</v>
      </c>
      <c r="D9" s="11" t="s">
        <v>165</v>
      </c>
      <c r="E9" s="6" t="s">
        <v>539</v>
      </c>
      <c r="F9" s="11" t="s">
        <v>540</v>
      </c>
      <c r="G9" s="11" t="s">
        <v>530</v>
      </c>
      <c r="H9" s="11">
        <v>1</v>
      </c>
      <c r="I9" s="11">
        <v>1</v>
      </c>
      <c r="J9" s="11">
        <v>2</v>
      </c>
      <c r="K9" s="11">
        <v>4</v>
      </c>
      <c r="L9" s="11">
        <f t="shared" si="0"/>
        <v>2</v>
      </c>
      <c r="M9" s="11" t="str">
        <f t="shared" si="1"/>
        <v>Рабочий признак</v>
      </c>
      <c r="N9" s="16" t="s">
        <v>422</v>
      </c>
    </row>
    <row r="10" spans="1:14" ht="28.5">
      <c r="A10" s="6" t="s">
        <v>71</v>
      </c>
      <c r="B10" s="6" t="s">
        <v>670</v>
      </c>
      <c r="C10" s="11" t="s">
        <v>378</v>
      </c>
      <c r="D10" s="11" t="s">
        <v>165</v>
      </c>
      <c r="E10" s="11" t="s">
        <v>541</v>
      </c>
      <c r="F10" s="11" t="s">
        <v>542</v>
      </c>
      <c r="G10" s="11" t="s">
        <v>530</v>
      </c>
      <c r="H10" s="11">
        <v>1</v>
      </c>
      <c r="I10" s="11">
        <v>2</v>
      </c>
      <c r="J10" s="11">
        <v>2</v>
      </c>
      <c r="K10" s="11">
        <v>4</v>
      </c>
      <c r="L10" s="11">
        <f t="shared" si="0"/>
        <v>2.67</v>
      </c>
      <c r="M10" s="11" t="str">
        <f t="shared" si="1"/>
        <v>Рабочий признак</v>
      </c>
      <c r="N10" s="16" t="s">
        <v>422</v>
      </c>
    </row>
    <row r="11" spans="1:14" ht="28.5">
      <c r="A11" s="6" t="s">
        <v>71</v>
      </c>
      <c r="B11" s="6" t="s">
        <v>670</v>
      </c>
      <c r="C11" s="11" t="s">
        <v>378</v>
      </c>
      <c r="D11" s="11" t="s">
        <v>165</v>
      </c>
      <c r="E11" s="11" t="s">
        <v>543</v>
      </c>
      <c r="F11" s="11" t="s">
        <v>544</v>
      </c>
      <c r="G11" s="11" t="s">
        <v>530</v>
      </c>
      <c r="H11" s="11">
        <v>1</v>
      </c>
      <c r="I11" s="11">
        <v>2</v>
      </c>
      <c r="J11" s="11">
        <v>2</v>
      </c>
      <c r="K11" s="11">
        <v>4</v>
      </c>
      <c r="L11" s="11">
        <f t="shared" si="0"/>
        <v>2.67</v>
      </c>
      <c r="M11" s="11" t="str">
        <f t="shared" si="1"/>
        <v>Рабочий признак</v>
      </c>
      <c r="N11" s="16" t="s">
        <v>422</v>
      </c>
    </row>
    <row r="12" spans="1:14" ht="28.5">
      <c r="A12" s="6" t="s">
        <v>71</v>
      </c>
      <c r="B12" s="6" t="s">
        <v>670</v>
      </c>
      <c r="C12" s="11" t="s">
        <v>378</v>
      </c>
      <c r="D12" s="11" t="s">
        <v>172</v>
      </c>
      <c r="E12" s="11" t="s">
        <v>545</v>
      </c>
      <c r="F12" s="11" t="s">
        <v>546</v>
      </c>
      <c r="G12" s="11" t="s">
        <v>530</v>
      </c>
      <c r="H12" s="11">
        <v>1</v>
      </c>
      <c r="I12" s="11">
        <v>3</v>
      </c>
      <c r="J12" s="11">
        <v>3</v>
      </c>
      <c r="K12" s="11">
        <v>2</v>
      </c>
      <c r="L12" s="11">
        <f t="shared" si="0"/>
        <v>2</v>
      </c>
      <c r="M12" s="11" t="str">
        <f t="shared" si="1"/>
        <v>Рабочий признак</v>
      </c>
      <c r="N12" s="16" t="s">
        <v>422</v>
      </c>
    </row>
    <row r="13" spans="1:14" ht="28.5">
      <c r="A13" s="6" t="s">
        <v>71</v>
      </c>
      <c r="B13" s="6" t="s">
        <v>670</v>
      </c>
      <c r="C13" s="11" t="s">
        <v>378</v>
      </c>
      <c r="D13" s="11" t="s">
        <v>172</v>
      </c>
      <c r="E13" s="6" t="s">
        <v>547</v>
      </c>
      <c r="F13" s="11" t="s">
        <v>548</v>
      </c>
      <c r="G13" s="11" t="s">
        <v>530</v>
      </c>
      <c r="H13" s="11">
        <v>1</v>
      </c>
      <c r="I13" s="11">
        <v>2</v>
      </c>
      <c r="J13" s="11">
        <v>3</v>
      </c>
      <c r="K13" s="11">
        <v>3</v>
      </c>
      <c r="L13" s="11">
        <f t="shared" si="0"/>
        <v>2.5</v>
      </c>
      <c r="M13" s="11" t="str">
        <f t="shared" si="1"/>
        <v>Рабочий признак</v>
      </c>
      <c r="N13" s="16" t="s">
        <v>422</v>
      </c>
    </row>
    <row r="14" spans="1:14" ht="28.5">
      <c r="A14" s="6" t="s">
        <v>71</v>
      </c>
      <c r="B14" s="6" t="s">
        <v>670</v>
      </c>
      <c r="C14" s="11" t="s">
        <v>378</v>
      </c>
      <c r="D14" s="11" t="s">
        <v>172</v>
      </c>
      <c r="E14" s="6" t="s">
        <v>549</v>
      </c>
      <c r="F14" s="11" t="s">
        <v>550</v>
      </c>
      <c r="G14" s="11" t="s">
        <v>530</v>
      </c>
      <c r="H14" s="11">
        <v>1</v>
      </c>
      <c r="I14" s="11">
        <v>3</v>
      </c>
      <c r="J14" s="11">
        <v>2</v>
      </c>
      <c r="K14" s="11">
        <v>3</v>
      </c>
      <c r="L14" s="11">
        <f t="shared" si="0"/>
        <v>2.5</v>
      </c>
      <c r="M14" s="11" t="str">
        <f t="shared" si="1"/>
        <v>Рабочий признак</v>
      </c>
      <c r="N14" s="16" t="s">
        <v>422</v>
      </c>
    </row>
    <row r="15" spans="1:14" ht="28.5">
      <c r="A15" s="6" t="s">
        <v>71</v>
      </c>
      <c r="B15" s="6" t="s">
        <v>670</v>
      </c>
      <c r="C15" s="11" t="s">
        <v>378</v>
      </c>
      <c r="D15" s="11" t="s">
        <v>172</v>
      </c>
      <c r="E15" s="6" t="s">
        <v>551</v>
      </c>
      <c r="F15" s="11" t="s">
        <v>550</v>
      </c>
      <c r="G15" s="11" t="s">
        <v>530</v>
      </c>
      <c r="H15" s="11">
        <v>1</v>
      </c>
      <c r="I15" s="11">
        <v>2</v>
      </c>
      <c r="J15" s="11">
        <v>3</v>
      </c>
      <c r="K15" s="11">
        <v>3</v>
      </c>
      <c r="L15" s="11">
        <f t="shared" si="0"/>
        <v>2.5</v>
      </c>
      <c r="M15" s="11" t="str">
        <f t="shared" si="1"/>
        <v>Рабочий признак</v>
      </c>
      <c r="N15" s="16" t="s">
        <v>422</v>
      </c>
    </row>
    <row r="16" spans="1:14" ht="28.5">
      <c r="A16" s="6" t="s">
        <v>71</v>
      </c>
      <c r="B16" s="6" t="s">
        <v>670</v>
      </c>
      <c r="C16" s="11" t="s">
        <v>378</v>
      </c>
      <c r="D16" s="11" t="s">
        <v>172</v>
      </c>
      <c r="E16" s="11" t="s">
        <v>552</v>
      </c>
      <c r="F16" s="6" t="s">
        <v>553</v>
      </c>
      <c r="G16" s="11" t="s">
        <v>530</v>
      </c>
      <c r="H16" s="11">
        <v>1</v>
      </c>
      <c r="I16" s="11">
        <v>2</v>
      </c>
      <c r="J16" s="11">
        <v>3</v>
      </c>
      <c r="K16" s="11">
        <v>4</v>
      </c>
      <c r="L16" s="11">
        <f t="shared" si="0"/>
        <v>3.33</v>
      </c>
      <c r="M16" s="11" t="str">
        <f t="shared" si="1"/>
        <v>Рабочий признак</v>
      </c>
      <c r="N16" s="16" t="s">
        <v>422</v>
      </c>
    </row>
    <row r="17" spans="1:14" ht="28.5">
      <c r="A17" s="6" t="s">
        <v>72</v>
      </c>
      <c r="B17" s="6" t="s">
        <v>672</v>
      </c>
      <c r="C17" s="11" t="s">
        <v>387</v>
      </c>
      <c r="D17" s="11" t="s">
        <v>155</v>
      </c>
      <c r="E17" s="6" t="s">
        <v>528</v>
      </c>
      <c r="F17" s="6" t="s">
        <v>529</v>
      </c>
      <c r="G17" s="11" t="s">
        <v>530</v>
      </c>
      <c r="H17" s="11">
        <v>1</v>
      </c>
      <c r="I17" s="11">
        <v>1</v>
      </c>
      <c r="J17" s="11">
        <v>2</v>
      </c>
      <c r="K17" s="11">
        <v>5</v>
      </c>
      <c r="L17" s="11">
        <f t="shared" si="0"/>
        <v>2.5</v>
      </c>
      <c r="M17" s="11" t="str">
        <f t="shared" si="1"/>
        <v>Рабочий признак</v>
      </c>
      <c r="N17" s="16" t="s">
        <v>422</v>
      </c>
    </row>
    <row r="18" spans="1:14" ht="28.5">
      <c r="A18" s="6" t="s">
        <v>72</v>
      </c>
      <c r="B18" s="6" t="s">
        <v>672</v>
      </c>
      <c r="C18" s="11" t="s">
        <v>387</v>
      </c>
      <c r="D18" s="11" t="s">
        <v>172</v>
      </c>
      <c r="E18" s="6" t="s">
        <v>531</v>
      </c>
      <c r="F18" s="11" t="s">
        <v>532</v>
      </c>
      <c r="G18" s="11" t="s">
        <v>530</v>
      </c>
      <c r="H18" s="11">
        <v>1</v>
      </c>
      <c r="I18" s="11">
        <v>3</v>
      </c>
      <c r="J18" s="11">
        <v>2</v>
      </c>
      <c r="K18" s="11">
        <v>4</v>
      </c>
      <c r="L18" s="11">
        <f t="shared" si="0"/>
        <v>3.33</v>
      </c>
      <c r="M18" s="11" t="str">
        <f t="shared" si="1"/>
        <v>Рабочий признак</v>
      </c>
      <c r="N18" s="16" t="s">
        <v>422</v>
      </c>
    </row>
    <row r="19" spans="1:14" ht="28.5">
      <c r="A19" s="6" t="s">
        <v>72</v>
      </c>
      <c r="B19" s="6" t="s">
        <v>672</v>
      </c>
      <c r="C19" s="11" t="s">
        <v>387</v>
      </c>
      <c r="D19" s="11" t="s">
        <v>172</v>
      </c>
      <c r="E19" s="11" t="s">
        <v>533</v>
      </c>
      <c r="F19" s="11" t="s">
        <v>534</v>
      </c>
      <c r="G19" s="11" t="s">
        <v>530</v>
      </c>
      <c r="H19" s="11">
        <v>1</v>
      </c>
      <c r="I19" s="11">
        <v>2</v>
      </c>
      <c r="J19" s="11">
        <v>2</v>
      </c>
      <c r="K19" s="11">
        <v>4</v>
      </c>
      <c r="L19" s="11">
        <f t="shared" si="0"/>
        <v>2.67</v>
      </c>
      <c r="M19" s="11" t="str">
        <f t="shared" si="1"/>
        <v>Рабочий признак</v>
      </c>
      <c r="N19" s="16" t="s">
        <v>422</v>
      </c>
    </row>
    <row r="20" spans="1:14" ht="28.5">
      <c r="A20" s="6" t="s">
        <v>72</v>
      </c>
      <c r="B20" s="6" t="s">
        <v>672</v>
      </c>
      <c r="C20" s="11" t="s">
        <v>387</v>
      </c>
      <c r="D20" s="11" t="s">
        <v>161</v>
      </c>
      <c r="E20" s="11" t="s">
        <v>537</v>
      </c>
      <c r="F20" s="11" t="s">
        <v>538</v>
      </c>
      <c r="G20" s="11" t="s">
        <v>530</v>
      </c>
      <c r="H20" s="11">
        <v>1</v>
      </c>
      <c r="I20" s="11">
        <v>3</v>
      </c>
      <c r="J20" s="11">
        <v>3</v>
      </c>
      <c r="K20" s="11">
        <v>5</v>
      </c>
      <c r="L20" s="11">
        <f t="shared" si="0"/>
        <v>5</v>
      </c>
      <c r="M20" s="11" t="str">
        <f t="shared" si="1"/>
        <v>Сильный признак</v>
      </c>
      <c r="N20" s="16" t="s">
        <v>422</v>
      </c>
    </row>
    <row r="21" spans="1:14" ht="28.5">
      <c r="A21" s="6" t="s">
        <v>72</v>
      </c>
      <c r="B21" s="6" t="s">
        <v>672</v>
      </c>
      <c r="C21" s="11" t="s">
        <v>387</v>
      </c>
      <c r="D21" s="11" t="s">
        <v>172</v>
      </c>
      <c r="E21" s="11" t="s">
        <v>545</v>
      </c>
      <c r="F21" s="11" t="s">
        <v>546</v>
      </c>
      <c r="G21" s="11" t="s">
        <v>530</v>
      </c>
      <c r="H21" s="11">
        <v>1</v>
      </c>
      <c r="I21" s="11">
        <v>2</v>
      </c>
      <c r="J21" s="11">
        <v>1</v>
      </c>
      <c r="K21" s="11">
        <v>2</v>
      </c>
      <c r="L21" s="11">
        <f t="shared" si="0"/>
        <v>1</v>
      </c>
      <c r="M21" s="11" t="str">
        <f t="shared" si="1"/>
        <v>Слабый признак</v>
      </c>
      <c r="N21" s="16" t="s">
        <v>422</v>
      </c>
    </row>
    <row r="22" spans="1:14" ht="28.5">
      <c r="A22" s="6" t="s">
        <v>72</v>
      </c>
      <c r="B22" s="6" t="s">
        <v>672</v>
      </c>
      <c r="C22" s="11" t="s">
        <v>387</v>
      </c>
      <c r="D22" s="11" t="s">
        <v>172</v>
      </c>
      <c r="E22" s="6" t="s">
        <v>549</v>
      </c>
      <c r="F22" s="11" t="s">
        <v>550</v>
      </c>
      <c r="G22" s="11" t="s">
        <v>530</v>
      </c>
      <c r="H22" s="11">
        <v>1</v>
      </c>
      <c r="I22" s="11">
        <v>2</v>
      </c>
      <c r="J22" s="11">
        <v>2</v>
      </c>
      <c r="K22" s="11">
        <v>3</v>
      </c>
      <c r="L22" s="11">
        <f t="shared" si="0"/>
        <v>2</v>
      </c>
      <c r="M22" s="11" t="str">
        <f t="shared" si="1"/>
        <v>Рабочий признак</v>
      </c>
      <c r="N22" s="16" t="s">
        <v>422</v>
      </c>
    </row>
    <row r="23" spans="1:14" ht="28.5">
      <c r="A23" s="6" t="s">
        <v>73</v>
      </c>
      <c r="B23" s="6" t="s">
        <v>395</v>
      </c>
      <c r="C23" s="11" t="s">
        <v>391</v>
      </c>
      <c r="D23" s="11" t="s">
        <v>155</v>
      </c>
      <c r="E23" s="6" t="s">
        <v>528</v>
      </c>
      <c r="F23" s="6" t="s">
        <v>529</v>
      </c>
      <c r="G23" s="11" t="s">
        <v>530</v>
      </c>
      <c r="H23" s="11">
        <v>1</v>
      </c>
      <c r="I23" s="11">
        <v>1</v>
      </c>
      <c r="J23" s="11">
        <v>2</v>
      </c>
      <c r="K23" s="11">
        <v>5</v>
      </c>
      <c r="L23" s="11">
        <f t="shared" si="0"/>
        <v>2.5</v>
      </c>
      <c r="M23" s="11" t="str">
        <f t="shared" si="1"/>
        <v>Рабочий признак</v>
      </c>
      <c r="N23" s="16" t="s">
        <v>422</v>
      </c>
    </row>
    <row r="24" spans="1:14" ht="28.5">
      <c r="A24" s="6" t="s">
        <v>73</v>
      </c>
      <c r="B24" s="6" t="s">
        <v>395</v>
      </c>
      <c r="C24" s="11" t="s">
        <v>391</v>
      </c>
      <c r="D24" s="11" t="s">
        <v>172</v>
      </c>
      <c r="E24" s="6" t="s">
        <v>531</v>
      </c>
      <c r="F24" s="11" t="s">
        <v>532</v>
      </c>
      <c r="G24" s="11" t="s">
        <v>530</v>
      </c>
      <c r="H24" s="11">
        <v>1</v>
      </c>
      <c r="I24" s="11">
        <v>2</v>
      </c>
      <c r="J24" s="11">
        <v>3</v>
      </c>
      <c r="K24" s="11">
        <v>4</v>
      </c>
      <c r="L24" s="11">
        <f t="shared" si="0"/>
        <v>3.33</v>
      </c>
      <c r="M24" s="11" t="str">
        <f t="shared" si="1"/>
        <v>Рабочий признак</v>
      </c>
      <c r="N24" s="16" t="s">
        <v>422</v>
      </c>
    </row>
    <row r="25" spans="1:14" ht="28.5">
      <c r="A25" s="6" t="s">
        <v>73</v>
      </c>
      <c r="B25" s="6" t="s">
        <v>395</v>
      </c>
      <c r="C25" s="11" t="s">
        <v>391</v>
      </c>
      <c r="D25" s="11" t="s">
        <v>165</v>
      </c>
      <c r="E25" s="11" t="s">
        <v>535</v>
      </c>
      <c r="F25" s="11" t="s">
        <v>536</v>
      </c>
      <c r="G25" s="11" t="s">
        <v>530</v>
      </c>
      <c r="H25" s="11">
        <v>1</v>
      </c>
      <c r="I25" s="11">
        <v>1</v>
      </c>
      <c r="J25" s="11">
        <v>2</v>
      </c>
      <c r="K25" s="11">
        <v>4</v>
      </c>
      <c r="L25" s="11">
        <f t="shared" si="0"/>
        <v>2</v>
      </c>
      <c r="M25" s="11" t="str">
        <f t="shared" si="1"/>
        <v>Рабочий признак</v>
      </c>
      <c r="N25" s="16" t="s">
        <v>422</v>
      </c>
    </row>
    <row r="26" spans="1:14" ht="28.5">
      <c r="A26" s="6" t="s">
        <v>73</v>
      </c>
      <c r="B26" s="6" t="s">
        <v>395</v>
      </c>
      <c r="C26" s="11" t="s">
        <v>391</v>
      </c>
      <c r="D26" s="11" t="s">
        <v>161</v>
      </c>
      <c r="E26" s="11" t="s">
        <v>537</v>
      </c>
      <c r="F26" s="11" t="s">
        <v>538</v>
      </c>
      <c r="G26" s="11" t="s">
        <v>530</v>
      </c>
      <c r="H26" s="11">
        <v>1</v>
      </c>
      <c r="I26" s="11">
        <v>3</v>
      </c>
      <c r="J26" s="11">
        <v>3</v>
      </c>
      <c r="K26" s="11">
        <v>5</v>
      </c>
      <c r="L26" s="11">
        <f t="shared" si="0"/>
        <v>5</v>
      </c>
      <c r="M26" s="11" t="str">
        <f t="shared" si="1"/>
        <v>Сильный признак</v>
      </c>
      <c r="N26" s="16" t="s">
        <v>422</v>
      </c>
    </row>
    <row r="27" spans="1:14" ht="28.5">
      <c r="A27" s="6" t="s">
        <v>73</v>
      </c>
      <c r="B27" s="6" t="s">
        <v>395</v>
      </c>
      <c r="C27" s="11" t="s">
        <v>391</v>
      </c>
      <c r="D27" s="11" t="s">
        <v>165</v>
      </c>
      <c r="E27" s="11" t="s">
        <v>543</v>
      </c>
      <c r="F27" s="11" t="s">
        <v>544</v>
      </c>
      <c r="G27" s="11" t="s">
        <v>530</v>
      </c>
      <c r="H27" s="11">
        <v>1</v>
      </c>
      <c r="I27" s="11">
        <v>1</v>
      </c>
      <c r="J27" s="11">
        <v>2</v>
      </c>
      <c r="K27" s="11">
        <v>4</v>
      </c>
      <c r="L27" s="11">
        <f t="shared" si="0"/>
        <v>2</v>
      </c>
      <c r="M27" s="11" t="str">
        <f t="shared" si="1"/>
        <v>Рабочий признак</v>
      </c>
      <c r="N27" s="16" t="s">
        <v>422</v>
      </c>
    </row>
    <row r="28" spans="1:14" ht="28.5">
      <c r="A28" s="6" t="s">
        <v>73</v>
      </c>
      <c r="B28" s="6" t="s">
        <v>395</v>
      </c>
      <c r="C28" s="11" t="s">
        <v>391</v>
      </c>
      <c r="D28" s="11" t="s">
        <v>172</v>
      </c>
      <c r="E28" s="11" t="s">
        <v>545</v>
      </c>
      <c r="F28" s="11" t="s">
        <v>546</v>
      </c>
      <c r="G28" s="11" t="s">
        <v>530</v>
      </c>
      <c r="H28" s="11">
        <v>1</v>
      </c>
      <c r="I28" s="11">
        <v>3</v>
      </c>
      <c r="J28" s="11">
        <v>3</v>
      </c>
      <c r="K28" s="11">
        <v>2</v>
      </c>
      <c r="L28" s="11">
        <f t="shared" si="0"/>
        <v>2</v>
      </c>
      <c r="M28" s="11" t="str">
        <f t="shared" si="1"/>
        <v>Рабочий признак</v>
      </c>
      <c r="N28" s="16" t="s">
        <v>422</v>
      </c>
    </row>
    <row r="29" spans="1:14" ht="28.5">
      <c r="A29" s="6" t="s">
        <v>73</v>
      </c>
      <c r="B29" s="6" t="s">
        <v>395</v>
      </c>
      <c r="C29" s="11" t="s">
        <v>391</v>
      </c>
      <c r="D29" s="11" t="s">
        <v>172</v>
      </c>
      <c r="E29" s="6" t="s">
        <v>551</v>
      </c>
      <c r="F29" s="11" t="s">
        <v>550</v>
      </c>
      <c r="G29" s="11" t="s">
        <v>530</v>
      </c>
      <c r="H29" s="11">
        <v>1</v>
      </c>
      <c r="I29" s="11">
        <v>2</v>
      </c>
      <c r="J29" s="11">
        <v>2</v>
      </c>
      <c r="K29" s="11">
        <v>3</v>
      </c>
      <c r="L29" s="11">
        <f t="shared" si="0"/>
        <v>2</v>
      </c>
      <c r="M29" s="11" t="str">
        <f t="shared" si="1"/>
        <v>Рабочий признак</v>
      </c>
      <c r="N29" s="16" t="s">
        <v>422</v>
      </c>
    </row>
    <row r="30" spans="1:14" ht="28.5">
      <c r="A30" s="6" t="s">
        <v>73</v>
      </c>
      <c r="B30" s="6" t="s">
        <v>395</v>
      </c>
      <c r="C30" s="11" t="s">
        <v>391</v>
      </c>
      <c r="D30" s="11" t="s">
        <v>172</v>
      </c>
      <c r="E30" s="11" t="s">
        <v>552</v>
      </c>
      <c r="F30" s="6" t="s">
        <v>553</v>
      </c>
      <c r="G30" s="11" t="s">
        <v>530</v>
      </c>
      <c r="H30" s="11">
        <v>1</v>
      </c>
      <c r="I30" s="11">
        <v>1</v>
      </c>
      <c r="J30" s="11">
        <v>1</v>
      </c>
      <c r="K30" s="11">
        <v>4</v>
      </c>
      <c r="L30" s="11">
        <f t="shared" si="0"/>
        <v>1.33</v>
      </c>
      <c r="M30" s="11" t="str">
        <f t="shared" si="1"/>
        <v>Слабый признак</v>
      </c>
      <c r="N30" s="16" t="s">
        <v>422</v>
      </c>
    </row>
    <row r="31" spans="1:14" ht="14.25">
      <c r="A31" s="6" t="s">
        <v>74</v>
      </c>
      <c r="B31" s="6" t="s">
        <v>402</v>
      </c>
      <c r="C31" s="11" t="s">
        <v>397</v>
      </c>
      <c r="D31" s="11" t="s">
        <v>172</v>
      </c>
      <c r="E31" s="6" t="s">
        <v>531</v>
      </c>
      <c r="F31" s="11" t="s">
        <v>532</v>
      </c>
      <c r="G31" s="11" t="s">
        <v>530</v>
      </c>
      <c r="H31" s="11">
        <v>1</v>
      </c>
      <c r="I31" s="11">
        <v>2</v>
      </c>
      <c r="J31" s="11">
        <v>2</v>
      </c>
      <c r="K31" s="11">
        <v>4</v>
      </c>
      <c r="L31" s="11">
        <f t="shared" si="0"/>
        <v>2.67</v>
      </c>
      <c r="M31" s="11" t="str">
        <f t="shared" si="1"/>
        <v>Рабочий признак</v>
      </c>
      <c r="N31" s="16" t="s">
        <v>422</v>
      </c>
    </row>
    <row r="32" spans="1:14" ht="14.25">
      <c r="A32" s="6" t="s">
        <v>74</v>
      </c>
      <c r="B32" s="6" t="s">
        <v>402</v>
      </c>
      <c r="C32" s="11" t="s">
        <v>397</v>
      </c>
      <c r="D32" s="11" t="s">
        <v>161</v>
      </c>
      <c r="E32" s="11" t="s">
        <v>537</v>
      </c>
      <c r="F32" s="11" t="s">
        <v>538</v>
      </c>
      <c r="G32" s="11" t="s">
        <v>530</v>
      </c>
      <c r="H32" s="11">
        <v>1</v>
      </c>
      <c r="I32" s="11">
        <v>3</v>
      </c>
      <c r="J32" s="11">
        <v>3</v>
      </c>
      <c r="K32" s="11">
        <v>5</v>
      </c>
      <c r="L32" s="11">
        <f t="shared" si="0"/>
        <v>5</v>
      </c>
      <c r="M32" s="11" t="str">
        <f t="shared" si="1"/>
        <v>Сильный признак</v>
      </c>
      <c r="N32" s="16" t="s">
        <v>422</v>
      </c>
    </row>
    <row r="33" spans="1:14" ht="14.25">
      <c r="A33" s="6" t="s">
        <v>74</v>
      </c>
      <c r="B33" s="6" t="s">
        <v>402</v>
      </c>
      <c r="C33" s="11" t="s">
        <v>397</v>
      </c>
      <c r="D33" s="11" t="s">
        <v>161</v>
      </c>
      <c r="E33" s="11" t="s">
        <v>554</v>
      </c>
      <c r="F33" s="11" t="s">
        <v>419</v>
      </c>
      <c r="G33" s="11" t="s">
        <v>530</v>
      </c>
      <c r="H33" s="11">
        <v>1</v>
      </c>
      <c r="I33" s="11">
        <v>2</v>
      </c>
      <c r="J33" s="11">
        <v>3</v>
      </c>
      <c r="K33" s="11">
        <v>3</v>
      </c>
      <c r="L33" s="11">
        <f t="shared" si="0"/>
        <v>2.5</v>
      </c>
      <c r="M33" s="11" t="str">
        <f t="shared" si="1"/>
        <v>Рабочий признак</v>
      </c>
      <c r="N33" s="16" t="s">
        <v>422</v>
      </c>
    </row>
    <row r="34" spans="1:14" ht="14.25">
      <c r="A34" s="6" t="s">
        <v>74</v>
      </c>
      <c r="B34" s="6" t="s">
        <v>402</v>
      </c>
      <c r="C34" s="11" t="s">
        <v>397</v>
      </c>
      <c r="D34" s="11" t="s">
        <v>172</v>
      </c>
      <c r="E34" s="11" t="s">
        <v>555</v>
      </c>
      <c r="F34" s="11" t="s">
        <v>556</v>
      </c>
      <c r="G34" s="11" t="s">
        <v>530</v>
      </c>
      <c r="H34" s="11">
        <v>1</v>
      </c>
      <c r="I34" s="11">
        <v>2</v>
      </c>
      <c r="J34" s="11">
        <v>3</v>
      </c>
      <c r="K34" s="11">
        <v>4</v>
      </c>
      <c r="L34" s="11">
        <f t="shared" si="0"/>
        <v>3.33</v>
      </c>
      <c r="M34" s="11" t="str">
        <f t="shared" si="1"/>
        <v>Рабочий признак</v>
      </c>
      <c r="N34" s="16" t="s">
        <v>422</v>
      </c>
    </row>
    <row r="35" spans="1:14" ht="14.25">
      <c r="A35" s="6" t="s">
        <v>74</v>
      </c>
      <c r="B35" s="6" t="s">
        <v>402</v>
      </c>
      <c r="C35" s="11" t="s">
        <v>397</v>
      </c>
      <c r="D35" s="11" t="s">
        <v>165</v>
      </c>
      <c r="E35" s="6" t="s">
        <v>557</v>
      </c>
      <c r="F35" s="11" t="s">
        <v>558</v>
      </c>
      <c r="G35" s="11" t="s">
        <v>530</v>
      </c>
      <c r="H35" s="11">
        <v>1</v>
      </c>
      <c r="I35" s="11">
        <v>3</v>
      </c>
      <c r="J35" s="11">
        <v>3</v>
      </c>
      <c r="K35" s="11">
        <v>5</v>
      </c>
      <c r="L35" s="11">
        <f t="shared" si="0"/>
        <v>5</v>
      </c>
      <c r="M35" s="11" t="str">
        <f t="shared" si="1"/>
        <v>Сильный признак</v>
      </c>
      <c r="N35" s="16" t="s">
        <v>422</v>
      </c>
    </row>
    <row r="36" spans="1:14" ht="14.25">
      <c r="A36" s="6" t="s">
        <v>74</v>
      </c>
      <c r="B36" s="6" t="s">
        <v>402</v>
      </c>
      <c r="C36" s="11" t="s">
        <v>397</v>
      </c>
      <c r="D36" s="11" t="s">
        <v>165</v>
      </c>
      <c r="E36" s="6" t="s">
        <v>539</v>
      </c>
      <c r="F36" s="11" t="s">
        <v>540</v>
      </c>
      <c r="G36" s="11" t="s">
        <v>530</v>
      </c>
      <c r="H36" s="11">
        <v>1</v>
      </c>
      <c r="I36" s="11">
        <v>2</v>
      </c>
      <c r="J36" s="11">
        <v>3</v>
      </c>
      <c r="K36" s="11">
        <v>4</v>
      </c>
      <c r="L36" s="11">
        <f t="shared" si="0"/>
        <v>3.33</v>
      </c>
      <c r="M36" s="11" t="str">
        <f t="shared" si="1"/>
        <v>Рабочий признак</v>
      </c>
      <c r="N36" s="16" t="s">
        <v>422</v>
      </c>
    </row>
    <row r="37" spans="1:14" ht="14.25">
      <c r="A37" s="6" t="s">
        <v>74</v>
      </c>
      <c r="B37" s="6" t="s">
        <v>402</v>
      </c>
      <c r="C37" s="11" t="s">
        <v>397</v>
      </c>
      <c r="D37" s="11" t="s">
        <v>165</v>
      </c>
      <c r="E37" s="11" t="s">
        <v>541</v>
      </c>
      <c r="F37" s="11" t="s">
        <v>542</v>
      </c>
      <c r="G37" s="11" t="s">
        <v>530</v>
      </c>
      <c r="H37" s="11">
        <v>1</v>
      </c>
      <c r="I37" s="11">
        <v>3</v>
      </c>
      <c r="J37" s="11">
        <v>3</v>
      </c>
      <c r="K37" s="11">
        <v>4</v>
      </c>
      <c r="L37" s="11">
        <f t="shared" si="0"/>
        <v>4</v>
      </c>
      <c r="M37" s="11" t="str">
        <f t="shared" si="1"/>
        <v>Сильный признак</v>
      </c>
      <c r="N37" s="16" t="s">
        <v>422</v>
      </c>
    </row>
    <row r="38" spans="1:14" ht="14.25">
      <c r="A38" s="6" t="s">
        <v>74</v>
      </c>
      <c r="B38" s="6" t="s">
        <v>402</v>
      </c>
      <c r="C38" s="11" t="s">
        <v>397</v>
      </c>
      <c r="D38" s="11" t="s">
        <v>172</v>
      </c>
      <c r="E38" s="11" t="s">
        <v>559</v>
      </c>
      <c r="F38" s="11" t="s">
        <v>478</v>
      </c>
      <c r="G38" s="11" t="s">
        <v>530</v>
      </c>
      <c r="H38" s="11">
        <v>1</v>
      </c>
      <c r="I38" s="11">
        <v>2</v>
      </c>
      <c r="J38" s="11">
        <v>2</v>
      </c>
      <c r="K38" s="11">
        <v>3</v>
      </c>
      <c r="L38" s="11">
        <f t="shared" si="0"/>
        <v>2</v>
      </c>
      <c r="M38" s="11" t="str">
        <f t="shared" si="1"/>
        <v>Рабочий признак</v>
      </c>
      <c r="N38" s="16" t="s">
        <v>422</v>
      </c>
    </row>
    <row r="39" spans="1:14" ht="14.25">
      <c r="A39" s="6" t="s">
        <v>74</v>
      </c>
      <c r="B39" s="6" t="s">
        <v>402</v>
      </c>
      <c r="C39" s="11" t="s">
        <v>397</v>
      </c>
      <c r="D39" s="11" t="s">
        <v>165</v>
      </c>
      <c r="E39" s="11" t="s">
        <v>543</v>
      </c>
      <c r="F39" s="11" t="s">
        <v>544</v>
      </c>
      <c r="G39" s="11" t="s">
        <v>530</v>
      </c>
      <c r="H39" s="11">
        <v>1</v>
      </c>
      <c r="I39" s="11">
        <v>2</v>
      </c>
      <c r="J39" s="11">
        <v>3</v>
      </c>
      <c r="K39" s="11">
        <v>4</v>
      </c>
      <c r="L39" s="11">
        <f t="shared" si="0"/>
        <v>3.33</v>
      </c>
      <c r="M39" s="11" t="str">
        <f t="shared" si="1"/>
        <v>Рабочий признак</v>
      </c>
      <c r="N39" s="16" t="s">
        <v>422</v>
      </c>
    </row>
    <row r="40" spans="1:14" ht="14.25">
      <c r="A40" s="6" t="s">
        <v>74</v>
      </c>
      <c r="B40" s="6" t="s">
        <v>402</v>
      </c>
      <c r="C40" s="11" t="s">
        <v>397</v>
      </c>
      <c r="D40" s="11" t="s">
        <v>172</v>
      </c>
      <c r="E40" s="6" t="s">
        <v>547</v>
      </c>
      <c r="F40" s="11" t="s">
        <v>548</v>
      </c>
      <c r="G40" s="11" t="s">
        <v>530</v>
      </c>
      <c r="H40" s="11">
        <v>1</v>
      </c>
      <c r="I40" s="11">
        <v>2</v>
      </c>
      <c r="J40" s="11">
        <v>3</v>
      </c>
      <c r="K40" s="11">
        <v>3</v>
      </c>
      <c r="L40" s="11">
        <f t="shared" si="0"/>
        <v>2.5</v>
      </c>
      <c r="M40" s="11" t="str">
        <f t="shared" si="1"/>
        <v>Рабочий признак</v>
      </c>
      <c r="N40" s="16" t="s">
        <v>422</v>
      </c>
    </row>
    <row r="41" spans="1:14" ht="14.25">
      <c r="A41" s="6" t="s">
        <v>74</v>
      </c>
      <c r="B41" s="6" t="s">
        <v>402</v>
      </c>
      <c r="C41" s="11" t="s">
        <v>397</v>
      </c>
      <c r="D41" s="11" t="s">
        <v>177</v>
      </c>
      <c r="E41" s="6" t="s">
        <v>560</v>
      </c>
      <c r="F41" s="11" t="s">
        <v>561</v>
      </c>
      <c r="G41" s="11" t="s">
        <v>530</v>
      </c>
      <c r="H41" s="11">
        <v>1</v>
      </c>
      <c r="I41" s="11">
        <v>1</v>
      </c>
      <c r="J41" s="11">
        <v>1</v>
      </c>
      <c r="K41" s="11">
        <v>4</v>
      </c>
      <c r="L41" s="11">
        <f t="shared" si="0"/>
        <v>1.33</v>
      </c>
      <c r="M41" s="11" t="str">
        <f t="shared" si="1"/>
        <v>Слабый признак</v>
      </c>
      <c r="N41" s="16" t="s">
        <v>422</v>
      </c>
    </row>
    <row r="42" spans="1:14" ht="14.25">
      <c r="A42" s="6" t="s">
        <v>74</v>
      </c>
      <c r="B42" s="6" t="s">
        <v>402</v>
      </c>
      <c r="C42" s="11" t="s">
        <v>397</v>
      </c>
      <c r="D42" s="11" t="s">
        <v>172</v>
      </c>
      <c r="E42" s="11" t="s">
        <v>562</v>
      </c>
      <c r="F42" s="11" t="s">
        <v>563</v>
      </c>
      <c r="G42" s="11" t="s">
        <v>530</v>
      </c>
      <c r="H42" s="11">
        <v>1</v>
      </c>
      <c r="I42" s="11">
        <v>2</v>
      </c>
      <c r="J42" s="11">
        <v>1</v>
      </c>
      <c r="K42" s="11">
        <v>2</v>
      </c>
      <c r="L42" s="11">
        <f t="shared" si="0"/>
        <v>1</v>
      </c>
      <c r="M42" s="11" t="str">
        <f t="shared" si="1"/>
        <v>Слабый признак</v>
      </c>
      <c r="N42" s="16" t="s">
        <v>422</v>
      </c>
    </row>
    <row r="43" spans="1:14" ht="14.25">
      <c r="A43" s="6" t="s">
        <v>74</v>
      </c>
      <c r="B43" s="6" t="s">
        <v>402</v>
      </c>
      <c r="C43" s="11" t="s">
        <v>397</v>
      </c>
      <c r="D43" s="11" t="s">
        <v>165</v>
      </c>
      <c r="E43" s="6" t="s">
        <v>564</v>
      </c>
      <c r="F43" s="11" t="s">
        <v>558</v>
      </c>
      <c r="G43" s="11" t="s">
        <v>530</v>
      </c>
      <c r="H43" s="11">
        <v>1</v>
      </c>
      <c r="I43" s="11">
        <v>2</v>
      </c>
      <c r="J43" s="11">
        <v>3</v>
      </c>
      <c r="K43" s="11">
        <v>4</v>
      </c>
      <c r="L43" s="11">
        <f t="shared" si="0"/>
        <v>3.33</v>
      </c>
      <c r="M43" s="11" t="str">
        <f t="shared" si="1"/>
        <v>Рабочий признак</v>
      </c>
      <c r="N43" s="16" t="s">
        <v>422</v>
      </c>
    </row>
    <row r="44" spans="1:14" ht="14.25">
      <c r="A44" s="6" t="s">
        <v>74</v>
      </c>
      <c r="B44" s="6" t="s">
        <v>402</v>
      </c>
      <c r="C44" s="11" t="s">
        <v>397</v>
      </c>
      <c r="D44" s="11" t="s">
        <v>172</v>
      </c>
      <c r="E44" s="11" t="s">
        <v>565</v>
      </c>
      <c r="F44" s="11" t="s">
        <v>566</v>
      </c>
      <c r="G44" s="11" t="s">
        <v>530</v>
      </c>
      <c r="H44" s="11">
        <v>1</v>
      </c>
      <c r="I44" s="11">
        <v>3</v>
      </c>
      <c r="J44" s="11">
        <v>3</v>
      </c>
      <c r="K44" s="11">
        <v>3</v>
      </c>
      <c r="L44" s="11">
        <f t="shared" si="0"/>
        <v>3</v>
      </c>
      <c r="M44" s="11" t="str">
        <f t="shared" si="1"/>
        <v>Рабочий признак</v>
      </c>
      <c r="N44" s="16" t="s">
        <v>422</v>
      </c>
    </row>
    <row r="45" spans="1:14" ht="14.25">
      <c r="A45" s="6" t="s">
        <v>74</v>
      </c>
      <c r="B45" s="6" t="s">
        <v>402</v>
      </c>
      <c r="C45" s="11" t="s">
        <v>397</v>
      </c>
      <c r="D45" s="11" t="s">
        <v>177</v>
      </c>
      <c r="E45" s="6" t="s">
        <v>567</v>
      </c>
      <c r="F45" s="6" t="s">
        <v>568</v>
      </c>
      <c r="G45" s="11" t="s">
        <v>530</v>
      </c>
      <c r="H45" s="11">
        <v>1</v>
      </c>
      <c r="I45" s="11">
        <v>2</v>
      </c>
      <c r="J45" s="11">
        <v>2</v>
      </c>
      <c r="K45" s="11">
        <v>4</v>
      </c>
      <c r="L45" s="11">
        <f t="shared" si="0"/>
        <v>2.67</v>
      </c>
      <c r="M45" s="11" t="str">
        <f t="shared" si="1"/>
        <v>Рабочий признак</v>
      </c>
      <c r="N45" s="16" t="s">
        <v>422</v>
      </c>
    </row>
    <row r="46" spans="1:14" ht="14.25">
      <c r="A46" s="6" t="s">
        <v>75</v>
      </c>
      <c r="B46" s="6" t="s">
        <v>407</v>
      </c>
      <c r="C46" s="11" t="s">
        <v>404</v>
      </c>
      <c r="D46" s="11" t="s">
        <v>161</v>
      </c>
      <c r="E46" s="11" t="s">
        <v>537</v>
      </c>
      <c r="F46" s="11" t="s">
        <v>538</v>
      </c>
      <c r="G46" s="11" t="s">
        <v>530</v>
      </c>
      <c r="H46" s="11">
        <v>1</v>
      </c>
      <c r="I46" s="11">
        <v>3</v>
      </c>
      <c r="J46" s="11">
        <v>2</v>
      </c>
      <c r="K46" s="11">
        <v>5</v>
      </c>
      <c r="L46" s="11">
        <f t="shared" si="0"/>
        <v>4.17</v>
      </c>
      <c r="M46" s="11" t="str">
        <f t="shared" si="1"/>
        <v>Сильный признак</v>
      </c>
      <c r="N46" s="16" t="s">
        <v>422</v>
      </c>
    </row>
    <row r="47" spans="1:14" ht="14.25">
      <c r="A47" s="6" t="s">
        <v>75</v>
      </c>
      <c r="B47" s="6" t="s">
        <v>407</v>
      </c>
      <c r="C47" s="11" t="s">
        <v>404</v>
      </c>
      <c r="D47" s="11" t="s">
        <v>161</v>
      </c>
      <c r="E47" s="11" t="s">
        <v>554</v>
      </c>
      <c r="F47" s="11" t="s">
        <v>419</v>
      </c>
      <c r="G47" s="11" t="s">
        <v>530</v>
      </c>
      <c r="H47" s="11">
        <v>1</v>
      </c>
      <c r="I47" s="11">
        <v>2</v>
      </c>
      <c r="J47" s="11">
        <v>3</v>
      </c>
      <c r="K47" s="11">
        <v>3</v>
      </c>
      <c r="L47" s="11">
        <f t="shared" si="0"/>
        <v>2.5</v>
      </c>
      <c r="M47" s="11" t="str">
        <f t="shared" si="1"/>
        <v>Рабочий признак</v>
      </c>
      <c r="N47" s="16" t="s">
        <v>422</v>
      </c>
    </row>
    <row r="48" spans="1:14" ht="14.25">
      <c r="A48" s="6" t="s">
        <v>75</v>
      </c>
      <c r="B48" s="6" t="s">
        <v>407</v>
      </c>
      <c r="C48" s="11" t="s">
        <v>404</v>
      </c>
      <c r="D48" s="11" t="s">
        <v>172</v>
      </c>
      <c r="E48" s="11" t="s">
        <v>555</v>
      </c>
      <c r="F48" s="11" t="s">
        <v>556</v>
      </c>
      <c r="G48" s="11" t="s">
        <v>530</v>
      </c>
      <c r="H48" s="11">
        <v>1</v>
      </c>
      <c r="I48" s="11">
        <v>1</v>
      </c>
      <c r="J48" s="11">
        <v>2</v>
      </c>
      <c r="K48" s="11">
        <v>4</v>
      </c>
      <c r="L48" s="11">
        <f t="shared" si="0"/>
        <v>2</v>
      </c>
      <c r="M48" s="11" t="str">
        <f t="shared" si="1"/>
        <v>Рабочий признак</v>
      </c>
      <c r="N48" s="16" t="s">
        <v>422</v>
      </c>
    </row>
    <row r="49" spans="1:14" ht="14.25">
      <c r="A49" s="6" t="s">
        <v>75</v>
      </c>
      <c r="B49" s="6" t="s">
        <v>407</v>
      </c>
      <c r="C49" s="11" t="s">
        <v>404</v>
      </c>
      <c r="D49" s="11" t="s">
        <v>165</v>
      </c>
      <c r="E49" s="6" t="s">
        <v>539</v>
      </c>
      <c r="F49" s="11" t="s">
        <v>540</v>
      </c>
      <c r="G49" s="11" t="s">
        <v>530</v>
      </c>
      <c r="H49" s="11">
        <v>1</v>
      </c>
      <c r="I49" s="11">
        <v>1</v>
      </c>
      <c r="J49" s="11">
        <v>3</v>
      </c>
      <c r="K49" s="11">
        <v>4</v>
      </c>
      <c r="L49" s="11">
        <f t="shared" si="0"/>
        <v>2.67</v>
      </c>
      <c r="M49" s="11" t="str">
        <f t="shared" si="1"/>
        <v>Рабочий признак</v>
      </c>
      <c r="N49" s="16" t="s">
        <v>422</v>
      </c>
    </row>
    <row r="50" spans="1:14" ht="14.25">
      <c r="A50" s="6" t="s">
        <v>75</v>
      </c>
      <c r="B50" s="6" t="s">
        <v>407</v>
      </c>
      <c r="C50" s="11" t="s">
        <v>404</v>
      </c>
      <c r="D50" s="11" t="s">
        <v>165</v>
      </c>
      <c r="E50" s="11" t="s">
        <v>541</v>
      </c>
      <c r="F50" s="11" t="s">
        <v>542</v>
      </c>
      <c r="G50" s="11" t="s">
        <v>530</v>
      </c>
      <c r="H50" s="11">
        <v>1</v>
      </c>
      <c r="I50" s="11">
        <v>3</v>
      </c>
      <c r="J50" s="11">
        <v>3</v>
      </c>
      <c r="K50" s="11">
        <v>4</v>
      </c>
      <c r="L50" s="11">
        <f t="shared" si="0"/>
        <v>4</v>
      </c>
      <c r="M50" s="11" t="str">
        <f t="shared" si="1"/>
        <v>Сильный признак</v>
      </c>
      <c r="N50" s="16" t="s">
        <v>422</v>
      </c>
    </row>
    <row r="51" spans="1:14" ht="14.25">
      <c r="A51" s="6" t="s">
        <v>75</v>
      </c>
      <c r="B51" s="6" t="s">
        <v>407</v>
      </c>
      <c r="C51" s="11" t="s">
        <v>404</v>
      </c>
      <c r="D51" s="11" t="s">
        <v>172</v>
      </c>
      <c r="E51" s="11" t="s">
        <v>545</v>
      </c>
      <c r="F51" s="11" t="s">
        <v>546</v>
      </c>
      <c r="G51" s="11" t="s">
        <v>530</v>
      </c>
      <c r="H51" s="11">
        <v>1</v>
      </c>
      <c r="I51" s="11">
        <v>2</v>
      </c>
      <c r="J51" s="11">
        <v>2</v>
      </c>
      <c r="K51" s="11">
        <v>2</v>
      </c>
      <c r="L51" s="11">
        <f t="shared" si="0"/>
        <v>1.33</v>
      </c>
      <c r="M51" s="11" t="str">
        <f t="shared" si="1"/>
        <v>Слабый признак</v>
      </c>
      <c r="N51" s="16" t="s">
        <v>422</v>
      </c>
    </row>
    <row r="52" spans="1:14" ht="14.25">
      <c r="A52" s="6" t="s">
        <v>75</v>
      </c>
      <c r="B52" s="6" t="s">
        <v>407</v>
      </c>
      <c r="C52" s="11" t="s">
        <v>404</v>
      </c>
      <c r="D52" s="11" t="s">
        <v>172</v>
      </c>
      <c r="E52" s="6" t="s">
        <v>547</v>
      </c>
      <c r="F52" s="11" t="s">
        <v>548</v>
      </c>
      <c r="G52" s="11" t="s">
        <v>530</v>
      </c>
      <c r="H52" s="11">
        <v>1</v>
      </c>
      <c r="I52" s="11">
        <v>2</v>
      </c>
      <c r="J52" s="11">
        <v>2</v>
      </c>
      <c r="K52" s="11">
        <v>3</v>
      </c>
      <c r="L52" s="11">
        <f t="shared" si="0"/>
        <v>2</v>
      </c>
      <c r="M52" s="11" t="str">
        <f t="shared" si="1"/>
        <v>Рабочий признак</v>
      </c>
      <c r="N52" s="16" t="s">
        <v>422</v>
      </c>
    </row>
    <row r="53" spans="1:14" ht="14.25">
      <c r="A53" s="6" t="s">
        <v>75</v>
      </c>
      <c r="B53" s="6" t="s">
        <v>407</v>
      </c>
      <c r="C53" s="11" t="s">
        <v>404</v>
      </c>
      <c r="D53" s="11" t="s">
        <v>172</v>
      </c>
      <c r="E53" s="11" t="s">
        <v>562</v>
      </c>
      <c r="F53" s="11" t="s">
        <v>563</v>
      </c>
      <c r="G53" s="11" t="s">
        <v>530</v>
      </c>
      <c r="H53" s="11">
        <v>1</v>
      </c>
      <c r="I53" s="11">
        <v>3</v>
      </c>
      <c r="J53" s="11">
        <v>3</v>
      </c>
      <c r="K53" s="11">
        <v>2</v>
      </c>
      <c r="L53" s="11">
        <f t="shared" si="0"/>
        <v>2</v>
      </c>
      <c r="M53" s="11" t="str">
        <f t="shared" si="1"/>
        <v>Рабочий признак</v>
      </c>
      <c r="N53" s="16" t="s">
        <v>422</v>
      </c>
    </row>
    <row r="54" spans="1:14" ht="28.5">
      <c r="A54" s="6" t="s">
        <v>76</v>
      </c>
      <c r="B54" s="6" t="s">
        <v>674</v>
      </c>
      <c r="C54" s="11" t="s">
        <v>409</v>
      </c>
      <c r="D54" s="11" t="s">
        <v>165</v>
      </c>
      <c r="E54" s="11" t="s">
        <v>535</v>
      </c>
      <c r="F54" s="11" t="s">
        <v>536</v>
      </c>
      <c r="G54" s="11" t="s">
        <v>530</v>
      </c>
      <c r="H54" s="11">
        <v>1</v>
      </c>
      <c r="I54" s="11">
        <v>1</v>
      </c>
      <c r="J54" s="11">
        <v>2</v>
      </c>
      <c r="K54" s="11">
        <v>4</v>
      </c>
      <c r="L54" s="11">
        <f t="shared" si="0"/>
        <v>2</v>
      </c>
      <c r="M54" s="11" t="str">
        <f t="shared" si="1"/>
        <v>Рабочий признак</v>
      </c>
      <c r="N54" s="16" t="s">
        <v>422</v>
      </c>
    </row>
    <row r="55" spans="1:14" ht="28.5">
      <c r="A55" s="6" t="s">
        <v>76</v>
      </c>
      <c r="B55" s="6" t="s">
        <v>674</v>
      </c>
      <c r="C55" s="11" t="s">
        <v>409</v>
      </c>
      <c r="D55" s="11" t="s">
        <v>161</v>
      </c>
      <c r="E55" s="11" t="s">
        <v>537</v>
      </c>
      <c r="F55" s="11" t="s">
        <v>538</v>
      </c>
      <c r="G55" s="11" t="s">
        <v>530</v>
      </c>
      <c r="H55" s="11">
        <v>1</v>
      </c>
      <c r="I55" s="11">
        <v>3</v>
      </c>
      <c r="J55" s="11">
        <v>3</v>
      </c>
      <c r="K55" s="11">
        <v>5</v>
      </c>
      <c r="L55" s="11">
        <f t="shared" si="0"/>
        <v>5</v>
      </c>
      <c r="M55" s="11" t="str">
        <f t="shared" si="1"/>
        <v>Сильный признак</v>
      </c>
      <c r="N55" s="16" t="s">
        <v>422</v>
      </c>
    </row>
    <row r="56" spans="1:14" ht="28.5">
      <c r="A56" s="6" t="s">
        <v>76</v>
      </c>
      <c r="B56" s="6" t="s">
        <v>674</v>
      </c>
      <c r="C56" s="11" t="s">
        <v>409</v>
      </c>
      <c r="D56" s="11" t="s">
        <v>161</v>
      </c>
      <c r="E56" s="11" t="s">
        <v>554</v>
      </c>
      <c r="F56" s="11" t="s">
        <v>419</v>
      </c>
      <c r="G56" s="11" t="s">
        <v>530</v>
      </c>
      <c r="H56" s="11">
        <v>1</v>
      </c>
      <c r="I56" s="11">
        <v>2</v>
      </c>
      <c r="J56" s="11">
        <v>1</v>
      </c>
      <c r="K56" s="11">
        <v>3</v>
      </c>
      <c r="L56" s="11">
        <f t="shared" si="0"/>
        <v>1.5</v>
      </c>
      <c r="M56" s="11" t="str">
        <f t="shared" si="1"/>
        <v>Слабый признак</v>
      </c>
      <c r="N56" s="16" t="s">
        <v>422</v>
      </c>
    </row>
    <row r="57" spans="1:14" ht="28.5">
      <c r="A57" s="6" t="s">
        <v>76</v>
      </c>
      <c r="B57" s="6" t="s">
        <v>674</v>
      </c>
      <c r="C57" s="11" t="s">
        <v>409</v>
      </c>
      <c r="D57" s="11" t="s">
        <v>172</v>
      </c>
      <c r="E57" s="11" t="s">
        <v>555</v>
      </c>
      <c r="F57" s="11" t="s">
        <v>556</v>
      </c>
      <c r="G57" s="11" t="s">
        <v>530</v>
      </c>
      <c r="H57" s="11">
        <v>1</v>
      </c>
      <c r="I57" s="11">
        <v>1</v>
      </c>
      <c r="J57" s="11">
        <v>3</v>
      </c>
      <c r="K57" s="11">
        <v>4</v>
      </c>
      <c r="L57" s="11">
        <f t="shared" si="0"/>
        <v>2.67</v>
      </c>
      <c r="M57" s="11" t="str">
        <f t="shared" si="1"/>
        <v>Рабочий признак</v>
      </c>
      <c r="N57" s="16" t="s">
        <v>422</v>
      </c>
    </row>
    <row r="58" spans="1:14" ht="28.5">
      <c r="A58" s="6" t="s">
        <v>76</v>
      </c>
      <c r="B58" s="6" t="s">
        <v>674</v>
      </c>
      <c r="C58" s="11" t="s">
        <v>409</v>
      </c>
      <c r="D58" s="11" t="s">
        <v>177</v>
      </c>
      <c r="E58" s="6" t="s">
        <v>569</v>
      </c>
      <c r="F58" s="11" t="s">
        <v>570</v>
      </c>
      <c r="G58" s="11" t="s">
        <v>530</v>
      </c>
      <c r="H58" s="11">
        <v>1</v>
      </c>
      <c r="I58" s="11">
        <v>2</v>
      </c>
      <c r="J58" s="11">
        <v>1</v>
      </c>
      <c r="K58" s="11">
        <v>5</v>
      </c>
      <c r="L58" s="11">
        <f t="shared" si="0"/>
        <v>2.5</v>
      </c>
      <c r="M58" s="11" t="str">
        <f t="shared" si="1"/>
        <v>Рабочий признак</v>
      </c>
      <c r="N58" s="16" t="s">
        <v>422</v>
      </c>
    </row>
    <row r="59" spans="1:14" ht="28.5">
      <c r="A59" s="6" t="s">
        <v>76</v>
      </c>
      <c r="B59" s="6" t="s">
        <v>674</v>
      </c>
      <c r="C59" s="11" t="s">
        <v>409</v>
      </c>
      <c r="D59" s="11" t="s">
        <v>165</v>
      </c>
      <c r="E59" s="6" t="s">
        <v>557</v>
      </c>
      <c r="F59" s="11" t="s">
        <v>558</v>
      </c>
      <c r="G59" s="11" t="s">
        <v>530</v>
      </c>
      <c r="H59" s="11">
        <v>1</v>
      </c>
      <c r="I59" s="11">
        <v>2</v>
      </c>
      <c r="J59" s="11">
        <v>3</v>
      </c>
      <c r="K59" s="11">
        <v>5</v>
      </c>
      <c r="L59" s="11">
        <f t="shared" si="0"/>
        <v>4.17</v>
      </c>
      <c r="M59" s="11" t="str">
        <f t="shared" si="1"/>
        <v>Сильный признак</v>
      </c>
      <c r="N59" s="16" t="s">
        <v>422</v>
      </c>
    </row>
    <row r="60" spans="1:14" ht="28.5">
      <c r="A60" s="6" t="s">
        <v>76</v>
      </c>
      <c r="B60" s="6" t="s">
        <v>674</v>
      </c>
      <c r="C60" s="11" t="s">
        <v>409</v>
      </c>
      <c r="D60" s="11" t="s">
        <v>172</v>
      </c>
      <c r="E60" s="11" t="s">
        <v>559</v>
      </c>
      <c r="F60" s="11" t="s">
        <v>478</v>
      </c>
      <c r="G60" s="11" t="s">
        <v>530</v>
      </c>
      <c r="H60" s="11">
        <v>1</v>
      </c>
      <c r="I60" s="11">
        <v>3</v>
      </c>
      <c r="J60" s="11">
        <v>3</v>
      </c>
      <c r="K60" s="11">
        <v>3</v>
      </c>
      <c r="L60" s="11">
        <f t="shared" si="0"/>
        <v>3</v>
      </c>
      <c r="M60" s="11" t="str">
        <f t="shared" si="1"/>
        <v>Рабочий признак</v>
      </c>
      <c r="N60" s="16" t="s">
        <v>422</v>
      </c>
    </row>
    <row r="61" spans="1:14" ht="28.5">
      <c r="A61" s="6" t="s">
        <v>76</v>
      </c>
      <c r="B61" s="6" t="s">
        <v>674</v>
      </c>
      <c r="C61" s="11" t="s">
        <v>409</v>
      </c>
      <c r="D61" s="11" t="s">
        <v>165</v>
      </c>
      <c r="E61" s="11" t="s">
        <v>543</v>
      </c>
      <c r="F61" s="11" t="s">
        <v>544</v>
      </c>
      <c r="G61" s="11" t="s">
        <v>530</v>
      </c>
      <c r="H61" s="11">
        <v>1</v>
      </c>
      <c r="I61" s="11">
        <v>3</v>
      </c>
      <c r="J61" s="11">
        <v>3</v>
      </c>
      <c r="K61" s="11">
        <v>4</v>
      </c>
      <c r="L61" s="11">
        <f t="shared" si="0"/>
        <v>4</v>
      </c>
      <c r="M61" s="11" t="str">
        <f t="shared" si="1"/>
        <v>Сильный признак</v>
      </c>
      <c r="N61" s="16" t="s">
        <v>422</v>
      </c>
    </row>
    <row r="62" spans="1:14" ht="28.5">
      <c r="A62" s="6" t="s">
        <v>76</v>
      </c>
      <c r="B62" s="6" t="s">
        <v>674</v>
      </c>
      <c r="C62" s="11" t="s">
        <v>409</v>
      </c>
      <c r="D62" s="11" t="s">
        <v>172</v>
      </c>
      <c r="E62" s="11" t="s">
        <v>545</v>
      </c>
      <c r="F62" s="11" t="s">
        <v>546</v>
      </c>
      <c r="G62" s="11" t="s">
        <v>530</v>
      </c>
      <c r="H62" s="11">
        <v>1</v>
      </c>
      <c r="I62" s="11">
        <v>3</v>
      </c>
      <c r="J62" s="11">
        <v>2</v>
      </c>
      <c r="K62" s="11">
        <v>2</v>
      </c>
      <c r="L62" s="11">
        <f t="shared" si="0"/>
        <v>1.67</v>
      </c>
      <c r="M62" s="11" t="str">
        <f t="shared" si="1"/>
        <v>Слабый признак</v>
      </c>
      <c r="N62" s="16" t="s">
        <v>422</v>
      </c>
    </row>
    <row r="63" spans="1:14" ht="28.5">
      <c r="A63" s="6" t="s">
        <v>76</v>
      </c>
      <c r="B63" s="6" t="s">
        <v>674</v>
      </c>
      <c r="C63" s="11" t="s">
        <v>409</v>
      </c>
      <c r="D63" s="11" t="s">
        <v>172</v>
      </c>
      <c r="E63" s="6" t="s">
        <v>547</v>
      </c>
      <c r="F63" s="11" t="s">
        <v>548</v>
      </c>
      <c r="G63" s="11" t="s">
        <v>530</v>
      </c>
      <c r="H63" s="11">
        <v>1</v>
      </c>
      <c r="I63" s="11">
        <v>2</v>
      </c>
      <c r="J63" s="11">
        <v>3</v>
      </c>
      <c r="K63" s="11">
        <v>3</v>
      </c>
      <c r="L63" s="11">
        <f t="shared" si="0"/>
        <v>2.5</v>
      </c>
      <c r="M63" s="11" t="str">
        <f t="shared" si="1"/>
        <v>Рабочий признак</v>
      </c>
      <c r="N63" s="16" t="s">
        <v>422</v>
      </c>
    </row>
    <row r="64" spans="1:14" ht="28.5">
      <c r="A64" s="6" t="s">
        <v>76</v>
      </c>
      <c r="B64" s="6" t="s">
        <v>674</v>
      </c>
      <c r="C64" s="11" t="s">
        <v>409</v>
      </c>
      <c r="D64" s="11" t="s">
        <v>172</v>
      </c>
      <c r="E64" s="11" t="s">
        <v>562</v>
      </c>
      <c r="F64" s="11" t="s">
        <v>563</v>
      </c>
      <c r="G64" s="11" t="s">
        <v>530</v>
      </c>
      <c r="H64" s="11">
        <v>1</v>
      </c>
      <c r="I64" s="11">
        <v>2</v>
      </c>
      <c r="J64" s="11">
        <v>2</v>
      </c>
      <c r="K64" s="11">
        <v>2</v>
      </c>
      <c r="L64" s="11">
        <f t="shared" si="0"/>
        <v>1.33</v>
      </c>
      <c r="M64" s="11" t="str">
        <f t="shared" si="1"/>
        <v>Слабый признак</v>
      </c>
      <c r="N64" s="16" t="s">
        <v>422</v>
      </c>
    </row>
    <row r="65" spans="1:14" ht="28.5">
      <c r="A65" s="6" t="s">
        <v>76</v>
      </c>
      <c r="B65" s="6" t="s">
        <v>674</v>
      </c>
      <c r="C65" s="11" t="s">
        <v>409</v>
      </c>
      <c r="D65" s="11" t="s">
        <v>177</v>
      </c>
      <c r="E65" s="6" t="s">
        <v>571</v>
      </c>
      <c r="F65" s="11" t="s">
        <v>572</v>
      </c>
      <c r="G65" s="11" t="s">
        <v>530</v>
      </c>
      <c r="H65" s="11">
        <v>1</v>
      </c>
      <c r="I65" s="11">
        <v>3</v>
      </c>
      <c r="J65" s="11">
        <v>3</v>
      </c>
      <c r="K65" s="11">
        <v>2</v>
      </c>
      <c r="L65" s="11">
        <f t="shared" si="0"/>
        <v>2</v>
      </c>
      <c r="M65" s="11" t="str">
        <f t="shared" si="1"/>
        <v>Рабочий признак</v>
      </c>
      <c r="N65" s="16" t="s">
        <v>422</v>
      </c>
    </row>
    <row r="66" spans="1:14" ht="28.5">
      <c r="A66" s="6" t="s">
        <v>76</v>
      </c>
      <c r="B66" s="6" t="s">
        <v>674</v>
      </c>
      <c r="C66" s="11" t="s">
        <v>409</v>
      </c>
      <c r="D66" s="11" t="s">
        <v>165</v>
      </c>
      <c r="E66" s="6" t="s">
        <v>564</v>
      </c>
      <c r="F66" s="11" t="s">
        <v>558</v>
      </c>
      <c r="G66" s="11" t="s">
        <v>530</v>
      </c>
      <c r="H66" s="11">
        <v>1</v>
      </c>
      <c r="I66" s="11">
        <v>2</v>
      </c>
      <c r="J66" s="11">
        <v>2</v>
      </c>
      <c r="K66" s="11">
        <v>4</v>
      </c>
      <c r="L66" s="11">
        <f t="shared" si="0"/>
        <v>2.67</v>
      </c>
      <c r="M66" s="11" t="str">
        <f t="shared" si="1"/>
        <v>Рабочий признак</v>
      </c>
      <c r="N66" s="16" t="s">
        <v>422</v>
      </c>
    </row>
    <row r="67" spans="1:14" ht="28.5">
      <c r="A67" s="6" t="s">
        <v>76</v>
      </c>
      <c r="B67" s="6" t="s">
        <v>674</v>
      </c>
      <c r="C67" s="11" t="s">
        <v>409</v>
      </c>
      <c r="D67" s="11" t="s">
        <v>172</v>
      </c>
      <c r="E67" s="11" t="s">
        <v>565</v>
      </c>
      <c r="F67" s="11" t="s">
        <v>566</v>
      </c>
      <c r="G67" s="11" t="s">
        <v>530</v>
      </c>
      <c r="H67" s="11">
        <v>1</v>
      </c>
      <c r="I67" s="11">
        <v>3</v>
      </c>
      <c r="J67" s="11">
        <v>3</v>
      </c>
      <c r="K67" s="11">
        <v>3</v>
      </c>
      <c r="L67" s="11">
        <f t="shared" si="0"/>
        <v>3</v>
      </c>
      <c r="M67" s="11" t="str">
        <f t="shared" si="1"/>
        <v>Рабочий признак</v>
      </c>
      <c r="N67" s="16" t="s">
        <v>422</v>
      </c>
    </row>
    <row r="68" spans="1:14" ht="28.5">
      <c r="A68" s="6" t="s">
        <v>77</v>
      </c>
      <c r="B68" s="6" t="s">
        <v>417</v>
      </c>
      <c r="C68" s="11" t="s">
        <v>414</v>
      </c>
      <c r="D68" s="11" t="s">
        <v>165</v>
      </c>
      <c r="E68" s="11" t="s">
        <v>535</v>
      </c>
      <c r="F68" s="11" t="s">
        <v>536</v>
      </c>
      <c r="G68" s="11" t="s">
        <v>530</v>
      </c>
      <c r="H68" s="11">
        <v>1</v>
      </c>
      <c r="I68" s="11">
        <v>2</v>
      </c>
      <c r="J68" s="11">
        <v>3</v>
      </c>
      <c r="K68" s="11">
        <v>4</v>
      </c>
      <c r="L68" s="11">
        <f t="shared" ref="L68:L81" si="2">IF(OR(H68="",I68="",J68="",K68=""),"",ROUND(H68*((I68+J68)/6)*K68,2))</f>
        <v>3.33</v>
      </c>
      <c r="M68" s="11" t="str">
        <f t="shared" ref="M68:M81" si="3">IF(L68="","",IF(AND(L68&gt;=3.5,H68=1),"Сильный признак",IF(AND(L68&gt;=2,H68=1),"Рабочий признак",IF(H68=1,"Слабый признак","Отсутствует"))))</f>
        <v>Рабочий признак</v>
      </c>
      <c r="N68" s="16" t="s">
        <v>422</v>
      </c>
    </row>
    <row r="69" spans="1:14" ht="28.5">
      <c r="A69" s="6" t="s">
        <v>77</v>
      </c>
      <c r="B69" s="6" t="s">
        <v>417</v>
      </c>
      <c r="C69" s="11" t="s">
        <v>414</v>
      </c>
      <c r="D69" s="11" t="s">
        <v>161</v>
      </c>
      <c r="E69" s="11" t="s">
        <v>537</v>
      </c>
      <c r="F69" s="11" t="s">
        <v>538</v>
      </c>
      <c r="G69" s="11" t="s">
        <v>530</v>
      </c>
      <c r="H69" s="11">
        <v>1</v>
      </c>
      <c r="I69" s="11">
        <v>3</v>
      </c>
      <c r="J69" s="11">
        <v>3</v>
      </c>
      <c r="K69" s="11">
        <v>5</v>
      </c>
      <c r="L69" s="11">
        <f t="shared" si="2"/>
        <v>5</v>
      </c>
      <c r="M69" s="11" t="str">
        <f t="shared" si="3"/>
        <v>Сильный признак</v>
      </c>
      <c r="N69" s="16" t="s">
        <v>422</v>
      </c>
    </row>
    <row r="70" spans="1:14" ht="28.5">
      <c r="A70" s="6" t="s">
        <v>77</v>
      </c>
      <c r="B70" s="6" t="s">
        <v>417</v>
      </c>
      <c r="C70" s="11" t="s">
        <v>414</v>
      </c>
      <c r="D70" s="11" t="s">
        <v>161</v>
      </c>
      <c r="E70" s="11" t="s">
        <v>554</v>
      </c>
      <c r="F70" s="11" t="s">
        <v>419</v>
      </c>
      <c r="G70" s="11" t="s">
        <v>530</v>
      </c>
      <c r="H70" s="11">
        <v>1</v>
      </c>
      <c r="I70" s="11">
        <v>2</v>
      </c>
      <c r="J70" s="11">
        <v>2</v>
      </c>
      <c r="K70" s="11">
        <v>3</v>
      </c>
      <c r="L70" s="11">
        <f t="shared" si="2"/>
        <v>2</v>
      </c>
      <c r="M70" s="11" t="str">
        <f t="shared" si="3"/>
        <v>Рабочий признак</v>
      </c>
      <c r="N70" s="16" t="s">
        <v>422</v>
      </c>
    </row>
    <row r="71" spans="1:14" ht="28.5">
      <c r="A71" s="6" t="s">
        <v>77</v>
      </c>
      <c r="B71" s="6" t="s">
        <v>417</v>
      </c>
      <c r="C71" s="11" t="s">
        <v>414</v>
      </c>
      <c r="D71" s="11" t="s">
        <v>172</v>
      </c>
      <c r="E71" s="11" t="s">
        <v>555</v>
      </c>
      <c r="F71" s="11" t="s">
        <v>556</v>
      </c>
      <c r="G71" s="11" t="s">
        <v>530</v>
      </c>
      <c r="H71" s="11">
        <v>1</v>
      </c>
      <c r="I71" s="11">
        <v>2</v>
      </c>
      <c r="J71" s="11">
        <v>2</v>
      </c>
      <c r="K71" s="11">
        <v>4</v>
      </c>
      <c r="L71" s="11">
        <f t="shared" si="2"/>
        <v>2.67</v>
      </c>
      <c r="M71" s="11" t="str">
        <f t="shared" si="3"/>
        <v>Рабочий признак</v>
      </c>
      <c r="N71" s="16" t="s">
        <v>422</v>
      </c>
    </row>
    <row r="72" spans="1:14" ht="28.5">
      <c r="A72" s="6" t="s">
        <v>77</v>
      </c>
      <c r="B72" s="6" t="s">
        <v>417</v>
      </c>
      <c r="C72" s="11" t="s">
        <v>414</v>
      </c>
      <c r="D72" s="11" t="s">
        <v>177</v>
      </c>
      <c r="E72" s="6" t="s">
        <v>569</v>
      </c>
      <c r="F72" s="11" t="s">
        <v>570</v>
      </c>
      <c r="G72" s="11" t="s">
        <v>530</v>
      </c>
      <c r="H72" s="11">
        <v>1</v>
      </c>
      <c r="I72" s="11">
        <v>2</v>
      </c>
      <c r="J72" s="11">
        <v>2</v>
      </c>
      <c r="K72" s="11">
        <v>5</v>
      </c>
      <c r="L72" s="11">
        <f t="shared" si="2"/>
        <v>3.33</v>
      </c>
      <c r="M72" s="11" t="str">
        <f t="shared" si="3"/>
        <v>Рабочий признак</v>
      </c>
      <c r="N72" s="16" t="s">
        <v>422</v>
      </c>
    </row>
    <row r="73" spans="1:14" ht="28.5">
      <c r="A73" s="6" t="s">
        <v>77</v>
      </c>
      <c r="B73" s="6" t="s">
        <v>417</v>
      </c>
      <c r="C73" s="11" t="s">
        <v>414</v>
      </c>
      <c r="D73" s="11" t="s">
        <v>165</v>
      </c>
      <c r="E73" s="6" t="s">
        <v>557</v>
      </c>
      <c r="F73" s="11" t="s">
        <v>558</v>
      </c>
      <c r="G73" s="11" t="s">
        <v>530</v>
      </c>
      <c r="H73" s="11">
        <v>1</v>
      </c>
      <c r="I73" s="11">
        <v>3</v>
      </c>
      <c r="J73" s="11">
        <v>3</v>
      </c>
      <c r="K73" s="11">
        <v>5</v>
      </c>
      <c r="L73" s="11">
        <f t="shared" si="2"/>
        <v>5</v>
      </c>
      <c r="M73" s="11" t="str">
        <f t="shared" si="3"/>
        <v>Сильный признак</v>
      </c>
      <c r="N73" s="16" t="s">
        <v>422</v>
      </c>
    </row>
    <row r="74" spans="1:14" ht="28.5">
      <c r="A74" s="6" t="s">
        <v>77</v>
      </c>
      <c r="B74" s="6" t="s">
        <v>417</v>
      </c>
      <c r="C74" s="11" t="s">
        <v>414</v>
      </c>
      <c r="D74" s="11" t="s">
        <v>172</v>
      </c>
      <c r="E74" s="11" t="s">
        <v>559</v>
      </c>
      <c r="F74" s="11" t="s">
        <v>478</v>
      </c>
      <c r="G74" s="11" t="s">
        <v>530</v>
      </c>
      <c r="H74" s="11">
        <v>1</v>
      </c>
      <c r="I74" s="11">
        <v>2</v>
      </c>
      <c r="J74" s="11">
        <v>3</v>
      </c>
      <c r="K74" s="11">
        <v>3</v>
      </c>
      <c r="L74" s="11">
        <f t="shared" si="2"/>
        <v>2.5</v>
      </c>
      <c r="M74" s="11" t="str">
        <f t="shared" si="3"/>
        <v>Рабочий признак</v>
      </c>
      <c r="N74" s="16" t="s">
        <v>422</v>
      </c>
    </row>
    <row r="75" spans="1:14" ht="28.5">
      <c r="A75" s="6" t="s">
        <v>77</v>
      </c>
      <c r="B75" s="6" t="s">
        <v>417</v>
      </c>
      <c r="C75" s="11" t="s">
        <v>414</v>
      </c>
      <c r="D75" s="11" t="s">
        <v>165</v>
      </c>
      <c r="E75" s="11" t="s">
        <v>543</v>
      </c>
      <c r="F75" s="11" t="s">
        <v>544</v>
      </c>
      <c r="G75" s="11" t="s">
        <v>530</v>
      </c>
      <c r="H75" s="11">
        <v>1</v>
      </c>
      <c r="I75" s="11">
        <v>3</v>
      </c>
      <c r="J75" s="11">
        <v>3</v>
      </c>
      <c r="K75" s="11">
        <v>4</v>
      </c>
      <c r="L75" s="11">
        <f t="shared" si="2"/>
        <v>4</v>
      </c>
      <c r="M75" s="11" t="str">
        <f t="shared" si="3"/>
        <v>Сильный признак</v>
      </c>
      <c r="N75" s="16" t="s">
        <v>422</v>
      </c>
    </row>
    <row r="76" spans="1:14" ht="28.5">
      <c r="A76" s="6" t="s">
        <v>77</v>
      </c>
      <c r="B76" s="6" t="s">
        <v>417</v>
      </c>
      <c r="C76" s="11" t="s">
        <v>414</v>
      </c>
      <c r="D76" s="11" t="s">
        <v>172</v>
      </c>
      <c r="E76" s="11" t="s">
        <v>545</v>
      </c>
      <c r="F76" s="11" t="s">
        <v>546</v>
      </c>
      <c r="G76" s="11" t="s">
        <v>530</v>
      </c>
      <c r="H76" s="11">
        <v>1</v>
      </c>
      <c r="I76" s="11">
        <v>3</v>
      </c>
      <c r="J76" s="11">
        <v>3</v>
      </c>
      <c r="K76" s="11">
        <v>2</v>
      </c>
      <c r="L76" s="11">
        <f t="shared" si="2"/>
        <v>2</v>
      </c>
      <c r="M76" s="11" t="str">
        <f t="shared" si="3"/>
        <v>Рабочий признак</v>
      </c>
      <c r="N76" s="16" t="s">
        <v>422</v>
      </c>
    </row>
    <row r="77" spans="1:14" ht="28.5">
      <c r="A77" s="6" t="s">
        <v>77</v>
      </c>
      <c r="B77" s="6" t="s">
        <v>417</v>
      </c>
      <c r="C77" s="11" t="s">
        <v>414</v>
      </c>
      <c r="D77" s="11" t="s">
        <v>172</v>
      </c>
      <c r="E77" s="6" t="s">
        <v>547</v>
      </c>
      <c r="F77" s="11" t="s">
        <v>548</v>
      </c>
      <c r="G77" s="11" t="s">
        <v>530</v>
      </c>
      <c r="H77" s="11">
        <v>1</v>
      </c>
      <c r="I77" s="11">
        <v>2</v>
      </c>
      <c r="J77" s="11">
        <v>2</v>
      </c>
      <c r="K77" s="11">
        <v>3</v>
      </c>
      <c r="L77" s="11">
        <f t="shared" si="2"/>
        <v>2</v>
      </c>
      <c r="M77" s="11" t="str">
        <f t="shared" si="3"/>
        <v>Рабочий признак</v>
      </c>
      <c r="N77" s="16" t="s">
        <v>422</v>
      </c>
    </row>
    <row r="78" spans="1:14" ht="28.5">
      <c r="A78" s="6" t="s">
        <v>77</v>
      </c>
      <c r="B78" s="6" t="s">
        <v>417</v>
      </c>
      <c r="C78" s="11" t="s">
        <v>414</v>
      </c>
      <c r="D78" s="11" t="s">
        <v>177</v>
      </c>
      <c r="E78" s="6" t="s">
        <v>571</v>
      </c>
      <c r="F78" s="11" t="s">
        <v>572</v>
      </c>
      <c r="G78" s="11" t="s">
        <v>530</v>
      </c>
      <c r="H78" s="11">
        <v>1</v>
      </c>
      <c r="I78" s="11">
        <v>2</v>
      </c>
      <c r="J78" s="11">
        <v>2</v>
      </c>
      <c r="K78" s="11">
        <v>2</v>
      </c>
      <c r="L78" s="11">
        <f t="shared" si="2"/>
        <v>1.33</v>
      </c>
      <c r="M78" s="11" t="str">
        <f t="shared" si="3"/>
        <v>Слабый признак</v>
      </c>
      <c r="N78" s="16" t="s">
        <v>422</v>
      </c>
    </row>
    <row r="79" spans="1:14" ht="28.5">
      <c r="A79" s="6" t="s">
        <v>77</v>
      </c>
      <c r="B79" s="6" t="s">
        <v>417</v>
      </c>
      <c r="C79" s="11" t="s">
        <v>414</v>
      </c>
      <c r="D79" s="11" t="s">
        <v>165</v>
      </c>
      <c r="E79" s="6" t="s">
        <v>564</v>
      </c>
      <c r="F79" s="11" t="s">
        <v>558</v>
      </c>
      <c r="G79" s="11" t="s">
        <v>530</v>
      </c>
      <c r="H79" s="11">
        <v>1</v>
      </c>
      <c r="I79" s="11">
        <v>3</v>
      </c>
      <c r="J79" s="11">
        <v>3</v>
      </c>
      <c r="K79" s="11">
        <v>4</v>
      </c>
      <c r="L79" s="11">
        <f t="shared" si="2"/>
        <v>4</v>
      </c>
      <c r="M79" s="11" t="str">
        <f t="shared" si="3"/>
        <v>Сильный признак</v>
      </c>
      <c r="N79" s="16" t="s">
        <v>422</v>
      </c>
    </row>
    <row r="80" spans="1:14" ht="28.5">
      <c r="A80" s="6" t="s">
        <v>77</v>
      </c>
      <c r="B80" s="6" t="s">
        <v>417</v>
      </c>
      <c r="C80" s="11" t="s">
        <v>414</v>
      </c>
      <c r="D80" s="11" t="s">
        <v>177</v>
      </c>
      <c r="E80" s="6" t="s">
        <v>567</v>
      </c>
      <c r="F80" s="6" t="s">
        <v>568</v>
      </c>
      <c r="G80" s="11" t="s">
        <v>530</v>
      </c>
      <c r="H80" s="11">
        <v>1</v>
      </c>
      <c r="I80" s="11">
        <v>2</v>
      </c>
      <c r="J80" s="11">
        <v>3</v>
      </c>
      <c r="K80" s="11">
        <v>4</v>
      </c>
      <c r="L80" s="11">
        <f t="shared" si="2"/>
        <v>3.33</v>
      </c>
      <c r="M80" s="11" t="str">
        <f t="shared" si="3"/>
        <v>Рабочий признак</v>
      </c>
      <c r="N80" s="16" t="s">
        <v>422</v>
      </c>
    </row>
    <row r="81" spans="1:14" ht="28.5">
      <c r="A81" s="7" t="s">
        <v>77</v>
      </c>
      <c r="B81" s="7" t="s">
        <v>417</v>
      </c>
      <c r="C81" s="12" t="s">
        <v>414</v>
      </c>
      <c r="D81" s="12" t="s">
        <v>177</v>
      </c>
      <c r="E81" s="7" t="s">
        <v>573</v>
      </c>
      <c r="F81" s="12" t="s">
        <v>532</v>
      </c>
      <c r="G81" s="12" t="s">
        <v>530</v>
      </c>
      <c r="H81" s="12">
        <v>1</v>
      </c>
      <c r="I81" s="12">
        <v>3</v>
      </c>
      <c r="J81" s="12">
        <v>3</v>
      </c>
      <c r="K81" s="12">
        <v>2</v>
      </c>
      <c r="L81" s="12">
        <f t="shared" si="2"/>
        <v>2</v>
      </c>
      <c r="M81" s="12" t="str">
        <f t="shared" si="3"/>
        <v>Рабочий признак</v>
      </c>
      <c r="N81" s="13" t="s">
        <v>422</v>
      </c>
    </row>
  </sheetData>
  <mergeCells count="2">
    <mergeCell ref="A1:N1"/>
    <mergeCell ref="A2:N2"/>
  </mergeCells>
  <dataValidations count="4">
    <dataValidation type="list" sqref="D4:D81" xr:uid="{00000000-0002-0000-03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H4:H81" xr:uid="{00000000-0002-0000-0300-000001000000}">
      <formula1>"0,1"</formula1>
    </dataValidation>
    <dataValidation type="list" sqref="I4:J81" xr:uid="{00000000-0002-0000-0300-000002000000}">
      <formula1>"0,1,2,3"</formula1>
    </dataValidation>
    <dataValidation type="list" sqref="K4:K81" xr:uid="{00000000-0002-0000-03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8"/>
  <sheetViews>
    <sheetView workbookViewId="0"/>
  </sheetViews>
  <sheetFormatPr defaultRowHeight="13.5"/>
  <cols>
    <col min="1" max="1" width="17.1875" customWidth="1"/>
    <col min="2" max="2" width="52.5625" customWidth="1"/>
    <col min="3" max="3" width="51.875" customWidth="1"/>
    <col min="4" max="4" width="37.1875" customWidth="1"/>
    <col min="5" max="5" width="19.3125" customWidth="1"/>
    <col min="6" max="6" width="10.9375" customWidth="1"/>
    <col min="7" max="7" width="35.0625" customWidth="1"/>
    <col min="8" max="8" width="20.375" customWidth="1"/>
    <col min="9" max="9" width="31.9375" customWidth="1"/>
    <col min="10" max="10" width="43.4375" customWidth="1"/>
    <col min="11" max="11" width="52.5625" customWidth="1"/>
    <col min="12" max="12" width="17.1875" customWidth="1"/>
    <col min="13" max="13" width="14.0625" customWidth="1"/>
  </cols>
  <sheetData>
    <row r="1" spans="1:13" ht="20" customHeight="1">
      <c r="A1" s="26" t="s">
        <v>104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 spans="1:13" ht="20" customHeight="1">
      <c r="A2" s="28" t="s">
        <v>699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33"/>
    </row>
    <row r="3" spans="1:13" ht="14.25">
      <c r="A3" s="3" t="s">
        <v>105</v>
      </c>
      <c r="B3" s="3" t="s">
        <v>106</v>
      </c>
      <c r="C3" s="3" t="s">
        <v>107</v>
      </c>
      <c r="D3" s="3" t="s">
        <v>108</v>
      </c>
      <c r="E3" s="3" t="s">
        <v>109</v>
      </c>
      <c r="F3" s="3" t="s">
        <v>110</v>
      </c>
      <c r="G3" s="3" t="s">
        <v>111</v>
      </c>
      <c r="H3" s="3" t="s">
        <v>112</v>
      </c>
      <c r="I3" s="3" t="s">
        <v>113</v>
      </c>
      <c r="J3" s="3" t="s">
        <v>31</v>
      </c>
      <c r="K3" s="3" t="s">
        <v>114</v>
      </c>
      <c r="L3" s="3" t="s">
        <v>115</v>
      </c>
      <c r="M3" s="9" t="s">
        <v>103</v>
      </c>
    </row>
    <row r="4" spans="1:13" ht="14.25">
      <c r="A4" s="6" t="s">
        <v>116</v>
      </c>
      <c r="B4" s="6" t="s">
        <v>528</v>
      </c>
      <c r="C4" s="6" t="s">
        <v>574</v>
      </c>
      <c r="D4" s="6" t="s">
        <v>529</v>
      </c>
      <c r="E4" s="11" t="s">
        <v>162</v>
      </c>
      <c r="F4" s="11">
        <v>5</v>
      </c>
      <c r="G4" s="11">
        <v>3</v>
      </c>
      <c r="H4" s="19">
        <f>IF(G4="","",IFERROR(G4/MAX(1,COUNTIF('01_Конкуренты'!$B$4:$B$10,"?*")),""))</f>
        <v>0.42857142857142855</v>
      </c>
      <c r="I4" s="11">
        <v>3.33</v>
      </c>
      <c r="J4" s="6" t="str">
        <f t="shared" ref="J4:J28" si="0">IF(B4="","",IF(E4="Обязательное",IF(H4&gt;=0.6,"Минимальный рыночный стандарт","Потенциальный обязательный разрыв"),IF(E4="Линейное",IF(H4&gt;=0.5,"Конкурентная норма с влиянием на выбор","Зона усиления ценности"),IF(E4="Привлекательное",IF(H4&lt;0.5,"Зона дифференциации","Переходит в ожидаемую норму"),IF(E4="Безразличное","Не делать при дефиците ресурсов",IF(E4="Обратное","Исключить из первого релиза при риске отторжения","Подтверждено частично"))))))</f>
        <v>Потенциальный обязательный разрыв</v>
      </c>
      <c r="K4" s="6" t="s">
        <v>575</v>
      </c>
      <c r="L4" s="11" t="s">
        <v>422</v>
      </c>
      <c r="M4" s="16" t="s">
        <v>422</v>
      </c>
    </row>
    <row r="5" spans="1:13" ht="14.25">
      <c r="A5" s="6" t="s">
        <v>117</v>
      </c>
      <c r="B5" s="6" t="s">
        <v>531</v>
      </c>
      <c r="C5" s="6" t="s">
        <v>576</v>
      </c>
      <c r="D5" s="11" t="s">
        <v>532</v>
      </c>
      <c r="E5" s="11" t="s">
        <v>159</v>
      </c>
      <c r="F5" s="11">
        <v>4</v>
      </c>
      <c r="G5" s="11">
        <v>4</v>
      </c>
      <c r="H5" s="19">
        <f>IF(G5="","",IFERROR(G5/MAX(1,COUNTIF('01_Конкуренты'!$B$4:$B$10,"?*")),""))</f>
        <v>0.5714285714285714</v>
      </c>
      <c r="I5" s="11">
        <v>3.5</v>
      </c>
      <c r="J5" s="6" t="str">
        <f t="shared" si="0"/>
        <v>Конкурентная норма с влиянием на выбор</v>
      </c>
      <c r="K5" s="11" t="s">
        <v>577</v>
      </c>
      <c r="L5" s="11" t="s">
        <v>422</v>
      </c>
      <c r="M5" s="16" t="s">
        <v>422</v>
      </c>
    </row>
    <row r="6" spans="1:13" ht="14.25">
      <c r="A6" s="6" t="s">
        <v>118</v>
      </c>
      <c r="B6" s="11" t="s">
        <v>533</v>
      </c>
      <c r="C6" s="11" t="s">
        <v>578</v>
      </c>
      <c r="D6" s="11" t="s">
        <v>534</v>
      </c>
      <c r="E6" s="11" t="s">
        <v>159</v>
      </c>
      <c r="F6" s="11">
        <v>4</v>
      </c>
      <c r="G6" s="11">
        <v>2</v>
      </c>
      <c r="H6" s="19">
        <f>IF(G6="","",IFERROR(G6/MAX(1,COUNTIF('01_Конкуренты'!$B$4:$B$10,"?*")),""))</f>
        <v>0.2857142857142857</v>
      </c>
      <c r="I6" s="11">
        <v>3.5</v>
      </c>
      <c r="J6" s="11" t="str">
        <f t="shared" si="0"/>
        <v>Зона усиления ценности</v>
      </c>
      <c r="K6" s="6" t="s">
        <v>579</v>
      </c>
      <c r="L6" s="11" t="s">
        <v>422</v>
      </c>
      <c r="M6" s="16" t="s">
        <v>422</v>
      </c>
    </row>
    <row r="7" spans="1:13" ht="14.25">
      <c r="A7" s="6" t="s">
        <v>119</v>
      </c>
      <c r="B7" s="11" t="s">
        <v>535</v>
      </c>
      <c r="C7" s="11" t="s">
        <v>580</v>
      </c>
      <c r="D7" s="11" t="s">
        <v>536</v>
      </c>
      <c r="E7" s="11" t="s">
        <v>159</v>
      </c>
      <c r="F7" s="11">
        <v>4</v>
      </c>
      <c r="G7" s="11">
        <v>4</v>
      </c>
      <c r="H7" s="19">
        <f>IF(G7="","",IFERROR(G7/MAX(1,COUNTIF('01_Конкуренты'!$B$4:$B$10,"?*")),""))</f>
        <v>0.5714285714285714</v>
      </c>
      <c r="I7" s="11">
        <v>3.5</v>
      </c>
      <c r="J7" s="6" t="str">
        <f t="shared" si="0"/>
        <v>Конкурентная норма с влиянием на выбор</v>
      </c>
      <c r="K7" s="6" t="s">
        <v>581</v>
      </c>
      <c r="L7" s="11" t="s">
        <v>422</v>
      </c>
      <c r="M7" s="16" t="s">
        <v>422</v>
      </c>
    </row>
    <row r="8" spans="1:13" ht="14.25">
      <c r="A8" s="6" t="s">
        <v>120</v>
      </c>
      <c r="B8" s="11" t="s">
        <v>537</v>
      </c>
      <c r="C8" s="11" t="s">
        <v>582</v>
      </c>
      <c r="D8" s="11" t="s">
        <v>538</v>
      </c>
      <c r="E8" s="11" t="s">
        <v>162</v>
      </c>
      <c r="F8" s="11">
        <v>5</v>
      </c>
      <c r="G8" s="11">
        <v>7</v>
      </c>
      <c r="H8" s="19">
        <f>IF(G8="","",IFERROR(G8/MAX(1,COUNTIF('01_Конкуренты'!$B$4:$B$10,"?*")),""))</f>
        <v>1</v>
      </c>
      <c r="I8" s="11">
        <v>4</v>
      </c>
      <c r="J8" s="6" t="str">
        <f t="shared" si="0"/>
        <v>Минимальный рыночный стандарт</v>
      </c>
      <c r="K8" s="6" t="s">
        <v>583</v>
      </c>
      <c r="L8" s="11" t="s">
        <v>422</v>
      </c>
      <c r="M8" s="16" t="s">
        <v>422</v>
      </c>
    </row>
    <row r="9" spans="1:13" ht="14.25">
      <c r="A9" s="6" t="s">
        <v>121</v>
      </c>
      <c r="B9" s="11" t="s">
        <v>554</v>
      </c>
      <c r="C9" s="11" t="s">
        <v>584</v>
      </c>
      <c r="D9" s="11" t="s">
        <v>419</v>
      </c>
      <c r="E9" s="11" t="s">
        <v>178</v>
      </c>
      <c r="F9" s="11">
        <v>3</v>
      </c>
      <c r="G9" s="11">
        <v>4</v>
      </c>
      <c r="H9" s="19">
        <f>IF(G9="","",IFERROR(G9/MAX(1,COUNTIF('01_Конкуренты'!$B$4:$B$10,"?*")),""))</f>
        <v>0.5714285714285714</v>
      </c>
      <c r="I9" s="11">
        <v>3.5</v>
      </c>
      <c r="J9" s="11" t="str">
        <f t="shared" si="0"/>
        <v>Переходит в ожидаемую норму</v>
      </c>
      <c r="K9" s="6" t="s">
        <v>682</v>
      </c>
      <c r="L9" s="11" t="s">
        <v>422</v>
      </c>
      <c r="M9" s="16" t="s">
        <v>422</v>
      </c>
    </row>
    <row r="10" spans="1:13" ht="14.25">
      <c r="A10" s="6" t="s">
        <v>122</v>
      </c>
      <c r="B10" s="11" t="s">
        <v>555</v>
      </c>
      <c r="C10" s="11" t="s">
        <v>585</v>
      </c>
      <c r="D10" s="11" t="s">
        <v>556</v>
      </c>
      <c r="E10" s="11" t="s">
        <v>178</v>
      </c>
      <c r="F10" s="11">
        <v>4</v>
      </c>
      <c r="G10" s="11">
        <v>4</v>
      </c>
      <c r="H10" s="19">
        <f>IF(G10="","",IFERROR(G10/MAX(1,COUNTIF('01_Конкуренты'!$B$4:$B$10,"?*")),""))</f>
        <v>0.5714285714285714</v>
      </c>
      <c r="I10" s="11">
        <v>3.5</v>
      </c>
      <c r="J10" s="11" t="str">
        <f t="shared" si="0"/>
        <v>Переходит в ожидаемую норму</v>
      </c>
      <c r="K10" s="6" t="s">
        <v>586</v>
      </c>
      <c r="L10" s="11" t="s">
        <v>422</v>
      </c>
      <c r="M10" s="16" t="s">
        <v>422</v>
      </c>
    </row>
    <row r="11" spans="1:13" ht="14.25">
      <c r="A11" s="6" t="s">
        <v>123</v>
      </c>
      <c r="B11" s="6" t="s">
        <v>569</v>
      </c>
      <c r="C11" s="6" t="s">
        <v>587</v>
      </c>
      <c r="D11" s="11" t="s">
        <v>570</v>
      </c>
      <c r="E11" s="11" t="s">
        <v>178</v>
      </c>
      <c r="F11" s="11">
        <v>5</v>
      </c>
      <c r="G11" s="11">
        <v>2</v>
      </c>
      <c r="H11" s="19">
        <f>IF(G11="","",IFERROR(G11/MAX(1,COUNTIF('01_Конкуренты'!$B$4:$B$10,"?*")),""))</f>
        <v>0.2857142857142857</v>
      </c>
      <c r="I11" s="11">
        <v>2.5</v>
      </c>
      <c r="J11" s="11" t="str">
        <f t="shared" si="0"/>
        <v>Зона дифференциации</v>
      </c>
      <c r="K11" s="6" t="s">
        <v>588</v>
      </c>
      <c r="L11" s="11" t="s">
        <v>422</v>
      </c>
      <c r="M11" s="16" t="s">
        <v>422</v>
      </c>
    </row>
    <row r="12" spans="1:13" ht="14.25">
      <c r="A12" s="6" t="s">
        <v>124</v>
      </c>
      <c r="B12" s="6" t="s">
        <v>557</v>
      </c>
      <c r="C12" s="11" t="s">
        <v>589</v>
      </c>
      <c r="D12" s="11" t="s">
        <v>558</v>
      </c>
      <c r="E12" s="11" t="s">
        <v>162</v>
      </c>
      <c r="F12" s="11">
        <v>5</v>
      </c>
      <c r="G12" s="11">
        <v>3</v>
      </c>
      <c r="H12" s="19">
        <f>IF(G12="","",IFERROR(G12/MAX(1,COUNTIF('01_Конкуренты'!$B$4:$B$10,"?*")),""))</f>
        <v>0.42857142857142855</v>
      </c>
      <c r="I12" s="11">
        <v>4.67</v>
      </c>
      <c r="J12" s="6" t="str">
        <f t="shared" si="0"/>
        <v>Потенциальный обязательный разрыв</v>
      </c>
      <c r="K12" s="11" t="s">
        <v>590</v>
      </c>
      <c r="L12" s="11" t="s">
        <v>422</v>
      </c>
      <c r="M12" s="16" t="s">
        <v>422</v>
      </c>
    </row>
    <row r="13" spans="1:13" ht="14.25">
      <c r="A13" s="6" t="s">
        <v>125</v>
      </c>
      <c r="B13" s="6" t="s">
        <v>539</v>
      </c>
      <c r="C13" s="11" t="s">
        <v>591</v>
      </c>
      <c r="D13" s="11" t="s">
        <v>540</v>
      </c>
      <c r="E13" s="11" t="s">
        <v>162</v>
      </c>
      <c r="F13" s="11">
        <v>4</v>
      </c>
      <c r="G13" s="11">
        <v>3</v>
      </c>
      <c r="H13" s="19">
        <f>IF(G13="","",IFERROR(G13/MAX(1,COUNTIF('01_Конкуренты'!$B$4:$B$10,"?*")),""))</f>
        <v>0.42857142857142855</v>
      </c>
      <c r="I13" s="11">
        <v>3.33</v>
      </c>
      <c r="J13" s="6" t="str">
        <f t="shared" si="0"/>
        <v>Потенциальный обязательный разрыв</v>
      </c>
      <c r="K13" s="6" t="s">
        <v>592</v>
      </c>
      <c r="L13" s="11" t="s">
        <v>422</v>
      </c>
      <c r="M13" s="16" t="s">
        <v>422</v>
      </c>
    </row>
    <row r="14" spans="1:13" ht="14.25">
      <c r="A14" s="6" t="s">
        <v>126</v>
      </c>
      <c r="B14" s="11" t="s">
        <v>541</v>
      </c>
      <c r="C14" s="6" t="s">
        <v>593</v>
      </c>
      <c r="D14" s="11" t="s">
        <v>542</v>
      </c>
      <c r="E14" s="11" t="s">
        <v>159</v>
      </c>
      <c r="F14" s="11">
        <v>4</v>
      </c>
      <c r="G14" s="11">
        <v>3</v>
      </c>
      <c r="H14" s="19">
        <f>IF(G14="","",IFERROR(G14/MAX(1,COUNTIF('01_Конкуренты'!$B$4:$B$10,"?*")),""))</f>
        <v>0.42857142857142855</v>
      </c>
      <c r="I14" s="11">
        <v>4.33</v>
      </c>
      <c r="J14" s="11" t="str">
        <f t="shared" si="0"/>
        <v>Зона усиления ценности</v>
      </c>
      <c r="K14" s="6" t="s">
        <v>594</v>
      </c>
      <c r="L14" s="11" t="s">
        <v>422</v>
      </c>
      <c r="M14" s="16" t="s">
        <v>422</v>
      </c>
    </row>
    <row r="15" spans="1:13" ht="14.25">
      <c r="A15" s="6" t="s">
        <v>127</v>
      </c>
      <c r="B15" s="11" t="s">
        <v>559</v>
      </c>
      <c r="C15" s="11" t="s">
        <v>595</v>
      </c>
      <c r="D15" s="11" t="s">
        <v>478</v>
      </c>
      <c r="E15" s="11" t="s">
        <v>159</v>
      </c>
      <c r="F15" s="11">
        <v>3</v>
      </c>
      <c r="G15" s="11">
        <v>3</v>
      </c>
      <c r="H15" s="19">
        <f>IF(G15="","",IFERROR(G15/MAX(1,COUNTIF('01_Конкуренты'!$B$4:$B$10,"?*")),""))</f>
        <v>0.42857142857142855</v>
      </c>
      <c r="I15" s="11">
        <v>4.33</v>
      </c>
      <c r="J15" s="11" t="str">
        <f t="shared" si="0"/>
        <v>Зона усиления ценности</v>
      </c>
      <c r="K15" s="6" t="s">
        <v>596</v>
      </c>
      <c r="L15" s="11" t="s">
        <v>422</v>
      </c>
      <c r="M15" s="16" t="s">
        <v>422</v>
      </c>
    </row>
    <row r="16" spans="1:13" ht="14.25">
      <c r="A16" s="6" t="s">
        <v>128</v>
      </c>
      <c r="B16" s="11" t="s">
        <v>543</v>
      </c>
      <c r="C16" s="6" t="s">
        <v>597</v>
      </c>
      <c r="D16" s="11" t="s">
        <v>544</v>
      </c>
      <c r="E16" s="11" t="s">
        <v>159</v>
      </c>
      <c r="F16" s="11">
        <v>4</v>
      </c>
      <c r="G16" s="11">
        <v>5</v>
      </c>
      <c r="H16" s="19">
        <f>IF(G16="","",IFERROR(G16/MAX(1,COUNTIF('01_Конкуренты'!$B$4:$B$10,"?*")),""))</f>
        <v>0.7142857142857143</v>
      </c>
      <c r="I16" s="11">
        <v>4.2</v>
      </c>
      <c r="J16" s="6" t="str">
        <f t="shared" si="0"/>
        <v>Конкурентная норма с влиянием на выбор</v>
      </c>
      <c r="K16" s="6" t="s">
        <v>598</v>
      </c>
      <c r="L16" s="11" t="s">
        <v>422</v>
      </c>
      <c r="M16" s="16" t="s">
        <v>422</v>
      </c>
    </row>
    <row r="17" spans="1:13" ht="14.25">
      <c r="A17" s="6" t="s">
        <v>129</v>
      </c>
      <c r="B17" s="11" t="s">
        <v>545</v>
      </c>
      <c r="C17" s="11" t="s">
        <v>599</v>
      </c>
      <c r="D17" s="11" t="s">
        <v>546</v>
      </c>
      <c r="E17" s="11" t="s">
        <v>325</v>
      </c>
      <c r="F17" s="11">
        <v>2</v>
      </c>
      <c r="G17" s="11">
        <v>6</v>
      </c>
      <c r="H17" s="19">
        <f>IF(G17="","",IFERROR(G17/MAX(1,COUNTIF('01_Конкуренты'!$B$4:$B$10,"?*")),""))</f>
        <v>0.8571428571428571</v>
      </c>
      <c r="I17" s="11">
        <v>3.5</v>
      </c>
      <c r="J17" s="6" t="str">
        <f t="shared" si="0"/>
        <v>Не делать при дефиците ресурсов</v>
      </c>
      <c r="K17" s="6" t="s">
        <v>600</v>
      </c>
      <c r="L17" s="11" t="s">
        <v>422</v>
      </c>
      <c r="M17" s="16" t="s">
        <v>422</v>
      </c>
    </row>
    <row r="18" spans="1:13" ht="14.25">
      <c r="A18" s="6" t="s">
        <v>130</v>
      </c>
      <c r="B18" s="6" t="s">
        <v>547</v>
      </c>
      <c r="C18" s="11" t="s">
        <v>601</v>
      </c>
      <c r="D18" s="11" t="s">
        <v>548</v>
      </c>
      <c r="E18" s="11" t="s">
        <v>159</v>
      </c>
      <c r="F18" s="11">
        <v>3</v>
      </c>
      <c r="G18" s="11">
        <v>5</v>
      </c>
      <c r="H18" s="19">
        <f>IF(G18="","",IFERROR(G18/MAX(1,COUNTIF('01_Конкуренты'!$B$4:$B$10,"?*")),""))</f>
        <v>0.7142857142857143</v>
      </c>
      <c r="I18" s="11">
        <v>3.6</v>
      </c>
      <c r="J18" s="6" t="str">
        <f t="shared" si="0"/>
        <v>Конкурентная норма с влиянием на выбор</v>
      </c>
      <c r="K18" s="6" t="s">
        <v>602</v>
      </c>
      <c r="L18" s="11" t="s">
        <v>422</v>
      </c>
      <c r="M18" s="16" t="s">
        <v>422</v>
      </c>
    </row>
    <row r="19" spans="1:13" ht="14.25">
      <c r="A19" s="6" t="s">
        <v>131</v>
      </c>
      <c r="B19" s="6" t="s">
        <v>560</v>
      </c>
      <c r="C19" s="11" t="s">
        <v>700</v>
      </c>
      <c r="D19" s="11" t="s">
        <v>561</v>
      </c>
      <c r="E19" s="11" t="s">
        <v>178</v>
      </c>
      <c r="F19" s="11">
        <v>4</v>
      </c>
      <c r="G19" s="11">
        <v>1</v>
      </c>
      <c r="H19" s="19">
        <f>IF(G19="","",IFERROR(G19/MAX(1,COUNTIF('01_Конкуренты'!$B$4:$B$10,"?*")),""))</f>
        <v>0.14285714285714285</v>
      </c>
      <c r="I19" s="11">
        <v>3</v>
      </c>
      <c r="J19" s="11" t="str">
        <f t="shared" si="0"/>
        <v>Зона дифференциации</v>
      </c>
      <c r="K19" s="6" t="s">
        <v>579</v>
      </c>
      <c r="L19" s="11" t="s">
        <v>422</v>
      </c>
      <c r="M19" s="16" t="s">
        <v>422</v>
      </c>
    </row>
    <row r="20" spans="1:13" ht="14.25">
      <c r="A20" s="6" t="s">
        <v>132</v>
      </c>
      <c r="B20" s="6" t="s">
        <v>549</v>
      </c>
      <c r="C20" s="6" t="s">
        <v>603</v>
      </c>
      <c r="D20" s="11" t="s">
        <v>550</v>
      </c>
      <c r="E20" s="11" t="s">
        <v>159</v>
      </c>
      <c r="F20" s="11">
        <v>3</v>
      </c>
      <c r="G20" s="11">
        <v>2</v>
      </c>
      <c r="H20" s="19">
        <f>IF(G20="","",IFERROR(G20/MAX(1,COUNTIF('01_Конкуренты'!$B$4:$B$10,"?*")),""))</f>
        <v>0.2857142857142857</v>
      </c>
      <c r="I20" s="11">
        <v>3.5</v>
      </c>
      <c r="J20" s="11" t="str">
        <f t="shared" si="0"/>
        <v>Зона усиления ценности</v>
      </c>
      <c r="K20" s="6" t="s">
        <v>604</v>
      </c>
      <c r="L20" s="11" t="s">
        <v>422</v>
      </c>
      <c r="M20" s="16" t="s">
        <v>422</v>
      </c>
    </row>
    <row r="21" spans="1:13" ht="14.25">
      <c r="A21" s="6" t="s">
        <v>133</v>
      </c>
      <c r="B21" s="6" t="s">
        <v>551</v>
      </c>
      <c r="C21" s="6" t="s">
        <v>605</v>
      </c>
      <c r="D21" s="11" t="s">
        <v>550</v>
      </c>
      <c r="E21" s="11" t="s">
        <v>178</v>
      </c>
      <c r="F21" s="11">
        <v>3</v>
      </c>
      <c r="G21" s="11">
        <v>2</v>
      </c>
      <c r="H21" s="19">
        <f>IF(G21="","",IFERROR(G21/MAX(1,COUNTIF('01_Конкуренты'!$B$4:$B$10,"?*")),""))</f>
        <v>0.2857142857142857</v>
      </c>
      <c r="I21" s="11">
        <v>3.5</v>
      </c>
      <c r="J21" s="11" t="str">
        <f t="shared" si="0"/>
        <v>Зона дифференциации</v>
      </c>
      <c r="K21" s="6" t="s">
        <v>604</v>
      </c>
      <c r="L21" s="11" t="s">
        <v>422</v>
      </c>
      <c r="M21" s="16" t="s">
        <v>422</v>
      </c>
    </row>
    <row r="22" spans="1:13" ht="14.25">
      <c r="A22" s="6" t="s">
        <v>134</v>
      </c>
      <c r="B22" s="11" t="s">
        <v>552</v>
      </c>
      <c r="C22" s="6" t="s">
        <v>606</v>
      </c>
      <c r="D22" s="6" t="s">
        <v>553</v>
      </c>
      <c r="E22" s="11" t="s">
        <v>159</v>
      </c>
      <c r="F22" s="11">
        <v>4</v>
      </c>
      <c r="G22" s="11">
        <v>2</v>
      </c>
      <c r="H22" s="19">
        <f>IF(G22="","",IFERROR(G22/MAX(1,COUNTIF('01_Конкуренты'!$B$4:$B$10,"?*")),""))</f>
        <v>0.2857142857142857</v>
      </c>
      <c r="I22" s="11">
        <v>3.5</v>
      </c>
      <c r="J22" s="11" t="str">
        <f t="shared" si="0"/>
        <v>Зона усиления ценности</v>
      </c>
      <c r="K22" s="6" t="s">
        <v>607</v>
      </c>
      <c r="L22" s="11" t="s">
        <v>422</v>
      </c>
      <c r="M22" s="16" t="s">
        <v>422</v>
      </c>
    </row>
    <row r="23" spans="1:13" ht="14.25">
      <c r="A23" s="6" t="s">
        <v>135</v>
      </c>
      <c r="B23" s="11" t="s">
        <v>562</v>
      </c>
      <c r="C23" s="6" t="s">
        <v>608</v>
      </c>
      <c r="D23" s="11" t="s">
        <v>563</v>
      </c>
      <c r="E23" s="11" t="s">
        <v>325</v>
      </c>
      <c r="F23" s="11">
        <v>2</v>
      </c>
      <c r="G23" s="11">
        <v>3</v>
      </c>
      <c r="H23" s="19">
        <f>IF(G23="","",IFERROR(G23/MAX(1,COUNTIF('01_Конкуренты'!$B$4:$B$10,"?*")),""))</f>
        <v>0.42857142857142855</v>
      </c>
      <c r="I23" s="11">
        <v>3.33</v>
      </c>
      <c r="J23" s="6" t="str">
        <f t="shared" si="0"/>
        <v>Не делать при дефиците ресурсов</v>
      </c>
      <c r="K23" s="11" t="s">
        <v>609</v>
      </c>
      <c r="L23" s="11" t="s">
        <v>422</v>
      </c>
      <c r="M23" s="16" t="s">
        <v>422</v>
      </c>
    </row>
    <row r="24" spans="1:13" ht="14.25">
      <c r="A24" s="6" t="s">
        <v>136</v>
      </c>
      <c r="B24" s="6" t="s">
        <v>571</v>
      </c>
      <c r="C24" s="6" t="s">
        <v>610</v>
      </c>
      <c r="D24" s="11" t="s">
        <v>572</v>
      </c>
      <c r="E24" s="11" t="s">
        <v>325</v>
      </c>
      <c r="F24" s="11">
        <v>2</v>
      </c>
      <c r="G24" s="11">
        <v>2</v>
      </c>
      <c r="H24" s="19">
        <f>IF(G24="","",IFERROR(G24/MAX(1,COUNTIF('01_Конкуренты'!$B$4:$B$10,"?*")),""))</f>
        <v>0.2857142857142857</v>
      </c>
      <c r="I24" s="11">
        <v>4</v>
      </c>
      <c r="J24" s="6" t="str">
        <f t="shared" si="0"/>
        <v>Не делать при дефиците ресурсов</v>
      </c>
      <c r="K24" s="6" t="s">
        <v>611</v>
      </c>
      <c r="L24" s="11" t="s">
        <v>422</v>
      </c>
      <c r="M24" s="16" t="s">
        <v>422</v>
      </c>
    </row>
    <row r="25" spans="1:13" ht="14.25">
      <c r="A25" s="6" t="s">
        <v>137</v>
      </c>
      <c r="B25" s="6" t="s">
        <v>564</v>
      </c>
      <c r="C25" s="11" t="s">
        <v>612</v>
      </c>
      <c r="D25" s="11" t="s">
        <v>558</v>
      </c>
      <c r="E25" s="11" t="s">
        <v>162</v>
      </c>
      <c r="F25" s="11">
        <v>4</v>
      </c>
      <c r="G25" s="11">
        <v>3</v>
      </c>
      <c r="H25" s="19">
        <f>IF(G25="","",IFERROR(G25/MAX(1,COUNTIF('01_Конкуренты'!$B$4:$B$10,"?*")),""))</f>
        <v>0.42857142857142855</v>
      </c>
      <c r="I25" s="11">
        <v>4.33</v>
      </c>
      <c r="J25" s="6" t="str">
        <f t="shared" si="0"/>
        <v>Потенциальный обязательный разрыв</v>
      </c>
      <c r="K25" s="11" t="s">
        <v>590</v>
      </c>
      <c r="L25" s="11" t="s">
        <v>422</v>
      </c>
      <c r="M25" s="16" t="s">
        <v>422</v>
      </c>
    </row>
    <row r="26" spans="1:13" ht="14.25">
      <c r="A26" s="6" t="s">
        <v>138</v>
      </c>
      <c r="B26" s="11" t="s">
        <v>565</v>
      </c>
      <c r="C26" s="6" t="s">
        <v>613</v>
      </c>
      <c r="D26" s="11" t="s">
        <v>566</v>
      </c>
      <c r="E26" s="11" t="s">
        <v>159</v>
      </c>
      <c r="F26" s="11">
        <v>3</v>
      </c>
      <c r="G26" s="11">
        <v>2</v>
      </c>
      <c r="H26" s="19">
        <f>IF(G26="","",IFERROR(G26/MAX(1,COUNTIF('01_Конкуренты'!$B$4:$B$10,"?*")),""))</f>
        <v>0.2857142857142857</v>
      </c>
      <c r="I26" s="11">
        <v>4</v>
      </c>
      <c r="J26" s="11" t="str">
        <f t="shared" si="0"/>
        <v>Зона усиления ценности</v>
      </c>
      <c r="K26" s="11" t="s">
        <v>614</v>
      </c>
      <c r="L26" s="11" t="s">
        <v>422</v>
      </c>
      <c r="M26" s="16" t="s">
        <v>422</v>
      </c>
    </row>
    <row r="27" spans="1:13" ht="14.25">
      <c r="A27" s="6" t="s">
        <v>139</v>
      </c>
      <c r="B27" s="6" t="s">
        <v>567</v>
      </c>
      <c r="C27" s="6" t="s">
        <v>615</v>
      </c>
      <c r="D27" s="6" t="s">
        <v>568</v>
      </c>
      <c r="E27" s="11" t="s">
        <v>159</v>
      </c>
      <c r="F27" s="11">
        <v>4</v>
      </c>
      <c r="G27" s="11">
        <v>2</v>
      </c>
      <c r="H27" s="19">
        <f>IF(G27="","",IFERROR(G27/MAX(1,COUNTIF('01_Конкуренты'!$B$4:$B$10,"?*")),""))</f>
        <v>0.2857142857142857</v>
      </c>
      <c r="I27" s="11">
        <v>4</v>
      </c>
      <c r="J27" s="11" t="str">
        <f t="shared" si="0"/>
        <v>Зона усиления ценности</v>
      </c>
      <c r="K27" s="6" t="s">
        <v>604</v>
      </c>
      <c r="L27" s="11" t="s">
        <v>422</v>
      </c>
      <c r="M27" s="16" t="s">
        <v>422</v>
      </c>
    </row>
    <row r="28" spans="1:13" ht="14.25">
      <c r="A28" s="7" t="s">
        <v>140</v>
      </c>
      <c r="B28" s="7" t="s">
        <v>573</v>
      </c>
      <c r="C28" s="7" t="s">
        <v>616</v>
      </c>
      <c r="D28" s="12" t="s">
        <v>532</v>
      </c>
      <c r="E28" s="12" t="s">
        <v>325</v>
      </c>
      <c r="F28" s="12">
        <v>2</v>
      </c>
      <c r="G28" s="12">
        <v>1</v>
      </c>
      <c r="H28" s="20">
        <f>IF(G28="","",IFERROR(G28/MAX(1,COUNTIF('01_Конкуренты'!$B$4:$B$10,"?*")),""))</f>
        <v>0.14285714285714285</v>
      </c>
      <c r="I28" s="12">
        <v>5</v>
      </c>
      <c r="J28" s="7" t="str">
        <f t="shared" si="0"/>
        <v>Не делать при дефиците ресурсов</v>
      </c>
      <c r="K28" s="7" t="s">
        <v>611</v>
      </c>
      <c r="L28" s="12" t="s">
        <v>422</v>
      </c>
      <c r="M28" s="13" t="s">
        <v>422</v>
      </c>
    </row>
  </sheetData>
  <mergeCells count="2">
    <mergeCell ref="A1:M1"/>
    <mergeCell ref="A2:M2"/>
  </mergeCells>
  <conditionalFormatting sqref="H4:H28">
    <cfRule type="dataBar" priority="4">
      <dataBar>
        <cfvo type="min"/>
        <cfvo type="max"/>
        <color rgb="FF5B9BD5"/>
      </dataBar>
    </cfRule>
  </conditionalFormatting>
  <conditionalFormatting sqref="H4:H28">
    <cfRule type="dataBar" priority="5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{5F47C1BD-5D68-D06A-0567-7D3093CE3390}</x14:id>
        </ext>
      </extLst>
    </cfRule>
  </conditionalFormatting>
  <dataValidations count="3">
    <dataValidation type="list" sqref="E4:E28" xr:uid="{00000000-0002-0000-0400-000000000000}">
      <formula1>"Обязательное,Линейное,Привлекательное,Безразличное,Обратное,Неясное"</formula1>
    </dataValidation>
    <dataValidation type="list" sqref="F4:F28" xr:uid="{00000000-0002-0000-0400-000001000000}">
      <formula1>"1,2,3,4,5"</formula1>
    </dataValidation>
    <dataValidation type="list" sqref="I4:I28" xr:uid="{00000000-0002-0000-04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47C1BD-5D68-D06A-0567-7D3093CE3390}">
            <x14:dataBar>
              <x14:cfvo type="min"/>
              <x14:cfvo type="max"/>
              <x14:negativeFillColor auto="1"/>
              <x14:axisColor auto="1"/>
            </x14:dataBar>
          </x14:cfRule>
          <xm:sqref>H4:H28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5"/>
  <sheetViews>
    <sheetView workbookViewId="0"/>
  </sheetViews>
  <sheetFormatPr defaultRowHeight="13.5"/>
  <cols>
    <col min="1" max="1" width="36.125" customWidth="1"/>
    <col min="2" max="3" width="52.5625" customWidth="1"/>
    <col min="4" max="4" width="41.375" customWidth="1"/>
    <col min="5" max="5" width="26.6875" customWidth="1"/>
    <col min="6" max="6" width="30.875" customWidth="1"/>
    <col min="7" max="7" width="28.75" customWidth="1"/>
    <col min="8" max="9" width="26.6875" customWidth="1"/>
    <col min="10" max="10" width="19.3125" customWidth="1"/>
    <col min="11" max="11" width="10.9375" customWidth="1"/>
    <col min="12" max="12" width="15.125" customWidth="1"/>
  </cols>
  <sheetData>
    <row r="1" spans="1:12" ht="20" customHeight="1">
      <c r="A1" s="26" t="s">
        <v>141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7"/>
    </row>
    <row r="2" spans="1:12" ht="20" customHeight="1">
      <c r="A2" s="28" t="s">
        <v>683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33"/>
    </row>
    <row r="3" spans="1:12" ht="14.25">
      <c r="A3" s="3" t="s">
        <v>142</v>
      </c>
      <c r="B3" s="3" t="s">
        <v>143</v>
      </c>
      <c r="C3" s="3" t="s">
        <v>144</v>
      </c>
      <c r="D3" s="3" t="s">
        <v>145</v>
      </c>
      <c r="E3" s="3" t="s">
        <v>146</v>
      </c>
      <c r="F3" s="3" t="s">
        <v>147</v>
      </c>
      <c r="G3" s="3" t="s">
        <v>148</v>
      </c>
      <c r="H3" s="3" t="s">
        <v>149</v>
      </c>
      <c r="I3" s="3" t="s">
        <v>150</v>
      </c>
      <c r="J3" s="3" t="s">
        <v>151</v>
      </c>
      <c r="K3" s="3" t="s">
        <v>152</v>
      </c>
      <c r="L3" s="9" t="s">
        <v>70</v>
      </c>
    </row>
    <row r="4" spans="1:12" ht="14.25">
      <c r="A4" s="6" t="s">
        <v>153</v>
      </c>
      <c r="B4" s="6" t="s">
        <v>154</v>
      </c>
      <c r="C4" s="6" t="s">
        <v>640</v>
      </c>
      <c r="D4" s="11" t="s">
        <v>641</v>
      </c>
      <c r="E4" s="11" t="s">
        <v>155</v>
      </c>
      <c r="F4" s="11" t="s">
        <v>156</v>
      </c>
      <c r="G4" s="11" t="s">
        <v>422</v>
      </c>
      <c r="H4" s="11" t="s">
        <v>422</v>
      </c>
      <c r="I4" s="11" t="s">
        <v>422</v>
      </c>
      <c r="J4" s="11" t="s">
        <v>422</v>
      </c>
      <c r="K4" s="11" t="s">
        <v>422</v>
      </c>
      <c r="L4" s="16" t="s">
        <v>422</v>
      </c>
    </row>
    <row r="5" spans="1:12" ht="14.25">
      <c r="A5" s="6" t="s">
        <v>157</v>
      </c>
      <c r="B5" s="6" t="s">
        <v>158</v>
      </c>
      <c r="C5" s="6" t="s">
        <v>642</v>
      </c>
      <c r="D5" s="6" t="s">
        <v>643</v>
      </c>
      <c r="E5" s="11" t="s">
        <v>155</v>
      </c>
      <c r="F5" s="11" t="s">
        <v>159</v>
      </c>
      <c r="G5" s="11" t="s">
        <v>422</v>
      </c>
      <c r="H5" s="11" t="s">
        <v>422</v>
      </c>
      <c r="I5" s="11" t="s">
        <v>422</v>
      </c>
      <c r="J5" s="11" t="s">
        <v>422</v>
      </c>
      <c r="K5" s="11" t="s">
        <v>422</v>
      </c>
      <c r="L5" s="16" t="s">
        <v>422</v>
      </c>
    </row>
    <row r="6" spans="1:12" ht="28.5">
      <c r="A6" s="6" t="s">
        <v>160</v>
      </c>
      <c r="B6" s="6" t="s">
        <v>684</v>
      </c>
      <c r="C6" s="6" t="s">
        <v>644</v>
      </c>
      <c r="D6" s="11" t="s">
        <v>645</v>
      </c>
      <c r="E6" s="11" t="s">
        <v>161</v>
      </c>
      <c r="F6" s="11" t="s">
        <v>162</v>
      </c>
      <c r="G6" s="11" t="s">
        <v>422</v>
      </c>
      <c r="H6" s="11" t="s">
        <v>422</v>
      </c>
      <c r="I6" s="11" t="s">
        <v>422</v>
      </c>
      <c r="J6" s="11" t="s">
        <v>422</v>
      </c>
      <c r="K6" s="11" t="s">
        <v>422</v>
      </c>
      <c r="L6" s="16" t="s">
        <v>422</v>
      </c>
    </row>
    <row r="7" spans="1:12" ht="14.25">
      <c r="A7" s="6" t="s">
        <v>163</v>
      </c>
      <c r="B7" s="6" t="s">
        <v>164</v>
      </c>
      <c r="C7" s="6" t="s">
        <v>646</v>
      </c>
      <c r="D7" s="11" t="s">
        <v>647</v>
      </c>
      <c r="E7" s="11" t="s">
        <v>165</v>
      </c>
      <c r="F7" s="11" t="s">
        <v>162</v>
      </c>
      <c r="G7" s="11" t="s">
        <v>422</v>
      </c>
      <c r="H7" s="11" t="s">
        <v>422</v>
      </c>
      <c r="I7" s="11" t="s">
        <v>422</v>
      </c>
      <c r="J7" s="11" t="s">
        <v>422</v>
      </c>
      <c r="K7" s="11" t="s">
        <v>422</v>
      </c>
      <c r="L7" s="16" t="s">
        <v>422</v>
      </c>
    </row>
    <row r="8" spans="1:12" ht="28.5">
      <c r="A8" s="6" t="s">
        <v>166</v>
      </c>
      <c r="B8" s="6" t="s">
        <v>685</v>
      </c>
      <c r="C8" s="6" t="s">
        <v>648</v>
      </c>
      <c r="D8" s="11" t="s">
        <v>645</v>
      </c>
      <c r="E8" s="11" t="s">
        <v>165</v>
      </c>
      <c r="F8" s="11" t="s">
        <v>156</v>
      </c>
      <c r="G8" s="11" t="s">
        <v>422</v>
      </c>
      <c r="H8" s="11" t="s">
        <v>422</v>
      </c>
      <c r="I8" s="11" t="s">
        <v>422</v>
      </c>
      <c r="J8" s="11" t="s">
        <v>422</v>
      </c>
      <c r="K8" s="11" t="s">
        <v>422</v>
      </c>
      <c r="L8" s="16" t="s">
        <v>422</v>
      </c>
    </row>
    <row r="9" spans="1:12" ht="14.25">
      <c r="A9" s="6" t="s">
        <v>167</v>
      </c>
      <c r="B9" s="6" t="s">
        <v>168</v>
      </c>
      <c r="C9" s="6" t="s">
        <v>649</v>
      </c>
      <c r="D9" s="11" t="s">
        <v>650</v>
      </c>
      <c r="E9" s="11" t="s">
        <v>165</v>
      </c>
      <c r="F9" s="11" t="s">
        <v>162</v>
      </c>
      <c r="G9" s="11" t="s">
        <v>422</v>
      </c>
      <c r="H9" s="11" t="s">
        <v>422</v>
      </c>
      <c r="I9" s="11" t="s">
        <v>422</v>
      </c>
      <c r="J9" s="11" t="s">
        <v>422</v>
      </c>
      <c r="K9" s="11" t="s">
        <v>422</v>
      </c>
      <c r="L9" s="16" t="s">
        <v>422</v>
      </c>
    </row>
    <row r="10" spans="1:12" ht="14.25">
      <c r="A10" s="6" t="s">
        <v>169</v>
      </c>
      <c r="B10" s="6" t="s">
        <v>170</v>
      </c>
      <c r="C10" s="6" t="s">
        <v>651</v>
      </c>
      <c r="D10" s="11" t="s">
        <v>129</v>
      </c>
      <c r="E10" s="11" t="s">
        <v>165</v>
      </c>
      <c r="F10" s="11" t="s">
        <v>159</v>
      </c>
      <c r="G10" s="11" t="s">
        <v>422</v>
      </c>
      <c r="H10" s="11" t="s">
        <v>422</v>
      </c>
      <c r="I10" s="11" t="s">
        <v>422</v>
      </c>
      <c r="J10" s="11" t="s">
        <v>422</v>
      </c>
      <c r="K10" s="11" t="s">
        <v>422</v>
      </c>
      <c r="L10" s="16" t="s">
        <v>422</v>
      </c>
    </row>
    <row r="11" spans="1:12" ht="28.5">
      <c r="A11" s="6" t="s">
        <v>171</v>
      </c>
      <c r="B11" s="6" t="s">
        <v>686</v>
      </c>
      <c r="C11" s="6" t="s">
        <v>652</v>
      </c>
      <c r="D11" s="11" t="s">
        <v>653</v>
      </c>
      <c r="E11" s="11" t="s">
        <v>172</v>
      </c>
      <c r="F11" s="11" t="s">
        <v>173</v>
      </c>
      <c r="G11" s="11" t="s">
        <v>422</v>
      </c>
      <c r="H11" s="11" t="s">
        <v>422</v>
      </c>
      <c r="I11" s="11" t="s">
        <v>422</v>
      </c>
      <c r="J11" s="11" t="s">
        <v>422</v>
      </c>
      <c r="K11" s="11" t="s">
        <v>422</v>
      </c>
      <c r="L11" s="16" t="s">
        <v>422</v>
      </c>
    </row>
    <row r="12" spans="1:12" ht="28.5">
      <c r="A12" s="6" t="s">
        <v>174</v>
      </c>
      <c r="B12" s="6" t="s">
        <v>687</v>
      </c>
      <c r="C12" s="6" t="s">
        <v>654</v>
      </c>
      <c r="D12" s="11" t="s">
        <v>655</v>
      </c>
      <c r="E12" s="11" t="s">
        <v>172</v>
      </c>
      <c r="F12" s="11" t="s">
        <v>159</v>
      </c>
      <c r="G12" s="11" t="s">
        <v>422</v>
      </c>
      <c r="H12" s="11" t="s">
        <v>422</v>
      </c>
      <c r="I12" s="11" t="s">
        <v>422</v>
      </c>
      <c r="J12" s="11" t="s">
        <v>422</v>
      </c>
      <c r="K12" s="11" t="s">
        <v>422</v>
      </c>
      <c r="L12" s="16" t="s">
        <v>422</v>
      </c>
    </row>
    <row r="13" spans="1:12" ht="28.5">
      <c r="A13" s="6" t="s">
        <v>175</v>
      </c>
      <c r="B13" s="6" t="s">
        <v>176</v>
      </c>
      <c r="C13" s="6" t="s">
        <v>656</v>
      </c>
      <c r="D13" s="11" t="s">
        <v>657</v>
      </c>
      <c r="E13" s="11" t="s">
        <v>177</v>
      </c>
      <c r="F13" s="11" t="s">
        <v>178</v>
      </c>
      <c r="G13" s="11" t="s">
        <v>422</v>
      </c>
      <c r="H13" s="11" t="s">
        <v>422</v>
      </c>
      <c r="I13" s="11" t="s">
        <v>422</v>
      </c>
      <c r="J13" s="11" t="s">
        <v>422</v>
      </c>
      <c r="K13" s="11" t="s">
        <v>422</v>
      </c>
      <c r="L13" s="16" t="s">
        <v>422</v>
      </c>
    </row>
    <row r="14" spans="1:12" ht="28.5">
      <c r="A14" s="6" t="s">
        <v>179</v>
      </c>
      <c r="B14" s="6" t="s">
        <v>180</v>
      </c>
      <c r="C14" s="6" t="s">
        <v>658</v>
      </c>
      <c r="D14" s="11" t="s">
        <v>659</v>
      </c>
      <c r="E14" s="11" t="s">
        <v>181</v>
      </c>
      <c r="F14" s="11" t="s">
        <v>182</v>
      </c>
      <c r="G14" s="11" t="s">
        <v>422</v>
      </c>
      <c r="H14" s="11" t="s">
        <v>422</v>
      </c>
      <c r="I14" s="11" t="s">
        <v>422</v>
      </c>
      <c r="J14" s="11" t="s">
        <v>422</v>
      </c>
      <c r="K14" s="11" t="s">
        <v>422</v>
      </c>
      <c r="L14" s="16" t="s">
        <v>422</v>
      </c>
    </row>
    <row r="15" spans="1:12" ht="57">
      <c r="A15" s="7" t="s">
        <v>183</v>
      </c>
      <c r="B15" s="7" t="s">
        <v>688</v>
      </c>
      <c r="C15" s="7" t="s">
        <v>660</v>
      </c>
      <c r="D15" s="12" t="s">
        <v>661</v>
      </c>
      <c r="E15" s="12" t="s">
        <v>184</v>
      </c>
      <c r="F15" s="12" t="s">
        <v>184</v>
      </c>
      <c r="G15" s="12" t="s">
        <v>422</v>
      </c>
      <c r="H15" s="12" t="s">
        <v>422</v>
      </c>
      <c r="I15" s="12" t="s">
        <v>422</v>
      </c>
      <c r="J15" s="12" t="s">
        <v>422</v>
      </c>
      <c r="K15" s="12" t="s">
        <v>422</v>
      </c>
      <c r="L15" s="13" t="s">
        <v>422</v>
      </c>
    </row>
  </sheetData>
  <mergeCells count="2">
    <mergeCell ref="A1:L1"/>
    <mergeCell ref="A2:L2"/>
  </mergeCells>
  <dataValidations count="2">
    <dataValidation type="list" sqref="G4:G15" xr:uid="{00000000-0002-0000-0500-000000000000}">
      <formula1>"Обязательно включить,Включить при наличии ресурсов,Использовать как преимущество,Проверить гипотезу,Исключить"</formula1>
    </dataValidation>
    <dataValidation type="list" sqref="K4:K15" xr:uid="{00000000-0002-0000-0500-000001000000}">
      <formula1>"Включить,Отложить,Проверить,Исключить"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workbookViewId="0"/>
  </sheetViews>
  <sheetFormatPr defaultRowHeight="13.5"/>
  <cols>
    <col min="1" max="1" width="28.75" customWidth="1"/>
    <col min="2" max="2" width="21.4375" customWidth="1"/>
    <col min="3" max="3" width="52.5625" customWidth="1"/>
    <col min="4" max="4" width="10.5625" customWidth="1"/>
    <col min="5" max="12" width="19.3125" customWidth="1"/>
    <col min="13" max="14" width="15.125" customWidth="1"/>
    <col min="15" max="15" width="10.5625" customWidth="1"/>
  </cols>
  <sheetData>
    <row r="1" spans="1:15" ht="20" customHeight="1">
      <c r="A1" s="26" t="s">
        <v>185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</row>
    <row r="2" spans="1:15" ht="20" customHeight="1">
      <c r="A2" s="28" t="s">
        <v>701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33"/>
    </row>
    <row r="3" spans="1:15" ht="14.25">
      <c r="A3" s="3" t="s">
        <v>186</v>
      </c>
      <c r="B3" s="3" t="s">
        <v>187</v>
      </c>
      <c r="C3" s="3" t="s">
        <v>188</v>
      </c>
      <c r="D3" s="3" t="s">
        <v>189</v>
      </c>
      <c r="E3" s="3" t="s">
        <v>71</v>
      </c>
      <c r="F3" s="3" t="s">
        <v>72</v>
      </c>
      <c r="G3" s="3" t="s">
        <v>73</v>
      </c>
      <c r="H3" s="3" t="s">
        <v>74</v>
      </c>
      <c r="I3" s="3" t="s">
        <v>75</v>
      </c>
      <c r="J3" s="3" t="s">
        <v>76</v>
      </c>
      <c r="K3" s="3" t="s">
        <v>77</v>
      </c>
      <c r="L3" s="3" t="s">
        <v>78</v>
      </c>
      <c r="M3" s="3" t="s">
        <v>190</v>
      </c>
      <c r="N3" s="3" t="s">
        <v>191</v>
      </c>
      <c r="O3" s="9" t="s">
        <v>192</v>
      </c>
    </row>
    <row r="4" spans="1:15" ht="14.25">
      <c r="A4" s="6" t="s">
        <v>193</v>
      </c>
      <c r="B4" s="11" t="s">
        <v>194</v>
      </c>
      <c r="C4" s="6" t="s">
        <v>195</v>
      </c>
      <c r="D4" s="11">
        <v>5</v>
      </c>
      <c r="E4" s="11">
        <v>5</v>
      </c>
      <c r="F4" s="11">
        <v>4</v>
      </c>
      <c r="G4" s="11">
        <v>3</v>
      </c>
      <c r="H4" s="11">
        <v>5</v>
      </c>
      <c r="I4" s="11">
        <v>5</v>
      </c>
      <c r="J4" s="11">
        <v>4</v>
      </c>
      <c r="K4" s="11">
        <v>4</v>
      </c>
      <c r="L4" s="11" t="s">
        <v>422</v>
      </c>
      <c r="M4" s="11">
        <f t="shared" ref="M4:M28" si="0">IFERROR(AVERAGE(E4:L4),"")</f>
        <v>4.2857142857142856</v>
      </c>
      <c r="N4" s="11">
        <f t="shared" ref="N4:N28" si="1">IFERROR(MAX(E4:L4),"")</f>
        <v>5</v>
      </c>
      <c r="O4" s="16" t="str">
        <f t="shared" ref="O4:O28" si="2">IFERROR(IF(N4="","",INDEX($E$3:$L$3,1,MATCH(N4,E4:L4,0))),"")</f>
        <v>C01</v>
      </c>
    </row>
    <row r="5" spans="1:15" ht="14.25">
      <c r="A5" s="6" t="s">
        <v>196</v>
      </c>
      <c r="B5" s="11" t="s">
        <v>194</v>
      </c>
      <c r="C5" s="6" t="s">
        <v>197</v>
      </c>
      <c r="D5" s="11">
        <v>5</v>
      </c>
      <c r="E5" s="11">
        <v>4</v>
      </c>
      <c r="F5" s="11">
        <v>3</v>
      </c>
      <c r="G5" s="11">
        <v>3</v>
      </c>
      <c r="H5" s="11">
        <v>5</v>
      </c>
      <c r="I5" s="11">
        <v>3</v>
      </c>
      <c r="J5" s="11">
        <v>4</v>
      </c>
      <c r="K5" s="11">
        <v>5</v>
      </c>
      <c r="L5" s="11" t="s">
        <v>422</v>
      </c>
      <c r="M5" s="11">
        <f t="shared" si="0"/>
        <v>3.8571428571428572</v>
      </c>
      <c r="N5" s="11">
        <f t="shared" si="1"/>
        <v>5</v>
      </c>
      <c r="O5" s="16" t="str">
        <f t="shared" si="2"/>
        <v>C04</v>
      </c>
    </row>
    <row r="6" spans="1:15" ht="28.5">
      <c r="A6" s="6" t="s">
        <v>198</v>
      </c>
      <c r="B6" s="11" t="s">
        <v>194</v>
      </c>
      <c r="C6" s="6" t="s">
        <v>199</v>
      </c>
      <c r="D6" s="11">
        <v>4</v>
      </c>
      <c r="E6" s="11">
        <v>4</v>
      </c>
      <c r="F6" s="11">
        <v>5</v>
      </c>
      <c r="G6" s="11">
        <v>2</v>
      </c>
      <c r="H6" s="11">
        <v>4</v>
      </c>
      <c r="I6" s="11">
        <v>5</v>
      </c>
      <c r="J6" s="11">
        <v>3</v>
      </c>
      <c r="K6" s="11">
        <v>4</v>
      </c>
      <c r="L6" s="11" t="s">
        <v>422</v>
      </c>
      <c r="M6" s="11">
        <f t="shared" si="0"/>
        <v>3.8571428571428572</v>
      </c>
      <c r="N6" s="11">
        <f t="shared" si="1"/>
        <v>5</v>
      </c>
      <c r="O6" s="16" t="str">
        <f t="shared" si="2"/>
        <v>C02</v>
      </c>
    </row>
    <row r="7" spans="1:15" ht="28.5">
      <c r="A7" s="6" t="s">
        <v>200</v>
      </c>
      <c r="B7" s="11" t="s">
        <v>201</v>
      </c>
      <c r="C7" s="6" t="s">
        <v>202</v>
      </c>
      <c r="D7" s="11">
        <v>5</v>
      </c>
      <c r="E7" s="11">
        <v>4</v>
      </c>
      <c r="F7" s="11">
        <v>3</v>
      </c>
      <c r="G7" s="11">
        <v>2</v>
      </c>
      <c r="H7" s="11">
        <v>5</v>
      </c>
      <c r="I7" s="11">
        <v>4</v>
      </c>
      <c r="J7" s="11">
        <v>4</v>
      </c>
      <c r="K7" s="11">
        <v>5</v>
      </c>
      <c r="L7" s="11" t="s">
        <v>422</v>
      </c>
      <c r="M7" s="11">
        <f t="shared" si="0"/>
        <v>3.8571428571428572</v>
      </c>
      <c r="N7" s="11">
        <f t="shared" si="1"/>
        <v>5</v>
      </c>
      <c r="O7" s="16" t="str">
        <f t="shared" si="2"/>
        <v>C04</v>
      </c>
    </row>
    <row r="8" spans="1:15" ht="28.5">
      <c r="A8" s="6" t="s">
        <v>203</v>
      </c>
      <c r="B8" s="11" t="s">
        <v>201</v>
      </c>
      <c r="C8" s="6" t="s">
        <v>204</v>
      </c>
      <c r="D8" s="11">
        <v>4</v>
      </c>
      <c r="E8" s="11">
        <v>3</v>
      </c>
      <c r="F8" s="11">
        <v>3</v>
      </c>
      <c r="G8" s="11">
        <v>2</v>
      </c>
      <c r="H8" s="11">
        <v>4</v>
      </c>
      <c r="I8" s="11">
        <v>3</v>
      </c>
      <c r="J8" s="11">
        <v>3</v>
      </c>
      <c r="K8" s="11">
        <v>4</v>
      </c>
      <c r="L8" s="11" t="s">
        <v>422</v>
      </c>
      <c r="M8" s="11">
        <f t="shared" si="0"/>
        <v>3.1428571428571428</v>
      </c>
      <c r="N8" s="11">
        <f t="shared" si="1"/>
        <v>4</v>
      </c>
      <c r="O8" s="16" t="str">
        <f t="shared" si="2"/>
        <v>C04</v>
      </c>
    </row>
    <row r="9" spans="1:15" ht="28.5">
      <c r="A9" s="6" t="s">
        <v>205</v>
      </c>
      <c r="B9" s="11" t="s">
        <v>201</v>
      </c>
      <c r="C9" s="6" t="s">
        <v>206</v>
      </c>
      <c r="D9" s="11">
        <v>4</v>
      </c>
      <c r="E9" s="11">
        <v>4</v>
      </c>
      <c r="F9" s="11">
        <v>2</v>
      </c>
      <c r="G9" s="11">
        <v>1</v>
      </c>
      <c r="H9" s="11">
        <v>4</v>
      </c>
      <c r="I9" s="11">
        <v>4</v>
      </c>
      <c r="J9" s="11">
        <v>3</v>
      </c>
      <c r="K9" s="11">
        <v>3</v>
      </c>
      <c r="L9" s="11" t="s">
        <v>422</v>
      </c>
      <c r="M9" s="11">
        <f t="shared" si="0"/>
        <v>3</v>
      </c>
      <c r="N9" s="11">
        <f t="shared" si="1"/>
        <v>4</v>
      </c>
      <c r="O9" s="16" t="str">
        <f t="shared" si="2"/>
        <v>C01</v>
      </c>
    </row>
    <row r="10" spans="1:15" ht="28.5">
      <c r="A10" s="6" t="s">
        <v>207</v>
      </c>
      <c r="B10" s="11" t="s">
        <v>208</v>
      </c>
      <c r="C10" s="6" t="s">
        <v>689</v>
      </c>
      <c r="D10" s="11">
        <v>5</v>
      </c>
      <c r="E10" s="11">
        <v>3</v>
      </c>
      <c r="F10" s="11">
        <v>2</v>
      </c>
      <c r="G10" s="11">
        <v>2</v>
      </c>
      <c r="H10" s="11">
        <v>4</v>
      </c>
      <c r="I10" s="11">
        <v>2</v>
      </c>
      <c r="J10" s="11">
        <v>4</v>
      </c>
      <c r="K10" s="11">
        <v>5</v>
      </c>
      <c r="L10" s="11" t="s">
        <v>422</v>
      </c>
      <c r="M10" s="11">
        <f t="shared" si="0"/>
        <v>3.1428571428571428</v>
      </c>
      <c r="N10" s="11">
        <f t="shared" si="1"/>
        <v>5</v>
      </c>
      <c r="O10" s="16" t="str">
        <f t="shared" si="2"/>
        <v>C07</v>
      </c>
    </row>
    <row r="11" spans="1:15" ht="28.5">
      <c r="A11" s="6" t="s">
        <v>209</v>
      </c>
      <c r="B11" s="11" t="s">
        <v>208</v>
      </c>
      <c r="C11" s="6" t="s">
        <v>210</v>
      </c>
      <c r="D11" s="11">
        <v>5</v>
      </c>
      <c r="E11" s="11">
        <v>4</v>
      </c>
      <c r="F11" s="11">
        <v>4</v>
      </c>
      <c r="G11" s="11">
        <v>2</v>
      </c>
      <c r="H11" s="11">
        <v>4</v>
      </c>
      <c r="I11" s="11">
        <v>3</v>
      </c>
      <c r="J11" s="11">
        <v>4</v>
      </c>
      <c r="K11" s="11">
        <v>4</v>
      </c>
      <c r="L11" s="11" t="s">
        <v>422</v>
      </c>
      <c r="M11" s="11">
        <f t="shared" si="0"/>
        <v>3.5714285714285716</v>
      </c>
      <c r="N11" s="11">
        <f t="shared" si="1"/>
        <v>4</v>
      </c>
      <c r="O11" s="16" t="str">
        <f t="shared" si="2"/>
        <v>C01</v>
      </c>
    </row>
    <row r="12" spans="1:15" ht="14.25">
      <c r="A12" s="6" t="s">
        <v>211</v>
      </c>
      <c r="B12" s="11" t="s">
        <v>208</v>
      </c>
      <c r="C12" s="6" t="s">
        <v>212</v>
      </c>
      <c r="D12" s="11">
        <v>4</v>
      </c>
      <c r="E12" s="11">
        <v>3</v>
      </c>
      <c r="F12" s="11">
        <v>1</v>
      </c>
      <c r="G12" s="11">
        <v>1</v>
      </c>
      <c r="H12" s="11">
        <v>4</v>
      </c>
      <c r="I12" s="11">
        <v>4</v>
      </c>
      <c r="J12" s="11">
        <v>1</v>
      </c>
      <c r="K12" s="11">
        <v>1</v>
      </c>
      <c r="L12" s="11" t="s">
        <v>422</v>
      </c>
      <c r="M12" s="11">
        <f t="shared" si="0"/>
        <v>2.1428571428571428</v>
      </c>
      <c r="N12" s="11">
        <f t="shared" si="1"/>
        <v>4</v>
      </c>
      <c r="O12" s="16" t="str">
        <f t="shared" si="2"/>
        <v>C04</v>
      </c>
    </row>
    <row r="13" spans="1:15" ht="28.5">
      <c r="A13" s="6" t="s">
        <v>213</v>
      </c>
      <c r="B13" s="11" t="s">
        <v>214</v>
      </c>
      <c r="C13" s="6" t="s">
        <v>215</v>
      </c>
      <c r="D13" s="11">
        <v>4</v>
      </c>
      <c r="E13" s="11">
        <v>4</v>
      </c>
      <c r="F13" s="11">
        <v>1</v>
      </c>
      <c r="G13" s="11">
        <v>3</v>
      </c>
      <c r="H13" s="11">
        <v>4</v>
      </c>
      <c r="I13" s="11">
        <v>2</v>
      </c>
      <c r="J13" s="11">
        <v>5</v>
      </c>
      <c r="K13" s="11">
        <v>5</v>
      </c>
      <c r="L13" s="11" t="s">
        <v>422</v>
      </c>
      <c r="M13" s="11">
        <f t="shared" si="0"/>
        <v>3.4285714285714284</v>
      </c>
      <c r="N13" s="11">
        <f t="shared" si="1"/>
        <v>5</v>
      </c>
      <c r="O13" s="16" t="str">
        <f t="shared" si="2"/>
        <v>C06</v>
      </c>
    </row>
    <row r="14" spans="1:15" ht="28.5">
      <c r="A14" s="6" t="s">
        <v>216</v>
      </c>
      <c r="B14" s="11" t="s">
        <v>214</v>
      </c>
      <c r="C14" s="6" t="s">
        <v>217</v>
      </c>
      <c r="D14" s="11">
        <v>4</v>
      </c>
      <c r="E14" s="11">
        <v>1</v>
      </c>
      <c r="F14" s="11">
        <v>1</v>
      </c>
      <c r="G14" s="11">
        <v>1</v>
      </c>
      <c r="H14" s="11">
        <v>5</v>
      </c>
      <c r="I14" s="11">
        <v>1</v>
      </c>
      <c r="J14" s="11">
        <v>5</v>
      </c>
      <c r="K14" s="11">
        <v>5</v>
      </c>
      <c r="L14" s="11" t="s">
        <v>422</v>
      </c>
      <c r="M14" s="11">
        <f t="shared" si="0"/>
        <v>2.7142857142857144</v>
      </c>
      <c r="N14" s="11">
        <f t="shared" si="1"/>
        <v>5</v>
      </c>
      <c r="O14" s="16" t="str">
        <f t="shared" si="2"/>
        <v>C04</v>
      </c>
    </row>
    <row r="15" spans="1:15" ht="28.5">
      <c r="A15" s="6" t="s">
        <v>218</v>
      </c>
      <c r="B15" s="11" t="s">
        <v>214</v>
      </c>
      <c r="C15" s="6" t="s">
        <v>219</v>
      </c>
      <c r="D15" s="11">
        <v>3</v>
      </c>
      <c r="E15" s="11">
        <v>4</v>
      </c>
      <c r="F15" s="11">
        <v>3</v>
      </c>
      <c r="G15" s="11">
        <v>4</v>
      </c>
      <c r="H15" s="11">
        <v>3</v>
      </c>
      <c r="I15" s="11">
        <v>3</v>
      </c>
      <c r="J15" s="11">
        <v>4</v>
      </c>
      <c r="K15" s="11">
        <v>4</v>
      </c>
      <c r="L15" s="11" t="s">
        <v>422</v>
      </c>
      <c r="M15" s="11">
        <f t="shared" si="0"/>
        <v>3.5714285714285716</v>
      </c>
      <c r="N15" s="11">
        <f t="shared" si="1"/>
        <v>4</v>
      </c>
      <c r="O15" s="16" t="str">
        <f t="shared" si="2"/>
        <v>C01</v>
      </c>
    </row>
    <row r="16" spans="1:15" ht="14.25">
      <c r="A16" s="6" t="s">
        <v>220</v>
      </c>
      <c r="B16" s="11" t="s">
        <v>221</v>
      </c>
      <c r="C16" s="6" t="s">
        <v>222</v>
      </c>
      <c r="D16" s="11">
        <v>5</v>
      </c>
      <c r="E16" s="11">
        <v>3</v>
      </c>
      <c r="F16" s="11">
        <v>2</v>
      </c>
      <c r="G16" s="11">
        <v>2</v>
      </c>
      <c r="H16" s="11">
        <v>4</v>
      </c>
      <c r="I16" s="11">
        <v>4</v>
      </c>
      <c r="J16" s="11">
        <v>3</v>
      </c>
      <c r="K16" s="11">
        <v>3</v>
      </c>
      <c r="L16" s="11" t="s">
        <v>422</v>
      </c>
      <c r="M16" s="11">
        <f t="shared" si="0"/>
        <v>3</v>
      </c>
      <c r="N16" s="11">
        <f t="shared" si="1"/>
        <v>4</v>
      </c>
      <c r="O16" s="16" t="str">
        <f t="shared" si="2"/>
        <v>C04</v>
      </c>
    </row>
    <row r="17" spans="1:15" ht="28.5">
      <c r="A17" s="6" t="s">
        <v>223</v>
      </c>
      <c r="B17" s="11" t="s">
        <v>221</v>
      </c>
      <c r="C17" s="6" t="s">
        <v>690</v>
      </c>
      <c r="D17" s="11">
        <v>4</v>
      </c>
      <c r="E17" s="11">
        <v>4</v>
      </c>
      <c r="F17" s="11">
        <v>3</v>
      </c>
      <c r="G17" s="11">
        <v>3</v>
      </c>
      <c r="H17" s="11">
        <v>4</v>
      </c>
      <c r="I17" s="11">
        <v>4</v>
      </c>
      <c r="J17" s="11">
        <v>4</v>
      </c>
      <c r="K17" s="11">
        <v>4</v>
      </c>
      <c r="L17" s="11" t="s">
        <v>422</v>
      </c>
      <c r="M17" s="11">
        <f t="shared" si="0"/>
        <v>3.7142857142857144</v>
      </c>
      <c r="N17" s="11">
        <f t="shared" si="1"/>
        <v>4</v>
      </c>
      <c r="O17" s="16" t="str">
        <f t="shared" si="2"/>
        <v>C01</v>
      </c>
    </row>
    <row r="18" spans="1:15" ht="14.25">
      <c r="A18" s="6" t="s">
        <v>224</v>
      </c>
      <c r="B18" s="11" t="s">
        <v>221</v>
      </c>
      <c r="C18" s="6" t="s">
        <v>225</v>
      </c>
      <c r="D18" s="11">
        <v>4</v>
      </c>
      <c r="E18" s="11">
        <v>4</v>
      </c>
      <c r="F18" s="11">
        <v>3</v>
      </c>
      <c r="G18" s="11">
        <v>3</v>
      </c>
      <c r="H18" s="11">
        <v>4</v>
      </c>
      <c r="I18" s="11">
        <v>4</v>
      </c>
      <c r="J18" s="11">
        <v>4</v>
      </c>
      <c r="K18" s="11">
        <v>4</v>
      </c>
      <c r="L18" s="11" t="s">
        <v>422</v>
      </c>
      <c r="M18" s="11">
        <f t="shared" si="0"/>
        <v>3.7142857142857144</v>
      </c>
      <c r="N18" s="11">
        <f t="shared" si="1"/>
        <v>4</v>
      </c>
      <c r="O18" s="16" t="str">
        <f t="shared" si="2"/>
        <v>C01</v>
      </c>
    </row>
    <row r="19" spans="1:15" ht="14.25">
      <c r="A19" s="6" t="s">
        <v>226</v>
      </c>
      <c r="B19" s="11" t="s">
        <v>227</v>
      </c>
      <c r="C19" s="6" t="s">
        <v>228</v>
      </c>
      <c r="D19" s="11">
        <v>5</v>
      </c>
      <c r="E19" s="11">
        <v>3</v>
      </c>
      <c r="F19" s="11">
        <v>1</v>
      </c>
      <c r="G19" s="11">
        <v>1</v>
      </c>
      <c r="H19" s="11">
        <v>5</v>
      </c>
      <c r="I19" s="11">
        <v>5</v>
      </c>
      <c r="J19" s="11">
        <v>1</v>
      </c>
      <c r="K19" s="11">
        <v>1</v>
      </c>
      <c r="L19" s="11" t="s">
        <v>422</v>
      </c>
      <c r="M19" s="11">
        <f t="shared" si="0"/>
        <v>2.4285714285714284</v>
      </c>
      <c r="N19" s="11">
        <f t="shared" si="1"/>
        <v>5</v>
      </c>
      <c r="O19" s="16" t="str">
        <f t="shared" si="2"/>
        <v>C04</v>
      </c>
    </row>
    <row r="20" spans="1:15" ht="28.5">
      <c r="A20" s="6" t="s">
        <v>229</v>
      </c>
      <c r="B20" s="11" t="s">
        <v>227</v>
      </c>
      <c r="C20" s="6" t="s">
        <v>230</v>
      </c>
      <c r="D20" s="11">
        <v>4</v>
      </c>
      <c r="E20" s="11">
        <v>3</v>
      </c>
      <c r="F20" s="11">
        <v>1</v>
      </c>
      <c r="G20" s="11">
        <v>1</v>
      </c>
      <c r="H20" s="11">
        <v>3</v>
      </c>
      <c r="I20" s="11">
        <v>4</v>
      </c>
      <c r="J20" s="11">
        <v>1</v>
      </c>
      <c r="K20" s="11">
        <v>1</v>
      </c>
      <c r="L20" s="11" t="s">
        <v>422</v>
      </c>
      <c r="M20" s="11">
        <f t="shared" si="0"/>
        <v>2</v>
      </c>
      <c r="N20" s="11">
        <f t="shared" si="1"/>
        <v>4</v>
      </c>
      <c r="O20" s="16" t="str">
        <f t="shared" si="2"/>
        <v>C05</v>
      </c>
    </row>
    <row r="21" spans="1:15" ht="14.25">
      <c r="A21" s="6" t="s">
        <v>231</v>
      </c>
      <c r="B21" s="11" t="s">
        <v>232</v>
      </c>
      <c r="C21" s="6" t="s">
        <v>233</v>
      </c>
      <c r="D21" s="11">
        <v>3</v>
      </c>
      <c r="E21" s="11">
        <v>4</v>
      </c>
      <c r="F21" s="11">
        <v>2</v>
      </c>
      <c r="G21" s="11">
        <v>4</v>
      </c>
      <c r="H21" s="11">
        <v>3</v>
      </c>
      <c r="I21" s="11">
        <v>3</v>
      </c>
      <c r="J21" s="11">
        <v>4</v>
      </c>
      <c r="K21" s="11">
        <v>4</v>
      </c>
      <c r="L21" s="11" t="s">
        <v>422</v>
      </c>
      <c r="M21" s="11">
        <f t="shared" si="0"/>
        <v>3.4285714285714284</v>
      </c>
      <c r="N21" s="11">
        <f t="shared" si="1"/>
        <v>4</v>
      </c>
      <c r="O21" s="16" t="str">
        <f t="shared" si="2"/>
        <v>C01</v>
      </c>
    </row>
    <row r="22" spans="1:15" ht="28.5">
      <c r="A22" s="6" t="s">
        <v>234</v>
      </c>
      <c r="B22" s="11" t="s">
        <v>232</v>
      </c>
      <c r="C22" s="6" t="s">
        <v>235</v>
      </c>
      <c r="D22" s="11">
        <v>3</v>
      </c>
      <c r="E22" s="11">
        <v>4</v>
      </c>
      <c r="F22" s="11">
        <v>3</v>
      </c>
      <c r="G22" s="11">
        <v>3</v>
      </c>
      <c r="H22" s="11">
        <v>3</v>
      </c>
      <c r="I22" s="11">
        <v>4</v>
      </c>
      <c r="J22" s="11">
        <v>4</v>
      </c>
      <c r="K22" s="11">
        <v>4</v>
      </c>
      <c r="L22" s="11" t="s">
        <v>422</v>
      </c>
      <c r="M22" s="11">
        <f t="shared" si="0"/>
        <v>3.5714285714285716</v>
      </c>
      <c r="N22" s="11">
        <f t="shared" si="1"/>
        <v>4</v>
      </c>
      <c r="O22" s="16" t="str">
        <f t="shared" si="2"/>
        <v>C01</v>
      </c>
    </row>
    <row r="23" spans="1:15" ht="28.5">
      <c r="A23" s="6" t="s">
        <v>236</v>
      </c>
      <c r="B23" s="11" t="s">
        <v>237</v>
      </c>
      <c r="C23" s="6" t="s">
        <v>238</v>
      </c>
      <c r="D23" s="11">
        <v>4</v>
      </c>
      <c r="E23" s="11">
        <v>3</v>
      </c>
      <c r="F23" s="11">
        <v>2</v>
      </c>
      <c r="G23" s="11">
        <v>2</v>
      </c>
      <c r="H23" s="11">
        <v>5</v>
      </c>
      <c r="I23" s="11">
        <v>3</v>
      </c>
      <c r="J23" s="11">
        <v>5</v>
      </c>
      <c r="K23" s="11">
        <v>5</v>
      </c>
      <c r="L23" s="11" t="s">
        <v>422</v>
      </c>
      <c r="M23" s="11">
        <f t="shared" si="0"/>
        <v>3.5714285714285716</v>
      </c>
      <c r="N23" s="11">
        <f t="shared" si="1"/>
        <v>5</v>
      </c>
      <c r="O23" s="16" t="str">
        <f t="shared" si="2"/>
        <v>C04</v>
      </c>
    </row>
    <row r="24" spans="1:15" ht="28.5">
      <c r="A24" s="6" t="s">
        <v>239</v>
      </c>
      <c r="B24" s="11" t="s">
        <v>237</v>
      </c>
      <c r="C24" s="6" t="s">
        <v>691</v>
      </c>
      <c r="D24" s="11">
        <v>3</v>
      </c>
      <c r="E24" s="11">
        <v>3</v>
      </c>
      <c r="F24" s="11">
        <v>1</v>
      </c>
      <c r="G24" s="11">
        <v>2</v>
      </c>
      <c r="H24" s="11">
        <v>4</v>
      </c>
      <c r="I24" s="11">
        <v>3</v>
      </c>
      <c r="J24" s="11">
        <v>4</v>
      </c>
      <c r="K24" s="11">
        <v>4</v>
      </c>
      <c r="L24" s="11" t="s">
        <v>422</v>
      </c>
      <c r="M24" s="11">
        <f t="shared" si="0"/>
        <v>3</v>
      </c>
      <c r="N24" s="11">
        <f t="shared" si="1"/>
        <v>4</v>
      </c>
      <c r="O24" s="16" t="str">
        <f t="shared" si="2"/>
        <v>C04</v>
      </c>
    </row>
    <row r="25" spans="1:15" ht="14.25">
      <c r="A25" s="6" t="s">
        <v>240</v>
      </c>
      <c r="B25" s="11" t="s">
        <v>241</v>
      </c>
      <c r="C25" s="6" t="s">
        <v>242</v>
      </c>
      <c r="D25" s="11">
        <v>5</v>
      </c>
      <c r="E25" s="11">
        <v>4</v>
      </c>
      <c r="F25" s="11">
        <v>2</v>
      </c>
      <c r="G25" s="11">
        <v>3</v>
      </c>
      <c r="H25" s="11">
        <v>4</v>
      </c>
      <c r="I25" s="11">
        <v>2</v>
      </c>
      <c r="J25" s="11">
        <v>4</v>
      </c>
      <c r="K25" s="11">
        <v>5</v>
      </c>
      <c r="L25" s="11" t="s">
        <v>422</v>
      </c>
      <c r="M25" s="11">
        <f t="shared" si="0"/>
        <v>3.4285714285714284</v>
      </c>
      <c r="N25" s="11">
        <f t="shared" si="1"/>
        <v>5</v>
      </c>
      <c r="O25" s="16" t="str">
        <f t="shared" si="2"/>
        <v>C07</v>
      </c>
    </row>
    <row r="26" spans="1:15" ht="14.25">
      <c r="A26" s="6" t="s">
        <v>243</v>
      </c>
      <c r="B26" s="11" t="s">
        <v>241</v>
      </c>
      <c r="C26" s="6" t="s">
        <v>244</v>
      </c>
      <c r="D26" s="11">
        <v>5</v>
      </c>
      <c r="E26" s="11">
        <v>3</v>
      </c>
      <c r="F26" s="11">
        <v>2</v>
      </c>
      <c r="G26" s="11">
        <v>2</v>
      </c>
      <c r="H26" s="11">
        <v>4</v>
      </c>
      <c r="I26" s="11">
        <v>3</v>
      </c>
      <c r="J26" s="11">
        <v>4</v>
      </c>
      <c r="K26" s="11">
        <v>4</v>
      </c>
      <c r="L26" s="11" t="s">
        <v>422</v>
      </c>
      <c r="M26" s="11">
        <f t="shared" si="0"/>
        <v>3.1428571428571428</v>
      </c>
      <c r="N26" s="11">
        <f t="shared" si="1"/>
        <v>4</v>
      </c>
      <c r="O26" s="16" t="str">
        <f t="shared" si="2"/>
        <v>C04</v>
      </c>
    </row>
    <row r="27" spans="1:15" ht="14.25">
      <c r="A27" s="6" t="s">
        <v>245</v>
      </c>
      <c r="B27" s="11" t="s">
        <v>246</v>
      </c>
      <c r="C27" s="6" t="s">
        <v>247</v>
      </c>
      <c r="D27" s="11">
        <v>5</v>
      </c>
      <c r="E27" s="11">
        <v>5</v>
      </c>
      <c r="F27" s="11">
        <v>4</v>
      </c>
      <c r="G27" s="11">
        <v>4</v>
      </c>
      <c r="H27" s="11">
        <v>3</v>
      </c>
      <c r="I27" s="11">
        <v>2</v>
      </c>
      <c r="J27" s="11">
        <v>3</v>
      </c>
      <c r="K27" s="11">
        <v>3</v>
      </c>
      <c r="L27" s="11" t="s">
        <v>422</v>
      </c>
      <c r="M27" s="11">
        <f t="shared" si="0"/>
        <v>3.4285714285714284</v>
      </c>
      <c r="N27" s="11">
        <f t="shared" si="1"/>
        <v>5</v>
      </c>
      <c r="O27" s="16" t="str">
        <f t="shared" si="2"/>
        <v>C01</v>
      </c>
    </row>
    <row r="28" spans="1:15" ht="28.5">
      <c r="A28" s="6" t="s">
        <v>248</v>
      </c>
      <c r="B28" s="11" t="s">
        <v>246</v>
      </c>
      <c r="C28" s="6" t="s">
        <v>249</v>
      </c>
      <c r="D28" s="11">
        <v>5</v>
      </c>
      <c r="E28" s="11">
        <v>4</v>
      </c>
      <c r="F28" s="11">
        <v>3</v>
      </c>
      <c r="G28" s="11">
        <v>3</v>
      </c>
      <c r="H28" s="11">
        <v>4</v>
      </c>
      <c r="I28" s="11">
        <v>3</v>
      </c>
      <c r="J28" s="11">
        <v>4</v>
      </c>
      <c r="K28" s="11">
        <v>4</v>
      </c>
      <c r="L28" s="11" t="s">
        <v>422</v>
      </c>
      <c r="M28" s="12">
        <f t="shared" si="0"/>
        <v>3.5714285714285716</v>
      </c>
      <c r="N28" s="12">
        <f t="shared" si="1"/>
        <v>4</v>
      </c>
      <c r="O28" s="13" t="str">
        <f t="shared" si="2"/>
        <v>C01</v>
      </c>
    </row>
    <row r="29" spans="1:15" ht="14.25">
      <c r="A29" s="3" t="s">
        <v>250</v>
      </c>
      <c r="B29" s="3"/>
      <c r="C29" s="3"/>
      <c r="D29" s="3"/>
      <c r="E29" s="3">
        <f>IFERROR(ROUND(SUMPRODUCT($D$4:$D$28,E$4:E$28)/SUMIF(E$4:E$28,"&gt;=0",$D$4:$D$28),2),"")</f>
        <v>3.62</v>
      </c>
      <c r="F29" s="3">
        <f>IFERROR(ROUND(SUMPRODUCT($D$4:$D$28,E$4:E$28)/SUMIF(E$4:E$28,"&gt;=0",$D$4:$D$28),2),"")</f>
        <v>3.62</v>
      </c>
      <c r="G29" s="3">
        <f>IFERROR(ROUND(SUMPRODUCT($D$4:$D$28,E$4:E$28)/SUMIF(E$4:E$28,"&gt;=0",$D$4:$D$28),2),"")</f>
        <v>3.62</v>
      </c>
      <c r="H29" s="3">
        <f>IFERROR(ROUND(SUMPRODUCT($D$4:$D$28,E$4:E$28)/SUMIF(E$4:E$28,"&gt;=0",$D$4:$D$28),2),"")</f>
        <v>3.62</v>
      </c>
      <c r="I29" s="3">
        <f>IFERROR(ROUND(SUMPRODUCT($D$4:$D$28,E$4:E$28)/SUMIF(E$4:E$28,"&gt;=0",$D$4:$D$28),2),"")</f>
        <v>3.62</v>
      </c>
      <c r="J29" s="3">
        <f>IFERROR(ROUND(SUMPRODUCT($D$4:$D$28,E$4:E$28)/SUMIF(E$4:E$28,"&gt;=0",$D$4:$D$28),2),"")</f>
        <v>3.62</v>
      </c>
      <c r="K29" s="3">
        <f>IFERROR(ROUND(SUMPRODUCT($D$4:$D$28,E$4:E$28)/SUMIF(E$4:E$28,"&gt;=0",$D$4:$D$28),2),"")</f>
        <v>3.62</v>
      </c>
      <c r="L29" s="9">
        <f>IFERROR(ROUND(SUMPRODUCT($D$4:$D$28,E$4:E$28)/SUMIF(E$4:E$28,"&gt;=0",$D$4:$D$28),2),"")</f>
        <v>3.62</v>
      </c>
      <c r="M29" s="2"/>
      <c r="N29" s="2"/>
      <c r="O29" s="2"/>
    </row>
    <row r="30" spans="1:15" ht="14.25">
      <c r="A30" s="7" t="s">
        <v>31</v>
      </c>
      <c r="B30" s="12" t="s">
        <v>422</v>
      </c>
      <c r="C30" s="12" t="s">
        <v>422</v>
      </c>
      <c r="D30" s="12" t="s">
        <v>422</v>
      </c>
      <c r="E30" s="12" t="str">
        <f>IF(E29="","",IF(E29&gt;=4.2,"Лидерский уровень",IF(E29&gt;=3.5,"Сильный уровень",IF(E29&gt;=2.5,"Средний уровень","Слабый уровень"))))</f>
        <v>Сильный уровень</v>
      </c>
      <c r="F30" s="12" t="str">
        <f>IF(E29="","",IF(E29&gt;=4.2,"Лидерский уровень",IF(E29&gt;=3.5,"Сильный уровень",IF(E29&gt;=2.5,"Средний уровень","Слабый уровень"))))</f>
        <v>Сильный уровень</v>
      </c>
      <c r="G30" s="12" t="str">
        <f>IF(E29="","",IF(E29&gt;=4.2,"Лидерский уровень",IF(E29&gt;=3.5,"Сильный уровень",IF(E29&gt;=2.5,"Средний уровень","Слабый уровень"))))</f>
        <v>Сильный уровень</v>
      </c>
      <c r="H30" s="12" t="str">
        <f>IF(E29="","",IF(E29&gt;=4.2,"Лидерский уровень",IF(E29&gt;=3.5,"Сильный уровень",IF(E29&gt;=2.5,"Средний уровень","Слабый уровень"))))</f>
        <v>Сильный уровень</v>
      </c>
      <c r="I30" s="12" t="str">
        <f>IF(E29="","",IF(E29&gt;=4.2,"Лидерский уровень",IF(E29&gt;=3.5,"Сильный уровень",IF(E29&gt;=2.5,"Средний уровень","Слабый уровень"))))</f>
        <v>Сильный уровень</v>
      </c>
      <c r="J30" s="12" t="str">
        <f>IF(E29="","",IF(E29&gt;=4.2,"Лидерский уровень",IF(E29&gt;=3.5,"Сильный уровень",IF(E29&gt;=2.5,"Средний уровень","Слабый уровень"))))</f>
        <v>Сильный уровень</v>
      </c>
      <c r="K30" s="12" t="str">
        <f>IF(E29="","",IF(E29&gt;=4.2,"Лидерский уровень",IF(E29&gt;=3.5,"Сильный уровень",IF(E29&gt;=2.5,"Средний уровень","Слабый уровень"))))</f>
        <v>Сильный уровень</v>
      </c>
      <c r="L30" s="13" t="str">
        <f>IF(E29="","",IF(E29&gt;=4.2,"Лидерский уровень",IF(E29&gt;=3.5,"Сильный уровень",IF(E29&gt;=2.5,"Средний уровень","Слабый уровень"))))</f>
        <v>Сильный уровень</v>
      </c>
      <c r="M30" s="2"/>
      <c r="N30" s="2"/>
      <c r="O30" s="2"/>
    </row>
  </sheetData>
  <mergeCells count="2">
    <mergeCell ref="A1:O1"/>
    <mergeCell ref="A2:O2"/>
  </mergeCells>
  <dataValidations count="2">
    <dataValidation type="list" sqref="D4:D28" xr:uid="{00000000-0002-0000-0600-000000000000}">
      <formula1>"1,2,3,4,5"</formula1>
    </dataValidation>
    <dataValidation type="list" sqref="E4:L28" xr:uid="{00000000-0002-0000-0600-000001000000}">
      <formula1>"0,1,2,3,4,5"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workbookViewId="0"/>
  </sheetViews>
  <sheetFormatPr defaultRowHeight="13.5"/>
  <cols>
    <col min="1" max="1" width="15.125" customWidth="1"/>
    <col min="2" max="2" width="52.5625" customWidth="1"/>
    <col min="3" max="3" width="11.9375" customWidth="1"/>
    <col min="4" max="4" width="26.6875" customWidth="1"/>
    <col min="5" max="5" width="19.3125" customWidth="1"/>
    <col min="6" max="6" width="22.4375" customWidth="1"/>
    <col min="7" max="8" width="20.375" customWidth="1"/>
    <col min="9" max="9" width="40.3125" customWidth="1"/>
    <col min="10" max="10" width="39.25" customWidth="1"/>
    <col min="11" max="11" width="16.1875" customWidth="1"/>
    <col min="12" max="12" width="15.125" customWidth="1"/>
  </cols>
  <sheetData>
    <row r="1" spans="1:12" ht="20" customHeight="1">
      <c r="A1" s="26" t="s">
        <v>251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7"/>
    </row>
    <row r="2" spans="1:12" ht="20" customHeight="1">
      <c r="A2" s="28" t="s">
        <v>252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33"/>
    </row>
    <row r="3" spans="1:12" ht="14.25">
      <c r="A3" s="3" t="s">
        <v>253</v>
      </c>
      <c r="B3" s="3" t="s">
        <v>254</v>
      </c>
      <c r="C3" s="3" t="s">
        <v>255</v>
      </c>
      <c r="D3" s="3" t="s">
        <v>256</v>
      </c>
      <c r="E3" s="3" t="s">
        <v>109</v>
      </c>
      <c r="F3" s="3" t="s">
        <v>257</v>
      </c>
      <c r="G3" s="3" t="s">
        <v>112</v>
      </c>
      <c r="H3" s="3" t="s">
        <v>258</v>
      </c>
      <c r="I3" s="3" t="s">
        <v>69</v>
      </c>
      <c r="J3" s="3" t="s">
        <v>259</v>
      </c>
      <c r="K3" s="3" t="s">
        <v>692</v>
      </c>
      <c r="L3" s="9" t="s">
        <v>70</v>
      </c>
    </row>
    <row r="4" spans="1:12" ht="14.25">
      <c r="A4" s="6" t="s">
        <v>260</v>
      </c>
      <c r="B4" s="6" t="s">
        <v>528</v>
      </c>
      <c r="C4" s="11" t="s">
        <v>617</v>
      </c>
      <c r="D4" s="11" t="s">
        <v>155</v>
      </c>
      <c r="E4" s="11" t="s">
        <v>162</v>
      </c>
      <c r="F4" s="11">
        <v>3</v>
      </c>
      <c r="G4" s="19">
        <f>IF(F4="","",IFERROR(F4/MAX(1,COUNTIF('01_Конкуренты'!$B$4:$B$10,"?*")),""))</f>
        <v>0.42857142857142855</v>
      </c>
      <c r="H4" s="11">
        <v>3.33</v>
      </c>
      <c r="I4" s="11" t="str">
        <f t="shared" ref="I4:I28" si="0">IF(B4="","",IF(OR(E4="Обязательное",E4="Линейное"),IF(G4&gt;=0.6,"Рыночный стандарт",IF(G4&gt;=0.35,"Формирующаяся норма","Необходимость подтверждена частично")),IF(E4="Привлекательное",IF(G4&lt;0.5,"Зона дифференциации","Переходит в ожидаемое"),IF(E4="Безразличное","Низкий приоритет",IF(E4="Обратное","Риск отторжения","Подтверждено частично")))))</f>
        <v>Формирующаяся норма</v>
      </c>
      <c r="J4" s="11" t="s">
        <v>422</v>
      </c>
      <c r="K4" s="11" t="s">
        <v>422</v>
      </c>
      <c r="L4" s="16" t="s">
        <v>422</v>
      </c>
    </row>
    <row r="5" spans="1:12" ht="14.25">
      <c r="A5" s="6" t="s">
        <v>261</v>
      </c>
      <c r="B5" s="6" t="s">
        <v>531</v>
      </c>
      <c r="C5" s="11" t="s">
        <v>617</v>
      </c>
      <c r="D5" s="11" t="s">
        <v>172</v>
      </c>
      <c r="E5" s="11" t="s">
        <v>159</v>
      </c>
      <c r="F5" s="11">
        <v>4</v>
      </c>
      <c r="G5" s="19">
        <f>IF(F5="","",IFERROR(F5/MAX(1,COUNTIF('01_Конкуренты'!$B$4:$B$10,"?*")),""))</f>
        <v>0.5714285714285714</v>
      </c>
      <c r="H5" s="11">
        <v>3.5</v>
      </c>
      <c r="I5" s="11" t="str">
        <f t="shared" si="0"/>
        <v>Формирующаяся норма</v>
      </c>
      <c r="J5" s="11" t="s">
        <v>422</v>
      </c>
      <c r="K5" s="11" t="s">
        <v>422</v>
      </c>
      <c r="L5" s="16" t="s">
        <v>422</v>
      </c>
    </row>
    <row r="6" spans="1:12" ht="14.25">
      <c r="A6" s="6" t="s">
        <v>262</v>
      </c>
      <c r="B6" s="11" t="s">
        <v>533</v>
      </c>
      <c r="C6" s="11" t="s">
        <v>617</v>
      </c>
      <c r="D6" s="11" t="s">
        <v>172</v>
      </c>
      <c r="E6" s="11" t="s">
        <v>159</v>
      </c>
      <c r="F6" s="11">
        <v>2</v>
      </c>
      <c r="G6" s="19">
        <f>IF(F6="","",IFERROR(F6/MAX(1,COUNTIF('01_Конкуренты'!$B$4:$B$10,"?*")),""))</f>
        <v>0.2857142857142857</v>
      </c>
      <c r="H6" s="11">
        <v>3.5</v>
      </c>
      <c r="I6" s="6" t="str">
        <f t="shared" si="0"/>
        <v>Необходимость подтверждена частично</v>
      </c>
      <c r="J6" s="11" t="s">
        <v>422</v>
      </c>
      <c r="K6" s="11" t="s">
        <v>422</v>
      </c>
      <c r="L6" s="16" t="s">
        <v>422</v>
      </c>
    </row>
    <row r="7" spans="1:12" ht="14.25">
      <c r="A7" s="6" t="s">
        <v>263</v>
      </c>
      <c r="B7" s="11" t="s">
        <v>535</v>
      </c>
      <c r="C7" s="11" t="s">
        <v>617</v>
      </c>
      <c r="D7" s="11" t="s">
        <v>165</v>
      </c>
      <c r="E7" s="11" t="s">
        <v>159</v>
      </c>
      <c r="F7" s="11">
        <v>4</v>
      </c>
      <c r="G7" s="19">
        <f>IF(F7="","",IFERROR(F7/MAX(1,COUNTIF('01_Конкуренты'!$B$4:$B$10,"?*")),""))</f>
        <v>0.5714285714285714</v>
      </c>
      <c r="H7" s="11">
        <v>3.5</v>
      </c>
      <c r="I7" s="11" t="str">
        <f t="shared" si="0"/>
        <v>Формирующаяся норма</v>
      </c>
      <c r="J7" s="11" t="s">
        <v>422</v>
      </c>
      <c r="K7" s="11" t="s">
        <v>422</v>
      </c>
      <c r="L7" s="16" t="s">
        <v>422</v>
      </c>
    </row>
    <row r="8" spans="1:12" ht="14.25">
      <c r="A8" s="6" t="s">
        <v>264</v>
      </c>
      <c r="B8" s="11" t="s">
        <v>537</v>
      </c>
      <c r="C8" s="11" t="s">
        <v>617</v>
      </c>
      <c r="D8" s="11" t="s">
        <v>161</v>
      </c>
      <c r="E8" s="11" t="s">
        <v>162</v>
      </c>
      <c r="F8" s="11">
        <v>7</v>
      </c>
      <c r="G8" s="19">
        <f>IF(F8="","",IFERROR(F8/MAX(1,COUNTIF('01_Конкуренты'!$B$4:$B$10,"?*")),""))</f>
        <v>1</v>
      </c>
      <c r="H8" s="11">
        <v>4</v>
      </c>
      <c r="I8" s="11" t="str">
        <f t="shared" si="0"/>
        <v>Рыночный стандарт</v>
      </c>
      <c r="J8" s="11" t="s">
        <v>422</v>
      </c>
      <c r="K8" s="11" t="s">
        <v>422</v>
      </c>
      <c r="L8" s="16" t="s">
        <v>422</v>
      </c>
    </row>
    <row r="9" spans="1:12" ht="14.25">
      <c r="A9" s="6" t="s">
        <v>265</v>
      </c>
      <c r="B9" s="11" t="s">
        <v>554</v>
      </c>
      <c r="C9" s="11" t="s">
        <v>617</v>
      </c>
      <c r="D9" s="11" t="s">
        <v>161</v>
      </c>
      <c r="E9" s="11" t="s">
        <v>178</v>
      </c>
      <c r="F9" s="11">
        <v>4</v>
      </c>
      <c r="G9" s="19">
        <f>IF(F9="","",IFERROR(F9/MAX(1,COUNTIF('01_Конкуренты'!$B$4:$B$10,"?*")),""))</f>
        <v>0.5714285714285714</v>
      </c>
      <c r="H9" s="11">
        <v>3.5</v>
      </c>
      <c r="I9" s="11" t="str">
        <f t="shared" si="0"/>
        <v>Переходит в ожидаемое</v>
      </c>
      <c r="J9" s="11" t="s">
        <v>422</v>
      </c>
      <c r="K9" s="11" t="s">
        <v>422</v>
      </c>
      <c r="L9" s="16" t="s">
        <v>422</v>
      </c>
    </row>
    <row r="10" spans="1:12" ht="14.25">
      <c r="A10" s="6" t="s">
        <v>266</v>
      </c>
      <c r="B10" s="11" t="s">
        <v>555</v>
      </c>
      <c r="C10" s="11" t="s">
        <v>617</v>
      </c>
      <c r="D10" s="11" t="s">
        <v>172</v>
      </c>
      <c r="E10" s="11" t="s">
        <v>178</v>
      </c>
      <c r="F10" s="11">
        <v>4</v>
      </c>
      <c r="G10" s="19">
        <f>IF(F10="","",IFERROR(F10/MAX(1,COUNTIF('01_Конкуренты'!$B$4:$B$10,"?*")),""))</f>
        <v>0.5714285714285714</v>
      </c>
      <c r="H10" s="11">
        <v>3.5</v>
      </c>
      <c r="I10" s="11" t="str">
        <f t="shared" si="0"/>
        <v>Переходит в ожидаемое</v>
      </c>
      <c r="J10" s="11" t="s">
        <v>422</v>
      </c>
      <c r="K10" s="11" t="s">
        <v>422</v>
      </c>
      <c r="L10" s="16" t="s">
        <v>422</v>
      </c>
    </row>
    <row r="11" spans="1:12" ht="14.25">
      <c r="A11" s="6" t="s">
        <v>267</v>
      </c>
      <c r="B11" s="6" t="s">
        <v>569</v>
      </c>
      <c r="C11" s="11" t="s">
        <v>617</v>
      </c>
      <c r="D11" s="11" t="s">
        <v>177</v>
      </c>
      <c r="E11" s="11" t="s">
        <v>178</v>
      </c>
      <c r="F11" s="11">
        <v>2</v>
      </c>
      <c r="G11" s="19">
        <f>IF(F11="","",IFERROR(F11/MAX(1,COUNTIF('01_Конкуренты'!$B$4:$B$10,"?*")),""))</f>
        <v>0.2857142857142857</v>
      </c>
      <c r="H11" s="11">
        <v>2.5</v>
      </c>
      <c r="I11" s="11" t="str">
        <f t="shared" si="0"/>
        <v>Зона дифференциации</v>
      </c>
      <c r="J11" s="11" t="s">
        <v>422</v>
      </c>
      <c r="K11" s="11" t="s">
        <v>422</v>
      </c>
      <c r="L11" s="16" t="s">
        <v>422</v>
      </c>
    </row>
    <row r="12" spans="1:12" ht="14.25">
      <c r="A12" s="6" t="s">
        <v>268</v>
      </c>
      <c r="B12" s="6" t="s">
        <v>557</v>
      </c>
      <c r="C12" s="11" t="s">
        <v>617</v>
      </c>
      <c r="D12" s="11" t="s">
        <v>165</v>
      </c>
      <c r="E12" s="11" t="s">
        <v>162</v>
      </c>
      <c r="F12" s="11">
        <v>3</v>
      </c>
      <c r="G12" s="19">
        <f>IF(F12="","",IFERROR(F12/MAX(1,COUNTIF('01_Конкуренты'!$B$4:$B$10,"?*")),""))</f>
        <v>0.42857142857142855</v>
      </c>
      <c r="H12" s="11">
        <v>4.67</v>
      </c>
      <c r="I12" s="11" t="str">
        <f t="shared" si="0"/>
        <v>Формирующаяся норма</v>
      </c>
      <c r="J12" s="11" t="s">
        <v>422</v>
      </c>
      <c r="K12" s="11" t="s">
        <v>422</v>
      </c>
      <c r="L12" s="16" t="s">
        <v>422</v>
      </c>
    </row>
    <row r="13" spans="1:12" ht="14.25">
      <c r="A13" s="6" t="s">
        <v>269</v>
      </c>
      <c r="B13" s="6" t="s">
        <v>539</v>
      </c>
      <c r="C13" s="11" t="s">
        <v>617</v>
      </c>
      <c r="D13" s="11" t="s">
        <v>165</v>
      </c>
      <c r="E13" s="11" t="s">
        <v>162</v>
      </c>
      <c r="F13" s="11">
        <v>3</v>
      </c>
      <c r="G13" s="19">
        <f>IF(F13="","",IFERROR(F13/MAX(1,COUNTIF('01_Конкуренты'!$B$4:$B$10,"?*")),""))</f>
        <v>0.42857142857142855</v>
      </c>
      <c r="H13" s="11">
        <v>3.33</v>
      </c>
      <c r="I13" s="11" t="str">
        <f t="shared" si="0"/>
        <v>Формирующаяся норма</v>
      </c>
      <c r="J13" s="11" t="s">
        <v>422</v>
      </c>
      <c r="K13" s="11" t="s">
        <v>422</v>
      </c>
      <c r="L13" s="16" t="s">
        <v>422</v>
      </c>
    </row>
    <row r="14" spans="1:12" ht="14.25">
      <c r="A14" s="6" t="s">
        <v>270</v>
      </c>
      <c r="B14" s="11" t="s">
        <v>541</v>
      </c>
      <c r="C14" s="11" t="s">
        <v>617</v>
      </c>
      <c r="D14" s="11" t="s">
        <v>165</v>
      </c>
      <c r="E14" s="11" t="s">
        <v>159</v>
      </c>
      <c r="F14" s="11">
        <v>3</v>
      </c>
      <c r="G14" s="19">
        <f>IF(F14="","",IFERROR(F14/MAX(1,COUNTIF('01_Конкуренты'!$B$4:$B$10,"?*")),""))</f>
        <v>0.42857142857142855</v>
      </c>
      <c r="H14" s="11">
        <v>4.33</v>
      </c>
      <c r="I14" s="11" t="str">
        <f t="shared" si="0"/>
        <v>Формирующаяся норма</v>
      </c>
      <c r="J14" s="11" t="s">
        <v>422</v>
      </c>
      <c r="K14" s="11" t="s">
        <v>422</v>
      </c>
      <c r="L14" s="16" t="s">
        <v>422</v>
      </c>
    </row>
    <row r="15" spans="1:12" ht="14.25">
      <c r="A15" s="6" t="s">
        <v>271</v>
      </c>
      <c r="B15" s="11" t="s">
        <v>559</v>
      </c>
      <c r="C15" s="11" t="s">
        <v>617</v>
      </c>
      <c r="D15" s="11" t="s">
        <v>172</v>
      </c>
      <c r="E15" s="11" t="s">
        <v>159</v>
      </c>
      <c r="F15" s="11">
        <v>3</v>
      </c>
      <c r="G15" s="19">
        <f>IF(F15="","",IFERROR(F15/MAX(1,COUNTIF('01_Конкуренты'!$B$4:$B$10,"?*")),""))</f>
        <v>0.42857142857142855</v>
      </c>
      <c r="H15" s="11">
        <v>4.33</v>
      </c>
      <c r="I15" s="11" t="str">
        <f t="shared" si="0"/>
        <v>Формирующаяся норма</v>
      </c>
      <c r="J15" s="11" t="s">
        <v>422</v>
      </c>
      <c r="K15" s="11" t="s">
        <v>422</v>
      </c>
      <c r="L15" s="16" t="s">
        <v>422</v>
      </c>
    </row>
    <row r="16" spans="1:12" ht="14.25">
      <c r="A16" s="6" t="s">
        <v>272</v>
      </c>
      <c r="B16" s="11" t="s">
        <v>543</v>
      </c>
      <c r="C16" s="11" t="s">
        <v>617</v>
      </c>
      <c r="D16" s="11" t="s">
        <v>165</v>
      </c>
      <c r="E16" s="11" t="s">
        <v>159</v>
      </c>
      <c r="F16" s="11">
        <v>5</v>
      </c>
      <c r="G16" s="19">
        <f>IF(F16="","",IFERROR(F16/MAX(1,COUNTIF('01_Конкуренты'!$B$4:$B$10,"?*")),""))</f>
        <v>0.7142857142857143</v>
      </c>
      <c r="H16" s="11">
        <v>4.2</v>
      </c>
      <c r="I16" s="11" t="str">
        <f t="shared" si="0"/>
        <v>Рыночный стандарт</v>
      </c>
      <c r="J16" s="11" t="s">
        <v>422</v>
      </c>
      <c r="K16" s="11" t="s">
        <v>422</v>
      </c>
      <c r="L16" s="16" t="s">
        <v>422</v>
      </c>
    </row>
    <row r="17" spans="1:12" ht="14.25">
      <c r="A17" s="6" t="s">
        <v>273</v>
      </c>
      <c r="B17" s="11" t="s">
        <v>545</v>
      </c>
      <c r="C17" s="11" t="s">
        <v>617</v>
      </c>
      <c r="D17" s="11" t="s">
        <v>172</v>
      </c>
      <c r="E17" s="11" t="s">
        <v>325</v>
      </c>
      <c r="F17" s="11">
        <v>6</v>
      </c>
      <c r="G17" s="19">
        <f>IF(F17="","",IFERROR(F17/MAX(1,COUNTIF('01_Конкуренты'!$B$4:$B$10,"?*")),""))</f>
        <v>0.8571428571428571</v>
      </c>
      <c r="H17" s="11">
        <v>3.5</v>
      </c>
      <c r="I17" s="11" t="str">
        <f t="shared" si="0"/>
        <v>Низкий приоритет</v>
      </c>
      <c r="J17" s="11" t="s">
        <v>422</v>
      </c>
      <c r="K17" s="11" t="s">
        <v>422</v>
      </c>
      <c r="L17" s="16" t="s">
        <v>422</v>
      </c>
    </row>
    <row r="18" spans="1:12" ht="14.25">
      <c r="A18" s="6" t="s">
        <v>274</v>
      </c>
      <c r="B18" s="6" t="s">
        <v>547</v>
      </c>
      <c r="C18" s="11" t="s">
        <v>617</v>
      </c>
      <c r="D18" s="11" t="s">
        <v>172</v>
      </c>
      <c r="E18" s="11" t="s">
        <v>159</v>
      </c>
      <c r="F18" s="11">
        <v>5</v>
      </c>
      <c r="G18" s="19">
        <f>IF(F18="","",IFERROR(F18/MAX(1,COUNTIF('01_Конкуренты'!$B$4:$B$10,"?*")),""))</f>
        <v>0.7142857142857143</v>
      </c>
      <c r="H18" s="11">
        <v>3.6</v>
      </c>
      <c r="I18" s="11" t="str">
        <f t="shared" si="0"/>
        <v>Рыночный стандарт</v>
      </c>
      <c r="J18" s="11" t="s">
        <v>422</v>
      </c>
      <c r="K18" s="11" t="s">
        <v>422</v>
      </c>
      <c r="L18" s="16" t="s">
        <v>422</v>
      </c>
    </row>
    <row r="19" spans="1:12" ht="14.25">
      <c r="A19" s="6" t="s">
        <v>275</v>
      </c>
      <c r="B19" s="6" t="s">
        <v>560</v>
      </c>
      <c r="C19" s="11" t="s">
        <v>617</v>
      </c>
      <c r="D19" s="11" t="s">
        <v>177</v>
      </c>
      <c r="E19" s="11" t="s">
        <v>178</v>
      </c>
      <c r="F19" s="11">
        <v>1</v>
      </c>
      <c r="G19" s="19">
        <f>IF(F19="","",IFERROR(F19/MAX(1,COUNTIF('01_Конкуренты'!$B$4:$B$10,"?*")),""))</f>
        <v>0.14285714285714285</v>
      </c>
      <c r="H19" s="11">
        <v>3</v>
      </c>
      <c r="I19" s="11" t="str">
        <f t="shared" si="0"/>
        <v>Зона дифференциации</v>
      </c>
      <c r="J19" s="11" t="s">
        <v>422</v>
      </c>
      <c r="K19" s="11" t="s">
        <v>422</v>
      </c>
      <c r="L19" s="16" t="s">
        <v>422</v>
      </c>
    </row>
    <row r="20" spans="1:12" ht="14.25">
      <c r="A20" s="6" t="s">
        <v>276</v>
      </c>
      <c r="B20" s="6" t="s">
        <v>549</v>
      </c>
      <c r="C20" s="11" t="s">
        <v>617</v>
      </c>
      <c r="D20" s="11" t="s">
        <v>172</v>
      </c>
      <c r="E20" s="11" t="s">
        <v>159</v>
      </c>
      <c r="F20" s="11">
        <v>2</v>
      </c>
      <c r="G20" s="19">
        <f>IF(F20="","",IFERROR(F20/MAX(1,COUNTIF('01_Конкуренты'!$B$4:$B$10,"?*")),""))</f>
        <v>0.2857142857142857</v>
      </c>
      <c r="H20" s="11">
        <v>3.5</v>
      </c>
      <c r="I20" s="6" t="str">
        <f t="shared" si="0"/>
        <v>Необходимость подтверждена частично</v>
      </c>
      <c r="J20" s="11" t="s">
        <v>422</v>
      </c>
      <c r="K20" s="11" t="s">
        <v>422</v>
      </c>
      <c r="L20" s="16" t="s">
        <v>422</v>
      </c>
    </row>
    <row r="21" spans="1:12" ht="14.25">
      <c r="A21" s="6" t="s">
        <v>277</v>
      </c>
      <c r="B21" s="6" t="s">
        <v>551</v>
      </c>
      <c r="C21" s="11" t="s">
        <v>617</v>
      </c>
      <c r="D21" s="11" t="s">
        <v>172</v>
      </c>
      <c r="E21" s="11" t="s">
        <v>178</v>
      </c>
      <c r="F21" s="11">
        <v>2</v>
      </c>
      <c r="G21" s="19">
        <f>IF(F21="","",IFERROR(F21/MAX(1,COUNTIF('01_Конкуренты'!$B$4:$B$10,"?*")),""))</f>
        <v>0.2857142857142857</v>
      </c>
      <c r="H21" s="11">
        <v>3.5</v>
      </c>
      <c r="I21" s="11" t="str">
        <f t="shared" si="0"/>
        <v>Зона дифференциации</v>
      </c>
      <c r="J21" s="11" t="s">
        <v>422</v>
      </c>
      <c r="K21" s="11" t="s">
        <v>422</v>
      </c>
      <c r="L21" s="16" t="s">
        <v>422</v>
      </c>
    </row>
    <row r="22" spans="1:12" ht="14.25">
      <c r="A22" s="6" t="s">
        <v>278</v>
      </c>
      <c r="B22" s="11" t="s">
        <v>552</v>
      </c>
      <c r="C22" s="11" t="s">
        <v>617</v>
      </c>
      <c r="D22" s="11" t="s">
        <v>172</v>
      </c>
      <c r="E22" s="11" t="s">
        <v>159</v>
      </c>
      <c r="F22" s="11">
        <v>2</v>
      </c>
      <c r="G22" s="19">
        <f>IF(F22="","",IFERROR(F22/MAX(1,COUNTIF('01_Конкуренты'!$B$4:$B$10,"?*")),""))</f>
        <v>0.2857142857142857</v>
      </c>
      <c r="H22" s="11">
        <v>3.5</v>
      </c>
      <c r="I22" s="6" t="str">
        <f t="shared" si="0"/>
        <v>Необходимость подтверждена частично</v>
      </c>
      <c r="J22" s="11" t="s">
        <v>422</v>
      </c>
      <c r="K22" s="11" t="s">
        <v>422</v>
      </c>
      <c r="L22" s="16" t="s">
        <v>422</v>
      </c>
    </row>
    <row r="23" spans="1:12" ht="14.25">
      <c r="A23" s="6" t="s">
        <v>279</v>
      </c>
      <c r="B23" s="11" t="s">
        <v>562</v>
      </c>
      <c r="C23" s="11" t="s">
        <v>617</v>
      </c>
      <c r="D23" s="11" t="s">
        <v>172</v>
      </c>
      <c r="E23" s="11" t="s">
        <v>325</v>
      </c>
      <c r="F23" s="11">
        <v>3</v>
      </c>
      <c r="G23" s="19">
        <f>IF(F23="","",IFERROR(F23/MAX(1,COUNTIF('01_Конкуренты'!$B$4:$B$10,"?*")),""))</f>
        <v>0.42857142857142855</v>
      </c>
      <c r="H23" s="11">
        <v>3.33</v>
      </c>
      <c r="I23" s="11" t="str">
        <f t="shared" si="0"/>
        <v>Низкий приоритет</v>
      </c>
      <c r="J23" s="11" t="s">
        <v>422</v>
      </c>
      <c r="K23" s="11" t="s">
        <v>422</v>
      </c>
      <c r="L23" s="16" t="s">
        <v>422</v>
      </c>
    </row>
    <row r="24" spans="1:12" ht="14.25">
      <c r="A24" s="6" t="s">
        <v>280</v>
      </c>
      <c r="B24" s="6" t="s">
        <v>571</v>
      </c>
      <c r="C24" s="11" t="s">
        <v>617</v>
      </c>
      <c r="D24" s="11" t="s">
        <v>177</v>
      </c>
      <c r="E24" s="11" t="s">
        <v>325</v>
      </c>
      <c r="F24" s="11">
        <v>2</v>
      </c>
      <c r="G24" s="19">
        <f>IF(F24="","",IFERROR(F24/MAX(1,COUNTIF('01_Конкуренты'!$B$4:$B$10,"?*")),""))</f>
        <v>0.2857142857142857</v>
      </c>
      <c r="H24" s="11">
        <v>4</v>
      </c>
      <c r="I24" s="11" t="str">
        <f t="shared" si="0"/>
        <v>Низкий приоритет</v>
      </c>
      <c r="J24" s="11" t="s">
        <v>422</v>
      </c>
      <c r="K24" s="11" t="s">
        <v>422</v>
      </c>
      <c r="L24" s="16" t="s">
        <v>422</v>
      </c>
    </row>
    <row r="25" spans="1:12" ht="14.25">
      <c r="A25" s="6" t="s">
        <v>281</v>
      </c>
      <c r="B25" s="6" t="s">
        <v>564</v>
      </c>
      <c r="C25" s="11" t="s">
        <v>617</v>
      </c>
      <c r="D25" s="11" t="s">
        <v>165</v>
      </c>
      <c r="E25" s="11" t="s">
        <v>162</v>
      </c>
      <c r="F25" s="11">
        <v>3</v>
      </c>
      <c r="G25" s="19">
        <f>IF(F25="","",IFERROR(F25/MAX(1,COUNTIF('01_Конкуренты'!$B$4:$B$10,"?*")),""))</f>
        <v>0.42857142857142855</v>
      </c>
      <c r="H25" s="11">
        <v>4.33</v>
      </c>
      <c r="I25" s="11" t="str">
        <f t="shared" si="0"/>
        <v>Формирующаяся норма</v>
      </c>
      <c r="J25" s="11" t="s">
        <v>422</v>
      </c>
      <c r="K25" s="11" t="s">
        <v>422</v>
      </c>
      <c r="L25" s="16" t="s">
        <v>422</v>
      </c>
    </row>
    <row r="26" spans="1:12" ht="14.25">
      <c r="A26" s="6" t="s">
        <v>282</v>
      </c>
      <c r="B26" s="11" t="s">
        <v>565</v>
      </c>
      <c r="C26" s="11" t="s">
        <v>617</v>
      </c>
      <c r="D26" s="11" t="s">
        <v>172</v>
      </c>
      <c r="E26" s="11" t="s">
        <v>159</v>
      </c>
      <c r="F26" s="11">
        <v>2</v>
      </c>
      <c r="G26" s="19">
        <f>IF(F26="","",IFERROR(F26/MAX(1,COUNTIF('01_Конкуренты'!$B$4:$B$10,"?*")),""))</f>
        <v>0.2857142857142857</v>
      </c>
      <c r="H26" s="11">
        <v>4</v>
      </c>
      <c r="I26" s="6" t="str">
        <f t="shared" si="0"/>
        <v>Необходимость подтверждена частично</v>
      </c>
      <c r="J26" s="11" t="s">
        <v>422</v>
      </c>
      <c r="K26" s="11" t="s">
        <v>422</v>
      </c>
      <c r="L26" s="16" t="s">
        <v>422</v>
      </c>
    </row>
    <row r="27" spans="1:12" ht="14.25">
      <c r="A27" s="6" t="s">
        <v>283</v>
      </c>
      <c r="B27" s="6" t="s">
        <v>567</v>
      </c>
      <c r="C27" s="11" t="s">
        <v>617</v>
      </c>
      <c r="D27" s="11" t="s">
        <v>177</v>
      </c>
      <c r="E27" s="11" t="s">
        <v>159</v>
      </c>
      <c r="F27" s="11">
        <v>2</v>
      </c>
      <c r="G27" s="19">
        <f>IF(F27="","",IFERROR(F27/MAX(1,COUNTIF('01_Конкуренты'!$B$4:$B$10,"?*")),""))</f>
        <v>0.2857142857142857</v>
      </c>
      <c r="H27" s="11">
        <v>4</v>
      </c>
      <c r="I27" s="6" t="str">
        <f t="shared" si="0"/>
        <v>Необходимость подтверждена частично</v>
      </c>
      <c r="J27" s="11" t="s">
        <v>422</v>
      </c>
      <c r="K27" s="11" t="s">
        <v>422</v>
      </c>
      <c r="L27" s="16" t="s">
        <v>422</v>
      </c>
    </row>
    <row r="28" spans="1:12" ht="14.25">
      <c r="A28" s="7" t="s">
        <v>284</v>
      </c>
      <c r="B28" s="7" t="s">
        <v>573</v>
      </c>
      <c r="C28" s="12" t="s">
        <v>617</v>
      </c>
      <c r="D28" s="12" t="s">
        <v>177</v>
      </c>
      <c r="E28" s="12" t="s">
        <v>325</v>
      </c>
      <c r="F28" s="12">
        <v>1</v>
      </c>
      <c r="G28" s="20">
        <f>IF(F28="","",IFERROR(F28/MAX(1,COUNTIF('01_Конкуренты'!$B$4:$B$10,"?*")),""))</f>
        <v>0.14285714285714285</v>
      </c>
      <c r="H28" s="12">
        <v>5</v>
      </c>
      <c r="I28" s="12" t="str">
        <f t="shared" si="0"/>
        <v>Низкий приоритет</v>
      </c>
      <c r="J28" s="12" t="s">
        <v>422</v>
      </c>
      <c r="K28" s="12" t="s">
        <v>422</v>
      </c>
      <c r="L28" s="13" t="s">
        <v>422</v>
      </c>
    </row>
  </sheetData>
  <mergeCells count="2">
    <mergeCell ref="A1:L1"/>
    <mergeCell ref="A2:L2"/>
  </mergeCells>
  <conditionalFormatting sqref="G4:G28">
    <cfRule type="dataBar" priority="7">
      <dataBar>
        <cfvo type="min"/>
        <cfvo type="max"/>
        <color rgb="FF5B9BD5"/>
      </dataBar>
    </cfRule>
  </conditionalFormatting>
  <conditionalFormatting sqref="G4:G28">
    <cfRule type="dataBar" priority="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{B144901E-EEF7-CD91-6EF2-5554ADE5D379}</x14:id>
        </ext>
      </extLst>
    </cfRule>
  </conditionalFormatting>
  <dataValidations count="3">
    <dataValidation type="list" sqref="D4:D28" xr:uid="{00000000-0002-0000-07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E4:E28" xr:uid="{00000000-0002-0000-0700-000001000000}">
      <formula1>"Обязательное,Линейное,Привлекательное,Безразличное,Обратное,Неясное"</formula1>
    </dataValidation>
    <dataValidation type="list" sqref="H4:H28" xr:uid="{00000000-0002-0000-07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4901E-EEF7-CD91-6EF2-5554ADE5D379}">
            <x14:dataBar>
              <x14:cfvo type="min"/>
              <x14:cfvo type="max"/>
              <x14:negativeFillColor auto="1"/>
              <x14:axisColor auto="1"/>
            </x14:dataBar>
          </x14:cfRule>
          <xm:sqref>G4:G28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1"/>
  <sheetViews>
    <sheetView workbookViewId="0"/>
  </sheetViews>
  <sheetFormatPr defaultRowHeight="13.5"/>
  <cols>
    <col min="1" max="1" width="10.5625" customWidth="1"/>
    <col min="2" max="2" width="17.1875" customWidth="1"/>
    <col min="3" max="3" width="52.5625" customWidth="1"/>
    <col min="4" max="4" width="26.6875" customWidth="1"/>
    <col min="5" max="5" width="19.3125" customWidth="1"/>
    <col min="6" max="6" width="18.25" customWidth="1"/>
    <col min="7" max="7" width="20.375" customWidth="1"/>
    <col min="8" max="8" width="16.1875" customWidth="1"/>
    <col min="9" max="9" width="11.9375" customWidth="1"/>
    <col min="10" max="10" width="34" customWidth="1"/>
    <col min="11" max="11" width="31.9375" customWidth="1"/>
    <col min="12" max="12" width="23.5" customWidth="1"/>
    <col min="13" max="13" width="30.875" customWidth="1"/>
    <col min="14" max="14" width="52.5625" customWidth="1"/>
  </cols>
  <sheetData>
    <row r="1" spans="1:14" ht="20" customHeight="1">
      <c r="A1" s="26" t="s">
        <v>285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7"/>
    </row>
    <row r="2" spans="1:14" ht="20" customHeight="1">
      <c r="A2" s="28" t="s">
        <v>286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33"/>
    </row>
    <row r="3" spans="1:14" ht="14.25">
      <c r="A3" s="3" t="s">
        <v>60</v>
      </c>
      <c r="B3" s="3" t="s">
        <v>80</v>
      </c>
      <c r="C3" s="3" t="s">
        <v>287</v>
      </c>
      <c r="D3" s="3" t="s">
        <v>288</v>
      </c>
      <c r="E3" s="3" t="s">
        <v>256</v>
      </c>
      <c r="F3" s="3" t="s">
        <v>109</v>
      </c>
      <c r="G3" s="3" t="s">
        <v>289</v>
      </c>
      <c r="H3" s="3" t="s">
        <v>290</v>
      </c>
      <c r="I3" s="3" t="s">
        <v>291</v>
      </c>
      <c r="J3" s="3" t="s">
        <v>292</v>
      </c>
      <c r="K3" s="3" t="s">
        <v>293</v>
      </c>
      <c r="L3" s="3" t="s">
        <v>294</v>
      </c>
      <c r="M3" s="3" t="s">
        <v>295</v>
      </c>
      <c r="N3" s="9" t="s">
        <v>296</v>
      </c>
    </row>
    <row r="4" spans="1:14" ht="28.5">
      <c r="A4" s="6" t="s">
        <v>297</v>
      </c>
      <c r="B4" s="11" t="s">
        <v>71</v>
      </c>
      <c r="C4" s="6" t="s">
        <v>618</v>
      </c>
      <c r="D4" s="11" t="s">
        <v>619</v>
      </c>
      <c r="E4" s="11" t="s">
        <v>422</v>
      </c>
      <c r="F4" s="11" t="s">
        <v>422</v>
      </c>
      <c r="G4" s="11" t="s">
        <v>449</v>
      </c>
      <c r="H4" s="11">
        <v>3</v>
      </c>
      <c r="I4" s="11">
        <v>4</v>
      </c>
      <c r="J4" s="11">
        <v>4</v>
      </c>
      <c r="K4" s="11">
        <v>5</v>
      </c>
      <c r="L4" s="11">
        <f t="shared" ref="L4:L11" si="0">IF(OR(H4="",I4="",J4="",K4=""),"",ROUND(H4*0.25+I4*0.25+J4*0.3+K4*0.2,2))</f>
        <v>3.95</v>
      </c>
      <c r="M4" s="11" t="str">
        <f t="shared" ref="M4:M11" si="1">IF(L4="","",IF(L4&gt;=4.2,"Сильное преимущество",IF(L4&gt;=3.4,"Потенциальное преимущество",IF(L4&gt;=2.5,"Слабое преимущество","Не считать преимуществом"))))</f>
        <v>Потенциальное преимущество</v>
      </c>
      <c r="N4" s="10" t="s">
        <v>620</v>
      </c>
    </row>
    <row r="5" spans="1:14" ht="14.25">
      <c r="A5" s="6" t="s">
        <v>298</v>
      </c>
      <c r="B5" s="11" t="s">
        <v>71</v>
      </c>
      <c r="C5" s="6" t="s">
        <v>621</v>
      </c>
      <c r="D5" s="11" t="s">
        <v>622</v>
      </c>
      <c r="E5" s="11" t="s">
        <v>422</v>
      </c>
      <c r="F5" s="11" t="s">
        <v>422</v>
      </c>
      <c r="G5" s="11" t="s">
        <v>623</v>
      </c>
      <c r="H5" s="11">
        <v>3</v>
      </c>
      <c r="I5" s="11">
        <v>4</v>
      </c>
      <c r="J5" s="11">
        <v>4</v>
      </c>
      <c r="K5" s="11">
        <v>4</v>
      </c>
      <c r="L5" s="11">
        <f t="shared" si="0"/>
        <v>3.75</v>
      </c>
      <c r="M5" s="11" t="str">
        <f t="shared" si="1"/>
        <v>Потенциальное преимущество</v>
      </c>
      <c r="N5" s="10" t="s">
        <v>620</v>
      </c>
    </row>
    <row r="6" spans="1:14" ht="14.25">
      <c r="A6" s="6" t="s">
        <v>299</v>
      </c>
      <c r="B6" s="11" t="s">
        <v>74</v>
      </c>
      <c r="C6" s="6" t="s">
        <v>624</v>
      </c>
      <c r="D6" s="11" t="s">
        <v>625</v>
      </c>
      <c r="E6" s="11" t="s">
        <v>422</v>
      </c>
      <c r="F6" s="11" t="s">
        <v>422</v>
      </c>
      <c r="G6" s="11" t="s">
        <v>626</v>
      </c>
      <c r="H6" s="11">
        <v>2</v>
      </c>
      <c r="I6" s="11">
        <v>4</v>
      </c>
      <c r="J6" s="11">
        <v>4</v>
      </c>
      <c r="K6" s="11">
        <v>5</v>
      </c>
      <c r="L6" s="11">
        <f t="shared" si="0"/>
        <v>3.7</v>
      </c>
      <c r="M6" s="11" t="str">
        <f t="shared" si="1"/>
        <v>Потенциальное преимущество</v>
      </c>
      <c r="N6" s="10" t="s">
        <v>620</v>
      </c>
    </row>
    <row r="7" spans="1:14" ht="14.25">
      <c r="A7" s="6" t="s">
        <v>300</v>
      </c>
      <c r="B7" s="11" t="s">
        <v>74</v>
      </c>
      <c r="C7" s="6" t="s">
        <v>627</v>
      </c>
      <c r="D7" s="11" t="s">
        <v>628</v>
      </c>
      <c r="E7" s="11" t="s">
        <v>422</v>
      </c>
      <c r="F7" s="11" t="s">
        <v>422</v>
      </c>
      <c r="G7" s="11" t="s">
        <v>449</v>
      </c>
      <c r="H7" s="11">
        <v>3</v>
      </c>
      <c r="I7" s="11">
        <v>5</v>
      </c>
      <c r="J7" s="11">
        <v>5</v>
      </c>
      <c r="K7" s="11">
        <v>5</v>
      </c>
      <c r="L7" s="11">
        <f t="shared" si="0"/>
        <v>4.5</v>
      </c>
      <c r="M7" s="11" t="str">
        <f t="shared" si="1"/>
        <v>Сильное преимущество</v>
      </c>
      <c r="N7" s="10" t="s">
        <v>620</v>
      </c>
    </row>
    <row r="8" spans="1:14" ht="14.25">
      <c r="A8" s="6" t="s">
        <v>301</v>
      </c>
      <c r="B8" s="11" t="s">
        <v>75</v>
      </c>
      <c r="C8" s="6" t="s">
        <v>629</v>
      </c>
      <c r="D8" s="11" t="s">
        <v>630</v>
      </c>
      <c r="E8" s="11" t="s">
        <v>422</v>
      </c>
      <c r="F8" s="11" t="s">
        <v>422</v>
      </c>
      <c r="G8" s="11" t="s">
        <v>631</v>
      </c>
      <c r="H8" s="11">
        <v>1</v>
      </c>
      <c r="I8" s="11">
        <v>3</v>
      </c>
      <c r="J8" s="11">
        <v>3</v>
      </c>
      <c r="K8" s="11">
        <v>5</v>
      </c>
      <c r="L8" s="11">
        <f t="shared" si="0"/>
        <v>2.9</v>
      </c>
      <c r="M8" s="11" t="str">
        <f t="shared" si="1"/>
        <v>Слабое преимущество</v>
      </c>
      <c r="N8" s="10" t="s">
        <v>620</v>
      </c>
    </row>
    <row r="9" spans="1:14" ht="14.25">
      <c r="A9" s="6" t="s">
        <v>302</v>
      </c>
      <c r="B9" s="11" t="s">
        <v>76</v>
      </c>
      <c r="C9" s="6" t="s">
        <v>632</v>
      </c>
      <c r="D9" s="11" t="s">
        <v>633</v>
      </c>
      <c r="E9" s="11" t="s">
        <v>422</v>
      </c>
      <c r="F9" s="11" t="s">
        <v>422</v>
      </c>
      <c r="G9" s="11" t="s">
        <v>634</v>
      </c>
      <c r="H9" s="11">
        <v>4</v>
      </c>
      <c r="I9" s="11">
        <v>5</v>
      </c>
      <c r="J9" s="11">
        <v>4</v>
      </c>
      <c r="K9" s="11">
        <v>4</v>
      </c>
      <c r="L9" s="11">
        <f t="shared" si="0"/>
        <v>4.25</v>
      </c>
      <c r="M9" s="11" t="str">
        <f t="shared" si="1"/>
        <v>Сильное преимущество</v>
      </c>
      <c r="N9" s="10" t="s">
        <v>620</v>
      </c>
    </row>
    <row r="10" spans="1:14" ht="14.25">
      <c r="A10" s="6" t="s">
        <v>303</v>
      </c>
      <c r="B10" s="11" t="s">
        <v>77</v>
      </c>
      <c r="C10" s="6" t="s">
        <v>635</v>
      </c>
      <c r="D10" s="11" t="s">
        <v>636</v>
      </c>
      <c r="E10" s="11" t="s">
        <v>422</v>
      </c>
      <c r="F10" s="11" t="s">
        <v>422</v>
      </c>
      <c r="G10" s="11" t="s">
        <v>449</v>
      </c>
      <c r="H10" s="11">
        <v>4</v>
      </c>
      <c r="I10" s="11">
        <v>5</v>
      </c>
      <c r="J10" s="11">
        <v>5</v>
      </c>
      <c r="K10" s="11">
        <v>5</v>
      </c>
      <c r="L10" s="11">
        <f t="shared" si="0"/>
        <v>4.75</v>
      </c>
      <c r="M10" s="11" t="str">
        <f t="shared" si="1"/>
        <v>Сильное преимущество</v>
      </c>
      <c r="N10" s="10" t="s">
        <v>620</v>
      </c>
    </row>
    <row r="11" spans="1:14" ht="14.25">
      <c r="A11" s="7" t="s">
        <v>304</v>
      </c>
      <c r="B11" s="12" t="s">
        <v>73</v>
      </c>
      <c r="C11" s="7" t="s">
        <v>637</v>
      </c>
      <c r="D11" s="12" t="s">
        <v>638</v>
      </c>
      <c r="E11" s="12" t="s">
        <v>422</v>
      </c>
      <c r="F11" s="12" t="s">
        <v>422</v>
      </c>
      <c r="G11" s="12" t="s">
        <v>639</v>
      </c>
      <c r="H11" s="12">
        <v>5</v>
      </c>
      <c r="I11" s="12">
        <v>4</v>
      </c>
      <c r="J11" s="12">
        <v>3</v>
      </c>
      <c r="K11" s="12">
        <v>4</v>
      </c>
      <c r="L11" s="12">
        <f t="shared" si="0"/>
        <v>3.95</v>
      </c>
      <c r="M11" s="12" t="str">
        <f t="shared" si="1"/>
        <v>Потенциальное преимущество</v>
      </c>
      <c r="N11" s="8" t="s">
        <v>620</v>
      </c>
    </row>
  </sheetData>
  <mergeCells count="2">
    <mergeCell ref="A1:N1"/>
    <mergeCell ref="A2:N2"/>
  </mergeCells>
  <dataValidations count="4">
    <dataValidation type="list" sqref="E4:E11" xr:uid="{00000000-0002-0000-08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F4:F11" xr:uid="{00000000-0002-0000-0800-000001000000}">
      <formula1>"Обязательное,Линейное,Привлекательное,Безразличное,Обратное,Неясное"</formula1>
    </dataValidation>
    <dataValidation type="list" sqref="G4:G11" xr:uid="{00000000-0002-0000-0800-000002000000}">
      <formula1>"Функциональное,Экономическое,Интерфейсное,Сервисное,Доверительное,Данные и аналитика,Сетевой эффект,Интеграционное,Контентное"</formula1>
    </dataValidation>
    <dataValidation type="list" sqref="H4:K11" xr:uid="{00000000-0002-0000-08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4"/>
  <sheetViews>
    <sheetView workbookViewId="0"/>
  </sheetViews>
  <sheetFormatPr defaultRowHeight="13.5"/>
  <cols>
    <col min="1" max="1" width="52.5625" customWidth="1"/>
    <col min="2" max="3" width="19.3125" customWidth="1"/>
    <col min="4" max="4" width="52.5625" customWidth="1"/>
    <col min="5" max="8" width="19.3125" customWidth="1"/>
    <col min="9" max="9" width="10.5625" customWidth="1"/>
    <col min="10" max="10" width="26.6875" customWidth="1"/>
    <col min="11" max="11" width="20.375" customWidth="1"/>
    <col min="12" max="12" width="18.25" customWidth="1"/>
    <col min="13" max="14" width="10.5625" customWidth="1"/>
  </cols>
  <sheetData>
    <row r="1" spans="1:14" ht="20" customHeight="1">
      <c r="A1" s="26" t="s">
        <v>305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7"/>
    </row>
    <row r="2" spans="1:14" ht="20" customHeight="1">
      <c r="A2" s="28" t="s">
        <v>306</v>
      </c>
      <c r="B2" s="28"/>
      <c r="C2" s="28"/>
      <c r="D2" s="28"/>
      <c r="E2" s="29"/>
      <c r="F2" s="28"/>
      <c r="G2" s="28"/>
      <c r="H2" s="28"/>
      <c r="I2" s="29"/>
      <c r="J2" s="28"/>
      <c r="K2" s="28"/>
      <c r="L2" s="28"/>
      <c r="M2" s="29"/>
      <c r="N2" s="30"/>
    </row>
    <row r="3" spans="1:14" ht="14.25">
      <c r="A3" s="3" t="s">
        <v>307</v>
      </c>
      <c r="B3" s="3" t="s">
        <v>308</v>
      </c>
      <c r="C3" s="3" t="s">
        <v>309</v>
      </c>
      <c r="D3" s="9" t="s">
        <v>70</v>
      </c>
      <c r="E3" s="1"/>
      <c r="F3" s="3" t="s">
        <v>109</v>
      </c>
      <c r="G3" s="3" t="s">
        <v>310</v>
      </c>
      <c r="H3" s="9" t="s">
        <v>311</v>
      </c>
      <c r="I3" s="1"/>
      <c r="J3" s="3" t="s">
        <v>256</v>
      </c>
      <c r="K3" s="3" t="s">
        <v>312</v>
      </c>
      <c r="L3" s="9" t="s">
        <v>313</v>
      </c>
      <c r="M3" s="1"/>
      <c r="N3" s="1"/>
    </row>
    <row r="4" spans="1:14" ht="14.25">
      <c r="A4" s="6" t="s">
        <v>314</v>
      </c>
      <c r="B4" s="22">
        <f>COUNTIF('01_Конкуренты'!$B$4:$B$10,"?*")</f>
        <v>7</v>
      </c>
      <c r="C4" s="11" t="s">
        <v>315</v>
      </c>
      <c r="D4" s="10" t="s">
        <v>693</v>
      </c>
      <c r="E4" s="1"/>
      <c r="F4" s="6" t="s">
        <v>162</v>
      </c>
      <c r="G4" s="11">
        <f>COUNTIF('04_Кано'!$E$4:$E$28,F4)</f>
        <v>5</v>
      </c>
      <c r="H4" s="24">
        <f t="shared" ref="H4:H9" si="0">IFERROR(G4/SUM($G$4:$G$9),"")</f>
        <v>0.2</v>
      </c>
      <c r="I4" s="1"/>
      <c r="J4" s="6" t="s">
        <v>155</v>
      </c>
      <c r="K4" s="11">
        <f>COUNTIF('03_Левитт'!$D$4:$D$81,J4)</f>
        <v>3</v>
      </c>
      <c r="L4" s="16">
        <f>IFERROR(AVERAGEIF('03_Левитт'!$D$4:$D$81,J4,'03_Левитт'!$L$4:$L$81),"")</f>
        <v>2.7766666666666668</v>
      </c>
      <c r="M4" s="1"/>
      <c r="N4" s="1"/>
    </row>
    <row r="5" spans="1:14" ht="14.25">
      <c r="A5" s="6" t="s">
        <v>316</v>
      </c>
      <c r="B5" s="22">
        <f>COUNTIF('02_Карта_сайтов'!$C$4:$C$35,"?*")</f>
        <v>32</v>
      </c>
      <c r="C5" s="11" t="s">
        <v>317</v>
      </c>
      <c r="D5" s="10" t="s">
        <v>318</v>
      </c>
      <c r="E5" s="1"/>
      <c r="F5" s="6" t="s">
        <v>159</v>
      </c>
      <c r="G5" s="11">
        <f>COUNTIF('04_Кано'!$E$4:$E$28,F5)</f>
        <v>11</v>
      </c>
      <c r="H5" s="24">
        <f t="shared" si="0"/>
        <v>0.44</v>
      </c>
      <c r="I5" s="1"/>
      <c r="J5" s="6" t="s">
        <v>161</v>
      </c>
      <c r="K5" s="11">
        <f>COUNTIF('03_Левитт'!$D$4:$D$81,J5)</f>
        <v>11</v>
      </c>
      <c r="L5" s="16">
        <f>IFERROR(AVERAGEIF('03_Левитт'!$D$4:$D$81,J5,'03_Левитт'!$L$4:$L$81),"")</f>
        <v>3.8036363636363641</v>
      </c>
      <c r="M5" s="1"/>
      <c r="N5" s="1"/>
    </row>
    <row r="6" spans="1:14" ht="14.25">
      <c r="A6" s="6" t="s">
        <v>319</v>
      </c>
      <c r="B6" s="22">
        <f>COUNTIF('03_Левитт'!$E$4:$E$81,"?*")</f>
        <v>78</v>
      </c>
      <c r="C6" s="11" t="s">
        <v>320</v>
      </c>
      <c r="D6" s="10" t="s">
        <v>321</v>
      </c>
      <c r="E6" s="1"/>
      <c r="F6" s="6" t="s">
        <v>178</v>
      </c>
      <c r="G6" s="11">
        <f>COUNTIF('04_Кано'!$E$4:$E$28,F6)</f>
        <v>5</v>
      </c>
      <c r="H6" s="24">
        <f t="shared" si="0"/>
        <v>0.2</v>
      </c>
      <c r="I6" s="1"/>
      <c r="J6" s="6" t="s">
        <v>165</v>
      </c>
      <c r="K6" s="11">
        <f>COUNTIF('03_Левитт'!$D$4:$D$81,J6)</f>
        <v>21</v>
      </c>
      <c r="L6" s="16">
        <f>IFERROR(AVERAGEIF('03_Левитт'!$D$4:$D$81,J6,'03_Левитт'!$L$4:$L$81),"")</f>
        <v>3.3095238095238093</v>
      </c>
      <c r="M6" s="1"/>
      <c r="N6" s="1"/>
    </row>
    <row r="7" spans="1:14" ht="28.5">
      <c r="A7" s="6" t="s">
        <v>322</v>
      </c>
      <c r="B7" s="22">
        <f>COUNTIF('04_Кано'!$B$4:$B$28,"?*")</f>
        <v>25</v>
      </c>
      <c r="C7" s="11" t="s">
        <v>323</v>
      </c>
      <c r="D7" s="10" t="s">
        <v>324</v>
      </c>
      <c r="E7" s="1"/>
      <c r="F7" s="6" t="s">
        <v>325</v>
      </c>
      <c r="G7" s="11">
        <f>COUNTIF('04_Кано'!$E$4:$E$28,F7)</f>
        <v>4</v>
      </c>
      <c r="H7" s="24">
        <f t="shared" si="0"/>
        <v>0.16</v>
      </c>
      <c r="I7" s="1"/>
      <c r="J7" s="6" t="s">
        <v>172</v>
      </c>
      <c r="K7" s="11">
        <f>COUNTIF('03_Левитт'!$D$4:$D$81,J7)</f>
        <v>35</v>
      </c>
      <c r="L7" s="16">
        <f>IFERROR(AVERAGEIF('03_Левитт'!$D$4:$D$81,J7,'03_Левитт'!$L$4:$L$81),"")</f>
        <v>2.371142857142857</v>
      </c>
      <c r="M7" s="1"/>
      <c r="N7" s="1"/>
    </row>
    <row r="8" spans="1:14" ht="14.25">
      <c r="A8" s="6" t="s">
        <v>326</v>
      </c>
      <c r="B8" s="22">
        <f>COUNTIF('07_Стандарт_рынка'!$I$4:$I$28,"Рыночный стандарт")</f>
        <v>3</v>
      </c>
      <c r="C8" s="11" t="s">
        <v>327</v>
      </c>
      <c r="D8" s="10" t="s">
        <v>328</v>
      </c>
      <c r="E8" s="1"/>
      <c r="F8" s="6" t="s">
        <v>329</v>
      </c>
      <c r="G8" s="11">
        <f>COUNTIF('04_Кано'!$E$4:$E$28,F8)</f>
        <v>0</v>
      </c>
      <c r="H8" s="24">
        <f t="shared" si="0"/>
        <v>0</v>
      </c>
      <c r="I8" s="1"/>
      <c r="J8" s="7" t="s">
        <v>177</v>
      </c>
      <c r="K8" s="12">
        <f>COUNTIF('03_Левитт'!$D$4:$D$81,J8)</f>
        <v>8</v>
      </c>
      <c r="L8" s="13">
        <f>IFERROR(AVERAGEIF('03_Левитт'!$D$4:$D$81,J8,'03_Левитт'!$L$4:$L$81),"")</f>
        <v>2.3112500000000002</v>
      </c>
      <c r="M8" s="1"/>
      <c r="N8" s="1"/>
    </row>
    <row r="9" spans="1:14" ht="14.25">
      <c r="A9" s="6" t="s">
        <v>330</v>
      </c>
      <c r="B9" s="22">
        <f>COUNTIF('07_Стандарт_рынка'!$I$4:$I$28,"Зона дифференциации")</f>
        <v>3</v>
      </c>
      <c r="C9" s="11" t="s">
        <v>327</v>
      </c>
      <c r="D9" s="10" t="s">
        <v>331</v>
      </c>
      <c r="E9" s="1"/>
      <c r="F9" s="7" t="s">
        <v>332</v>
      </c>
      <c r="G9" s="12">
        <f>COUNTIF('04_Кано'!$E$4:$E$28,F9)</f>
        <v>0</v>
      </c>
      <c r="H9" s="21">
        <f t="shared" si="0"/>
        <v>0</v>
      </c>
      <c r="I9" s="1"/>
      <c r="J9" s="1"/>
      <c r="K9" s="1"/>
      <c r="L9" s="1"/>
      <c r="M9" s="1"/>
      <c r="N9" s="1"/>
    </row>
    <row r="10" spans="1:14" ht="14.25">
      <c r="A10" s="7" t="s">
        <v>333</v>
      </c>
      <c r="B10" s="23">
        <f>COUNTIF('08_Преимущества'!$M$4:$M$11,"Сильное преимущество")</f>
        <v>3</v>
      </c>
      <c r="C10" s="12" t="s">
        <v>327</v>
      </c>
      <c r="D10" s="8" t="s">
        <v>334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14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4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14.25">
      <c r="A13" s="3" t="s">
        <v>335</v>
      </c>
      <c r="B13" s="3"/>
      <c r="C13" s="3"/>
      <c r="D13" s="3"/>
      <c r="E13" s="3"/>
      <c r="F13" s="3"/>
      <c r="G13" s="3"/>
      <c r="H13" s="3"/>
      <c r="I13" s="4"/>
      <c r="J13" s="5"/>
      <c r="K13" s="1"/>
      <c r="L13" s="1"/>
      <c r="M13" s="1"/>
      <c r="N13" s="1"/>
    </row>
    <row r="14" spans="1:14" ht="14.25">
      <c r="A14" s="3" t="s">
        <v>71</v>
      </c>
      <c r="B14" s="3" t="s">
        <v>72</v>
      </c>
      <c r="C14" s="3" t="s">
        <v>73</v>
      </c>
      <c r="D14" s="3" t="s">
        <v>74</v>
      </c>
      <c r="E14" s="3" t="s">
        <v>75</v>
      </c>
      <c r="F14" s="3" t="s">
        <v>76</v>
      </c>
      <c r="G14" s="3" t="s">
        <v>77</v>
      </c>
      <c r="H14" s="9" t="s">
        <v>78</v>
      </c>
      <c r="I14" s="1"/>
      <c r="J14" s="1"/>
      <c r="K14" s="1"/>
      <c r="L14" s="1"/>
      <c r="M14" s="1"/>
      <c r="N14" s="1"/>
    </row>
    <row r="15" spans="1:14" ht="14.25">
      <c r="A15" s="22">
        <f>'06_Сравнение'!E29</f>
        <v>3.62</v>
      </c>
      <c r="B15" s="22">
        <f>'06_Сравнение'!F29</f>
        <v>3.62</v>
      </c>
      <c r="C15" s="22">
        <f>'06_Сравнение'!G29</f>
        <v>3.62</v>
      </c>
      <c r="D15" s="22">
        <f>'06_Сравнение'!H29</f>
        <v>3.62</v>
      </c>
      <c r="E15" s="22">
        <f>'06_Сравнение'!I29</f>
        <v>3.62</v>
      </c>
      <c r="F15" s="22">
        <f>'06_Сравнение'!J29</f>
        <v>3.62</v>
      </c>
      <c r="G15" s="22">
        <f>'06_Сравнение'!K29</f>
        <v>3.62</v>
      </c>
      <c r="H15" s="25">
        <f>'06_Сравнение'!L29</f>
        <v>3.62</v>
      </c>
      <c r="I15" s="1"/>
      <c r="J15" s="1"/>
      <c r="K15" s="1"/>
      <c r="L15" s="1"/>
      <c r="M15" s="1"/>
      <c r="N15" s="1"/>
    </row>
    <row r="16" spans="1:14" ht="14.25">
      <c r="A16" s="7" t="str">
        <f>'06_Сравнение'!E30</f>
        <v>Сильный уровень</v>
      </c>
      <c r="B16" s="12" t="str">
        <f>'06_Сравнение'!F30</f>
        <v>Сильный уровень</v>
      </c>
      <c r="C16" s="12" t="str">
        <f>'06_Сравнение'!G30</f>
        <v>Сильный уровень</v>
      </c>
      <c r="D16" s="12" t="str">
        <f>'06_Сравнение'!H30</f>
        <v>Сильный уровень</v>
      </c>
      <c r="E16" s="12" t="str">
        <f>'06_Сравнение'!I30</f>
        <v>Сильный уровень</v>
      </c>
      <c r="F16" s="12" t="str">
        <f>'06_Сравнение'!J30</f>
        <v>Сильный уровень</v>
      </c>
      <c r="G16" s="12" t="str">
        <f>'06_Сравнение'!K30</f>
        <v>Сильный уровень</v>
      </c>
      <c r="H16" s="13" t="str">
        <f>'06_Сравнение'!L30</f>
        <v>Сильный уровень</v>
      </c>
      <c r="I16" s="1"/>
      <c r="J16" s="1"/>
      <c r="K16" s="1"/>
      <c r="L16" s="1"/>
      <c r="M16" s="1"/>
      <c r="N16" s="1"/>
    </row>
    <row r="17" spans="1:14" ht="14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4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14.25">
      <c r="A19" s="3" t="s">
        <v>336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9"/>
    </row>
    <row r="20" spans="1:14" ht="14.25">
      <c r="A20" s="14" t="s">
        <v>337</v>
      </c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5"/>
    </row>
    <row r="21" spans="1:14" ht="14.25">
      <c r="A21" s="14" t="s">
        <v>338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5"/>
    </row>
    <row r="22" spans="1:14" ht="14.25">
      <c r="A22" s="14" t="s">
        <v>339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5"/>
    </row>
    <row r="23" spans="1:14" ht="14.25">
      <c r="A23" s="14" t="s">
        <v>340</v>
      </c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5"/>
    </row>
    <row r="24" spans="1:14" ht="14.25">
      <c r="A24" s="15" t="s">
        <v>341</v>
      </c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7"/>
    </row>
  </sheetData>
  <mergeCells count="7">
    <mergeCell ref="B23:N23"/>
    <mergeCell ref="B24:N24"/>
    <mergeCell ref="A1:N1"/>
    <mergeCell ref="A2:N2"/>
    <mergeCell ref="B20:N20"/>
    <mergeCell ref="B21:N21"/>
    <mergeCell ref="B22:N22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3"/>
  <sheetViews>
    <sheetView workbookViewId="0"/>
  </sheetViews>
  <sheetFormatPr defaultRowHeight="13.5"/>
  <cols>
    <col min="1" max="1" width="20.375" customWidth="1"/>
    <col min="2" max="2" width="26.6875" customWidth="1"/>
    <col min="3" max="3" width="52.5625" customWidth="1"/>
    <col min="4" max="8" width="10.5625" customWidth="1"/>
  </cols>
  <sheetData>
    <row r="1" spans="1:8" ht="20" customHeight="1">
      <c r="A1" s="26" t="s">
        <v>342</v>
      </c>
      <c r="B1" s="26"/>
      <c r="C1" s="26"/>
      <c r="D1" s="26"/>
      <c r="E1" s="26"/>
      <c r="F1" s="26"/>
      <c r="G1" s="26"/>
      <c r="H1" s="27"/>
    </row>
    <row r="2" spans="1:8" ht="20" customHeight="1">
      <c r="A2" s="28" t="s">
        <v>343</v>
      </c>
      <c r="B2" s="28"/>
      <c r="C2" s="28"/>
      <c r="D2" s="29"/>
      <c r="E2" s="29"/>
      <c r="F2" s="29"/>
      <c r="G2" s="29"/>
      <c r="H2" s="30"/>
    </row>
    <row r="3" spans="1:8" ht="14.25">
      <c r="A3" s="3" t="s">
        <v>344</v>
      </c>
      <c r="B3" s="3" t="s">
        <v>308</v>
      </c>
      <c r="C3" s="9" t="s">
        <v>345</v>
      </c>
      <c r="D3" s="1"/>
      <c r="E3" s="1"/>
      <c r="F3" s="1"/>
      <c r="G3" s="1"/>
      <c r="H3" s="1"/>
    </row>
    <row r="4" spans="1:8" ht="14.25">
      <c r="A4" s="6" t="s">
        <v>346</v>
      </c>
      <c r="B4" s="11" t="s">
        <v>155</v>
      </c>
      <c r="C4" s="10" t="s">
        <v>347</v>
      </c>
      <c r="D4" s="1"/>
      <c r="E4" s="1"/>
      <c r="F4" s="1"/>
      <c r="G4" s="1"/>
      <c r="H4" s="1"/>
    </row>
    <row r="5" spans="1:8" ht="28.5">
      <c r="A5" s="6" t="s">
        <v>346</v>
      </c>
      <c r="B5" s="11" t="s">
        <v>161</v>
      </c>
      <c r="C5" s="10" t="s">
        <v>694</v>
      </c>
      <c r="D5" s="1"/>
      <c r="E5" s="1"/>
      <c r="F5" s="1"/>
      <c r="G5" s="1"/>
      <c r="H5" s="1"/>
    </row>
    <row r="6" spans="1:8" ht="14.25">
      <c r="A6" s="6" t="s">
        <v>346</v>
      </c>
      <c r="B6" s="11" t="s">
        <v>165</v>
      </c>
      <c r="C6" s="10" t="s">
        <v>348</v>
      </c>
      <c r="D6" s="1"/>
      <c r="E6" s="1"/>
      <c r="F6" s="1"/>
      <c r="G6" s="1"/>
      <c r="H6" s="1"/>
    </row>
    <row r="7" spans="1:8" ht="14.25">
      <c r="A7" s="6" t="s">
        <v>346</v>
      </c>
      <c r="B7" s="11" t="s">
        <v>172</v>
      </c>
      <c r="C7" s="10" t="s">
        <v>349</v>
      </c>
      <c r="D7" s="1"/>
      <c r="E7" s="1"/>
      <c r="F7" s="1"/>
      <c r="G7" s="1"/>
      <c r="H7" s="1"/>
    </row>
    <row r="8" spans="1:8" ht="28.5">
      <c r="A8" s="6" t="s">
        <v>346</v>
      </c>
      <c r="B8" s="11" t="s">
        <v>177</v>
      </c>
      <c r="C8" s="10" t="s">
        <v>350</v>
      </c>
      <c r="D8" s="1"/>
      <c r="E8" s="1"/>
      <c r="F8" s="1"/>
      <c r="G8" s="1"/>
      <c r="H8" s="1"/>
    </row>
    <row r="9" spans="1:8" ht="28.5">
      <c r="A9" s="6" t="s">
        <v>351</v>
      </c>
      <c r="B9" s="11" t="s">
        <v>162</v>
      </c>
      <c r="C9" s="10" t="s">
        <v>352</v>
      </c>
      <c r="D9" s="1"/>
      <c r="E9" s="1"/>
      <c r="F9" s="1"/>
      <c r="G9" s="1"/>
      <c r="H9" s="1"/>
    </row>
    <row r="10" spans="1:8" ht="28.5">
      <c r="A10" s="6" t="s">
        <v>351</v>
      </c>
      <c r="B10" s="11" t="s">
        <v>159</v>
      </c>
      <c r="C10" s="10" t="s">
        <v>353</v>
      </c>
      <c r="D10" s="1"/>
      <c r="E10" s="1"/>
      <c r="F10" s="1"/>
      <c r="G10" s="1"/>
      <c r="H10" s="1"/>
    </row>
    <row r="11" spans="1:8" ht="28.5">
      <c r="A11" s="6" t="s">
        <v>351</v>
      </c>
      <c r="B11" s="11" t="s">
        <v>178</v>
      </c>
      <c r="C11" s="10" t="s">
        <v>354</v>
      </c>
      <c r="D11" s="1"/>
      <c r="E11" s="1"/>
      <c r="F11" s="1"/>
      <c r="G11" s="1"/>
      <c r="H11" s="1"/>
    </row>
    <row r="12" spans="1:8" ht="14.25">
      <c r="A12" s="6" t="s">
        <v>351</v>
      </c>
      <c r="B12" s="11" t="s">
        <v>325</v>
      </c>
      <c r="C12" s="10" t="s">
        <v>355</v>
      </c>
      <c r="D12" s="1"/>
      <c r="E12" s="1"/>
      <c r="F12" s="1"/>
      <c r="G12" s="1"/>
      <c r="H12" s="1"/>
    </row>
    <row r="13" spans="1:8" ht="14.25">
      <c r="A13" s="6" t="s">
        <v>351</v>
      </c>
      <c r="B13" s="11" t="s">
        <v>329</v>
      </c>
      <c r="C13" s="10" t="s">
        <v>356</v>
      </c>
      <c r="D13" s="1"/>
      <c r="E13" s="1"/>
      <c r="F13" s="1"/>
      <c r="G13" s="1"/>
      <c r="H13" s="1"/>
    </row>
    <row r="14" spans="1:8" ht="14.25">
      <c r="A14" s="6" t="s">
        <v>351</v>
      </c>
      <c r="B14" s="11" t="s">
        <v>332</v>
      </c>
      <c r="C14" s="10" t="s">
        <v>357</v>
      </c>
      <c r="D14" s="1"/>
      <c r="E14" s="1"/>
      <c r="F14" s="1"/>
      <c r="G14" s="1"/>
      <c r="H14" s="1"/>
    </row>
    <row r="15" spans="1:8" ht="14.25">
      <c r="A15" s="6" t="s">
        <v>358</v>
      </c>
      <c r="B15" s="11" t="s">
        <v>359</v>
      </c>
      <c r="C15" s="10" t="s">
        <v>360</v>
      </c>
      <c r="D15" s="1"/>
      <c r="E15" s="1"/>
      <c r="F15" s="1"/>
      <c r="G15" s="1"/>
      <c r="H15" s="1"/>
    </row>
    <row r="16" spans="1:8" ht="14.25">
      <c r="A16" s="6" t="s">
        <v>358</v>
      </c>
      <c r="B16" s="11" t="s">
        <v>361</v>
      </c>
      <c r="C16" s="10" t="s">
        <v>362</v>
      </c>
      <c r="D16" s="1"/>
      <c r="E16" s="1"/>
      <c r="F16" s="1"/>
      <c r="G16" s="1"/>
      <c r="H16" s="1"/>
    </row>
    <row r="17" spans="1:8" ht="14.25">
      <c r="A17" s="6" t="s">
        <v>358</v>
      </c>
      <c r="B17" s="11" t="s">
        <v>363</v>
      </c>
      <c r="C17" s="10" t="s">
        <v>364</v>
      </c>
      <c r="D17" s="1"/>
      <c r="E17" s="1"/>
      <c r="F17" s="1"/>
      <c r="G17" s="1"/>
      <c r="H17" s="1"/>
    </row>
    <row r="18" spans="1:8" ht="14.25">
      <c r="A18" s="6" t="s">
        <v>358</v>
      </c>
      <c r="B18" s="11" t="s">
        <v>365</v>
      </c>
      <c r="C18" s="10" t="s">
        <v>366</v>
      </c>
      <c r="D18" s="1"/>
      <c r="E18" s="1"/>
      <c r="F18" s="1"/>
      <c r="G18" s="1"/>
      <c r="H18" s="1"/>
    </row>
    <row r="19" spans="1:8" ht="14.25">
      <c r="A19" s="6" t="s">
        <v>358</v>
      </c>
      <c r="B19" s="11" t="s">
        <v>367</v>
      </c>
      <c r="C19" s="10" t="s">
        <v>368</v>
      </c>
      <c r="D19" s="1"/>
      <c r="E19" s="1"/>
      <c r="F19" s="1"/>
      <c r="G19" s="1"/>
      <c r="H19" s="1"/>
    </row>
    <row r="20" spans="1:8" ht="14.25">
      <c r="A20" s="6" t="s">
        <v>358</v>
      </c>
      <c r="B20" s="11" t="s">
        <v>369</v>
      </c>
      <c r="C20" s="10" t="s">
        <v>370</v>
      </c>
      <c r="D20" s="1"/>
      <c r="E20" s="1"/>
      <c r="F20" s="1"/>
      <c r="G20" s="1"/>
      <c r="H20" s="1"/>
    </row>
    <row r="21" spans="1:8" ht="28.5">
      <c r="A21" s="6" t="s">
        <v>358</v>
      </c>
      <c r="B21" s="11" t="s">
        <v>371</v>
      </c>
      <c r="C21" s="10" t="s">
        <v>372</v>
      </c>
      <c r="D21" s="1"/>
      <c r="E21" s="1"/>
      <c r="F21" s="1"/>
      <c r="G21" s="1"/>
      <c r="H21" s="1"/>
    </row>
    <row r="22" spans="1:8" ht="14.25">
      <c r="A22" s="6" t="s">
        <v>358</v>
      </c>
      <c r="B22" s="11" t="s">
        <v>373</v>
      </c>
      <c r="C22" s="10" t="s">
        <v>374</v>
      </c>
      <c r="D22" s="1"/>
      <c r="E22" s="1"/>
      <c r="F22" s="1"/>
      <c r="G22" s="1"/>
      <c r="H22" s="1"/>
    </row>
    <row r="23" spans="1:8" ht="28.5">
      <c r="A23" s="7" t="s">
        <v>358</v>
      </c>
      <c r="B23" s="12" t="s">
        <v>375</v>
      </c>
      <c r="C23" s="8" t="s">
        <v>376</v>
      </c>
      <c r="D23" s="1"/>
      <c r="E23" s="1"/>
      <c r="F23" s="1"/>
      <c r="G23" s="1"/>
      <c r="H23" s="1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00_Инструкция</vt:lpstr>
      <vt:lpstr>01_Конкуренты</vt:lpstr>
      <vt:lpstr>02_Карта_сайтов</vt:lpstr>
      <vt:lpstr>03_Левитт</vt:lpstr>
      <vt:lpstr>04_Кано</vt:lpstr>
      <vt:lpstr>05_Матрица_товара</vt:lpstr>
      <vt:lpstr>06_Сравнение</vt:lpstr>
      <vt:lpstr>07_Стандарт_рынка</vt:lpstr>
      <vt:lpstr>08_Преимущества</vt:lpstr>
      <vt:lpstr>09_Дашборд</vt:lpstr>
      <vt:lpstr>99_Справочники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2026-10-06T21:28:36Z</dcterms:modified>
</cp:coreProperties>
</file>