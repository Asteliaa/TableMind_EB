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05FFD69F-CAC0-48CF-9319-2F3081D11283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M197" i="9"/>
  <c r="L197" i="9"/>
  <c r="L196" i="9"/>
  <c r="M196" i="9" s="1"/>
  <c r="L195" i="9"/>
  <c r="M195" i="9" s="1"/>
  <c r="L194" i="9"/>
  <c r="M194" i="9" s="1"/>
  <c r="L193" i="9"/>
  <c r="M193" i="9" s="1"/>
  <c r="L192" i="9"/>
  <c r="M192" i="9" s="1"/>
  <c r="L191" i="9"/>
  <c r="M191" i="9" s="1"/>
  <c r="L190" i="9"/>
  <c r="M190" i="9" s="1"/>
  <c r="L189" i="9"/>
  <c r="M189" i="9" s="1"/>
  <c r="L188" i="9"/>
  <c r="M188" i="9" s="1"/>
  <c r="L187" i="9"/>
  <c r="M187" i="9" s="1"/>
  <c r="L186" i="9"/>
  <c r="M186" i="9" s="1"/>
  <c r="L185" i="9"/>
  <c r="M185" i="9" s="1"/>
  <c r="L184" i="9"/>
  <c r="M184" i="9" s="1"/>
  <c r="L183" i="9"/>
  <c r="M183" i="9" s="1"/>
  <c r="L182" i="9"/>
  <c r="M182" i="9" s="1"/>
  <c r="L181" i="9"/>
  <c r="M181" i="9" s="1"/>
  <c r="L180" i="9"/>
  <c r="M180" i="9" s="1"/>
  <c r="L179" i="9"/>
  <c r="M179" i="9" s="1"/>
  <c r="L178" i="9"/>
  <c r="M178" i="9" s="1"/>
  <c r="L177" i="9"/>
  <c r="M177" i="9" s="1"/>
  <c r="M176" i="9"/>
  <c r="L176" i="9"/>
  <c r="L175" i="9"/>
  <c r="M175" i="9" s="1"/>
  <c r="L174" i="9"/>
  <c r="M174" i="9" s="1"/>
  <c r="L173" i="9"/>
  <c r="M173" i="9" s="1"/>
  <c r="L172" i="9"/>
  <c r="M172" i="9" s="1"/>
  <c r="L171" i="9"/>
  <c r="M171" i="9" s="1"/>
  <c r="L170" i="9"/>
  <c r="M170" i="9" s="1"/>
  <c r="M169" i="9"/>
  <c r="L169" i="9"/>
  <c r="L168" i="9"/>
  <c r="M168" i="9" s="1"/>
  <c r="L167" i="9"/>
  <c r="M167" i="9" s="1"/>
  <c r="L166" i="9"/>
  <c r="M166" i="9" s="1"/>
  <c r="M165" i="9"/>
  <c r="L165" i="9"/>
  <c r="L164" i="9"/>
  <c r="M164" i="9" s="1"/>
  <c r="L163" i="9"/>
  <c r="M163" i="9" s="1"/>
  <c r="L162" i="9"/>
  <c r="M162" i="9" s="1"/>
  <c r="L161" i="9"/>
  <c r="M161" i="9" s="1"/>
  <c r="L160" i="9"/>
  <c r="M160" i="9" s="1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M153" i="9"/>
  <c r="L153" i="9"/>
  <c r="L152" i="9"/>
  <c r="M152" i="9" s="1"/>
  <c r="L151" i="9"/>
  <c r="M151" i="9" s="1"/>
  <c r="L150" i="9"/>
  <c r="M150" i="9" s="1"/>
  <c r="L149" i="9"/>
  <c r="M149" i="9" s="1"/>
  <c r="L148" i="9"/>
  <c r="M148" i="9" s="1"/>
  <c r="L147" i="9"/>
  <c r="M147" i="9" s="1"/>
  <c r="L146" i="9"/>
  <c r="M146" i="9" s="1"/>
  <c r="L145" i="9"/>
  <c r="M145" i="9" s="1"/>
  <c r="M144" i="9"/>
  <c r="L144" i="9"/>
  <c r="L143" i="9"/>
  <c r="M143" i="9" s="1"/>
  <c r="L142" i="9"/>
  <c r="M142" i="9" s="1"/>
  <c r="L141" i="9"/>
  <c r="M141" i="9" s="1"/>
  <c r="L140" i="9"/>
  <c r="M140" i="9" s="1"/>
  <c r="L139" i="9"/>
  <c r="M139" i="9" s="1"/>
  <c r="L138" i="9"/>
  <c r="M138" i="9" s="1"/>
  <c r="M137" i="9"/>
  <c r="L137" i="9"/>
  <c r="L136" i="9"/>
  <c r="M136" i="9" s="1"/>
  <c r="L135" i="9"/>
  <c r="M135" i="9" s="1"/>
  <c r="L134" i="9"/>
  <c r="M134" i="9" s="1"/>
  <c r="L133" i="9"/>
  <c r="M133" i="9" s="1"/>
  <c r="L132" i="9"/>
  <c r="M132" i="9" s="1"/>
  <c r="L131" i="9"/>
  <c r="M131" i="9" s="1"/>
  <c r="L130" i="9"/>
  <c r="M130" i="9" s="1"/>
  <c r="L129" i="9"/>
  <c r="M129" i="9" s="1"/>
  <c r="L128" i="9"/>
  <c r="M128" i="9" s="1"/>
  <c r="L127" i="9"/>
  <c r="M127" i="9" s="1"/>
  <c r="L126" i="9"/>
  <c r="M126" i="9" s="1"/>
  <c r="L125" i="9"/>
  <c r="M125" i="9" s="1"/>
  <c r="L124" i="9"/>
  <c r="M124" i="9" s="1"/>
  <c r="L123" i="9"/>
  <c r="M123" i="9" s="1"/>
  <c r="L122" i="9"/>
  <c r="M122" i="9" s="1"/>
  <c r="M121" i="9"/>
  <c r="L121" i="9"/>
  <c r="L120" i="9"/>
  <c r="M120" i="9" s="1"/>
  <c r="L119" i="9"/>
  <c r="M119" i="9" s="1"/>
  <c r="L118" i="9"/>
  <c r="M118" i="9" s="1"/>
  <c r="L117" i="9"/>
  <c r="M117" i="9" s="1"/>
  <c r="L116" i="9"/>
  <c r="M116" i="9" s="1"/>
  <c r="L115" i="9"/>
  <c r="M115" i="9" s="1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L101" i="9"/>
  <c r="M101" i="9" s="1"/>
  <c r="L100" i="9"/>
  <c r="M100" i="9" s="1"/>
  <c r="L99" i="9"/>
  <c r="M99" i="9" s="1"/>
  <c r="L98" i="9"/>
  <c r="M98" i="9" s="1"/>
  <c r="L97" i="9"/>
  <c r="M97" i="9" s="1"/>
  <c r="L96" i="9"/>
  <c r="M96" i="9" s="1"/>
  <c r="L95" i="9"/>
  <c r="M95" i="9" s="1"/>
  <c r="L94" i="9"/>
  <c r="M94" i="9" s="1"/>
  <c r="L93" i="9"/>
  <c r="M93" i="9" s="1"/>
  <c r="L92" i="9"/>
  <c r="M92" i="9" s="1"/>
  <c r="L91" i="9"/>
  <c r="M91" i="9" s="1"/>
  <c r="L90" i="9"/>
  <c r="M90" i="9" s="1"/>
  <c r="L89" i="9"/>
  <c r="M89" i="9" s="1"/>
  <c r="L88" i="9"/>
  <c r="M88" i="9" s="1"/>
  <c r="L87" i="9"/>
  <c r="M87" i="9" s="1"/>
  <c r="L86" i="9"/>
  <c r="M86" i="9" s="1"/>
  <c r="M85" i="9"/>
  <c r="L85" i="9"/>
  <c r="L84" i="9"/>
  <c r="M84" i="9" s="1"/>
  <c r="L83" i="9"/>
  <c r="M83" i="9" s="1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L75" i="9"/>
  <c r="M75" i="9" s="1"/>
  <c r="L74" i="9"/>
  <c r="M74" i="9" s="1"/>
  <c r="L73" i="9"/>
  <c r="M73" i="9" s="1"/>
  <c r="L72" i="9"/>
  <c r="M72" i="9" s="1"/>
  <c r="L71" i="9"/>
  <c r="M71" i="9" s="1"/>
  <c r="L70" i="9"/>
  <c r="M70" i="9" s="1"/>
  <c r="M69" i="9"/>
  <c r="L69" i="9"/>
  <c r="L68" i="9"/>
  <c r="M68" i="9" s="1"/>
  <c r="L67" i="9"/>
  <c r="M67" i="9" s="1"/>
  <c r="M66" i="9"/>
  <c r="L66" i="9"/>
  <c r="L65" i="9"/>
  <c r="M65" i="9" s="1"/>
  <c r="L64" i="9"/>
  <c r="M64" i="9" s="1"/>
  <c r="L63" i="9"/>
  <c r="M63" i="9" s="1"/>
  <c r="L62" i="9"/>
  <c r="M62" i="9" s="1"/>
  <c r="L61" i="9"/>
  <c r="M61" i="9" s="1"/>
  <c r="L60" i="9"/>
  <c r="M60" i="9" s="1"/>
  <c r="L59" i="9"/>
  <c r="M59" i="9" s="1"/>
  <c r="L58" i="9"/>
  <c r="M58" i="9" s="1"/>
  <c r="L57" i="9"/>
  <c r="M57" i="9" s="1"/>
  <c r="L56" i="9"/>
  <c r="M56" i="9" s="1"/>
  <c r="L55" i="9"/>
  <c r="M55" i="9" s="1"/>
  <c r="L54" i="9"/>
  <c r="M54" i="9" s="1"/>
  <c r="L53" i="9"/>
  <c r="M53" i="9" s="1"/>
  <c r="L52" i="9"/>
  <c r="M52" i="9" s="1"/>
  <c r="L51" i="9"/>
  <c r="M51" i="9" s="1"/>
  <c r="M50" i="9"/>
  <c r="L50" i="9"/>
  <c r="L49" i="9"/>
  <c r="M49" i="9" s="1"/>
  <c r="L48" i="9"/>
  <c r="M48" i="9" s="1"/>
  <c r="L47" i="9"/>
  <c r="M47" i="9" s="1"/>
  <c r="L46" i="9"/>
  <c r="M46" i="9" s="1"/>
  <c r="L45" i="9"/>
  <c r="M45" i="9" s="1"/>
  <c r="L44" i="9"/>
  <c r="M44" i="9" s="1"/>
  <c r="L43" i="9"/>
  <c r="M43" i="9" s="1"/>
  <c r="M42" i="9"/>
  <c r="L42" i="9"/>
  <c r="L41" i="9"/>
  <c r="M41" i="9" s="1"/>
  <c r="M40" i="9"/>
  <c r="L40" i="9"/>
  <c r="L39" i="9"/>
  <c r="M39" i="9" s="1"/>
  <c r="L38" i="9"/>
  <c r="M38" i="9" s="1"/>
  <c r="L37" i="9"/>
  <c r="M37" i="9" s="1"/>
  <c r="L36" i="9"/>
  <c r="M36" i="9" s="1"/>
  <c r="L35" i="9"/>
  <c r="M35" i="9" s="1"/>
  <c r="M34" i="9"/>
  <c r="L34" i="9"/>
  <c r="L33" i="9"/>
  <c r="M33" i="9" s="1"/>
  <c r="L32" i="9"/>
  <c r="M32" i="9" s="1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M24" i="9"/>
  <c r="L24" i="9"/>
  <c r="L23" i="9"/>
  <c r="M23" i="9" s="1"/>
  <c r="L22" i="9"/>
  <c r="M22" i="9" s="1"/>
  <c r="L21" i="9"/>
  <c r="M21" i="9" s="1"/>
  <c r="L20" i="9"/>
  <c r="M20" i="9" s="1"/>
  <c r="L19" i="9"/>
  <c r="M19" i="9" s="1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G30" i="8"/>
  <c r="I30" i="8" s="1"/>
  <c r="G29" i="8"/>
  <c r="I29" i="8" s="1"/>
  <c r="G28" i="8"/>
  <c r="I28" i="8" s="1"/>
  <c r="I27" i="8"/>
  <c r="G27" i="8"/>
  <c r="I26" i="8"/>
  <c r="G26" i="8"/>
  <c r="G25" i="8"/>
  <c r="I25" i="8" s="1"/>
  <c r="G24" i="8"/>
  <c r="I24" i="8" s="1"/>
  <c r="G23" i="8"/>
  <c r="I23" i="8" s="1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I7" i="8"/>
  <c r="G7" i="8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I91" i="7" s="1"/>
  <c r="E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H30" i="5"/>
  <c r="J30" i="5" s="1"/>
  <c r="H29" i="5"/>
  <c r="J29" i="5" s="1"/>
  <c r="H28" i="5"/>
  <c r="J28" i="5" s="1"/>
  <c r="J27" i="5"/>
  <c r="H27" i="5"/>
  <c r="J26" i="5"/>
  <c r="H26" i="5"/>
  <c r="H25" i="5"/>
  <c r="J25" i="5" s="1"/>
  <c r="H24" i="5"/>
  <c r="J24" i="5" s="1"/>
  <c r="H23" i="5"/>
  <c r="J23" i="5" s="1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M305" i="4"/>
  <c r="L305" i="4"/>
  <c r="L304" i="4"/>
  <c r="M304" i="4" s="1"/>
  <c r="L303" i="4"/>
  <c r="M303" i="4" s="1"/>
  <c r="M302" i="4"/>
  <c r="L302" i="4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M277" i="4"/>
  <c r="L277" i="4"/>
  <c r="L276" i="4"/>
  <c r="M276" i="4" s="1"/>
  <c r="L275" i="4"/>
  <c r="M275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M262" i="4"/>
  <c r="L262" i="4"/>
  <c r="L261" i="4"/>
  <c r="M261" i="4" s="1"/>
  <c r="M260" i="4"/>
  <c r="L260" i="4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M253" i="4"/>
  <c r="L253" i="4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L246" i="4"/>
  <c r="M246" i="4" s="1"/>
  <c r="M245" i="4"/>
  <c r="L245" i="4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M238" i="4"/>
  <c r="L238" i="4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M229" i="4"/>
  <c r="L229" i="4"/>
  <c r="M228" i="4"/>
  <c r="L228" i="4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M213" i="4"/>
  <c r="L213" i="4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M206" i="4"/>
  <c r="L206" i="4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M197" i="4"/>
  <c r="L197" i="4"/>
  <c r="M196" i="4"/>
  <c r="L196" i="4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M189" i="4"/>
  <c r="L189" i="4"/>
  <c r="L188" i="4"/>
  <c r="M188" i="4" s="1"/>
  <c r="L187" i="4"/>
  <c r="M187" i="4" s="1"/>
  <c r="L186" i="4"/>
  <c r="M186" i="4" s="1"/>
  <c r="M185" i="4"/>
  <c r="L185" i="4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M174" i="4"/>
  <c r="L174" i="4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M165" i="4"/>
  <c r="L165" i="4"/>
  <c r="M164" i="4"/>
  <c r="L164" i="4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M157" i="4"/>
  <c r="L157" i="4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M149" i="4"/>
  <c r="L149" i="4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M142" i="4"/>
  <c r="L142" i="4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M133" i="4"/>
  <c r="L133" i="4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M121" i="4"/>
  <c r="L121" i="4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M94" i="4"/>
  <c r="L94" i="4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M38" i="4"/>
  <c r="L38" i="4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J91" i="7" l="1"/>
  <c r="F17" i="10" s="1"/>
  <c r="A16" i="10"/>
  <c r="H6" i="10"/>
  <c r="H5" i="10"/>
  <c r="H7" i="10"/>
  <c r="H8" i="10"/>
  <c r="H9" i="10"/>
  <c r="H10" i="10"/>
  <c r="L9" i="10"/>
  <c r="L6" i="10"/>
  <c r="L7" i="10"/>
  <c r="L8" i="10"/>
  <c r="L5" i="10"/>
  <c r="B10" i="10"/>
  <c r="B11" i="10"/>
  <c r="K91" i="7"/>
  <c r="G17" i="10" s="1"/>
  <c r="L91" i="7"/>
  <c r="H17" i="10" s="1"/>
  <c r="B9" i="10"/>
  <c r="E91" i="7"/>
  <c r="A17" i="10" s="1"/>
  <c r="F91" i="7"/>
  <c r="B17" i="10" s="1"/>
  <c r="G91" i="7"/>
  <c r="C17" i="10" s="1"/>
  <c r="H91" i="7"/>
  <c r="D17" i="10" s="1"/>
</calcChain>
</file>

<file path=xl/sharedStrings.xml><?xml version="1.0" encoding="utf-8"?>
<sst xmlns="http://schemas.openxmlformats.org/spreadsheetml/2006/main" count="2306" uniqueCount="1322">
  <si>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</si>
  <si>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</si>
  <si>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</si>
  <si>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</si>
  <si>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</si>
  <si>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</si>
  <si>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</si>
  <si>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</si>
  <si>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</si>
  <si>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</si>
  <si>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</si>
  <si>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</si>
  <si>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</si>
  <si>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</si>
  <si>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</si>
  <si>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</si>
  <si>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</si>
  <si>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</si>
  <si>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</si>
  <si>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</si>
  <si>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</si>
  <si>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</si>
  <si>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</si>
  <si>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</si>
  <si>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</si>
  <si>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</si>
  <si>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</si>
  <si>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</si>
  <si>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</si>
  <si>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</si>
  <si>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</si>
  <si>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</si>
  <si>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</si>
  <si>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</si>
  <si>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</si>
  <si>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</si>
  <si>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</si>
  <si>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</si>
  <si>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</si>
  <si>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</si>
  <si>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</si>
  <si>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</si>
  <si>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</si>
  <si>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</si>
  <si>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</si>
  <si>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</si>
  <si>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</si>
  <si>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</si>
  <si>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</si>
  <si>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</si>
  <si>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</si>
  <si>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</si>
  <si>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</si>
  <si>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</si>
  <si>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</si>
  <si>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</si>
  <si>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</si>
  <si>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</si>
  <si>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</si>
  <si>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</si>
  <si>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</si>
  <si>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</si>
  <si>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</si>
  <si>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</si>
  <si>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</si>
  <si>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</si>
  <si>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</si>
  <si>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</si>
  <si>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</si>
  <si>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</si>
  <si>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</si>
  <si>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</si>
  <si>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</si>
  <si>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</si>
  <si>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</si>
  <si>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</si>
  <si>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</si>
  <si>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</si>
  <si>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</si>
  <si>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</si>
  <si>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</si>
  <si>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</si>
  <si>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</si>
  <si>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</si>
  <si>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</si>
  <si>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</si>
  <si>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</si>
  <si>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</si>
  <si>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</si>
  <si>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</si>
  <si>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</si>
  <si>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</si>
  <si>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</si>
  <si>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</si>
  <si>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</si>
  <si>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</si>
  <si>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</si>
  <si>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</si>
  <si>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</si>
  <si>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</si>
  <si>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</si>
  <si>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</si>
  <si>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</si>
  <si>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</si>
  <si>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</si>
  <si>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</si>
  <si>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</si>
  <si>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</si>
  <si>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</si>
  <si>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</si>
  <si>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</si>
  <si>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</si>
  <si>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</si>
  <si>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</si>
  <si>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</si>
  <si>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</si>
  <si>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</si>
  <si>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</si>
  <si>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</si>
  <si>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</si>
  <si>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</si>
  <si>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</si>
  <si>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</si>
  <si>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</si>
  <si>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</si>
  <si>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</si>
  <si>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</si>
  <si>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</si>
  <si>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</si>
  <si>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</si>
  <si>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</si>
  <si>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</si>
  <si>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</si>
  <si>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</si>
  <si>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</si>
  <si>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</si>
  <si>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</si>
  <si>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</si>
  <si>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</si>
  <si>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</si>
  <si>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</si>
  <si>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</si>
  <si>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</si>
  <si>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</si>
  <si>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</si>
  <si>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</si>
  <si>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</si>
  <si>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</si>
  <si>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</si>
  <si>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</si>
  <si>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</si>
  <si>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</si>
  <si>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</si>
  <si>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</si>
  <si>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</si>
  <si>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</si>
  <si>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</si>
  <si>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</si>
  <si>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</si>
  <si>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</si>
  <si>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</si>
  <si>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</si>
  <si>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</si>
  <si>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</si>
  <si>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</si>
  <si>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</si>
  <si>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</si>
  <si>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</si>
  <si>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</si>
  <si>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</si>
  <si>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</si>
  <si>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</si>
  <si>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</si>
  <si>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</si>
  <si>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</si>
  <si>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</si>
  <si>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</si>
  <si>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</si>
  <si>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</si>
  <si>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</si>
  <si>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</si>
  <si>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</si>
  <si>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</si>
  <si>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</si>
  <si>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</si>
  <si>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</si>
  <si>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</si>
  <si>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</si>
  <si>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</si>
  <si>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</si>
  <si>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</si>
  <si>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</si>
  <si>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</si>
  <si>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</si>
  <si>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</si>
  <si>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</si>
  <si>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</si>
  <si>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</si>
  <si>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</si>
  <si>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</si>
  <si>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</si>
  <si>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</si>
  <si>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</si>
  <si>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</si>
  <si>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</si>
  <si>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</si>
  <si>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</si>
  <si>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</si>
  <si>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</si>
  <si>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</si>
  <si>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</si>
  <si>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</si>
  <si>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</si>
  <si>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</si>
  <si>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</si>
  <si>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</si>
  <si>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</si>
  <si>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</si>
  <si>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</si>
  <si>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</si>
  <si>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</si>
  <si>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</si>
  <si>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</si>
  <si>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</si>
  <si>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</si>
  <si>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</si>
  <si>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</si>
  <si>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</si>
  <si>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</si>
  <si>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</si>
  <si>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</si>
  <si>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</si>
  <si>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</si>
  <si>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</si>
  <si>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</si>
  <si>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</si>
  <si>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</si>
  <si>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</si>
  <si>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</si>
  <si>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</si>
  <si>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</si>
  <si>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</si>
  <si>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</si>
  <si>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</si>
  <si>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</si>
  <si>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</si>
  <si>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</si>
  <si>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</si>
  <si>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</si>
  <si>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</si>
  <si>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</si>
  <si>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</si>
  <si>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</si>
  <si>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</si>
  <si>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</si>
  <si>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</si>
  <si>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</si>
  <si>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</si>
  <si>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</si>
  <si>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</si>
  <si>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</si>
  <si>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</si>
  <si>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</si>
  <si>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</si>
  <si>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</si>
  <si>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</si>
  <si>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</si>
  <si>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</si>
  <si>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</si>
  <si>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</si>
  <si>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</si>
  <si>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</si>
  <si>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</si>
  <si>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</si>
  <si>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</si>
  <si>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</si>
  <si>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</si>
  <si>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</si>
  <si>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</si>
  <si>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</si>
  <si>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</si>
  <si>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</si>
  <si>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</si>
  <si>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</si>
  <si>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</si>
  <si>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</si>
  <si>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</si>
  <si>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</si>
  <si>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</si>
  <si>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</si>
  <si>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</si>
  <si>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</si>
  <si>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</si>
  <si>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</si>
  <si>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</si>
  <si>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</si>
  <si>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</si>
  <si>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</si>
  <si>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</si>
  <si>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</si>
  <si>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</si>
  <si>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</si>
  <si>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</si>
  <si>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</si>
  <si>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</si>
  <si>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</si>
  <si>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</si>
  <si>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</si>
  <si>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</si>
  <si>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</si>
  <si>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</si>
  <si>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</si>
  <si>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</si>
  <si>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</si>
  <si>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</si>
  <si>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</si>
  <si>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</si>
  <si>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</si>
  <si>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</si>
  <si>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</si>
  <si>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</si>
  <si>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</si>
  <si>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</si>
  <si>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</si>
  <si>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</si>
  <si>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</si>
  <si>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</si>
  <si>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</si>
  <si>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</si>
  <si>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</si>
  <si>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</si>
  <si>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</si>
  <si>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</si>
  <si>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</si>
  <si>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</si>
  <si>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</si>
  <si>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</si>
  <si>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</si>
  <si>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</si>
  <si>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</si>
  <si>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</si>
  <si>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</si>
  <si>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</si>
  <si>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</si>
  <si>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</si>
  <si>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</si>
  <si>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</si>
  <si>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</si>
  <si>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</si>
  <si>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</si>
  <si>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</si>
  <si>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</si>
  <si>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</si>
  <si>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</si>
  <si>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</si>
  <si>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</si>
  <si>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</si>
  <si>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</si>
  <si>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</si>
  <si>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</si>
  <si>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</si>
  <si>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</si>
  <si>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</si>
  <si>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</si>
  <si>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</si>
  <si>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</si>
  <si>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</si>
  <si>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</si>
  <si>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</si>
  <si>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</si>
  <si>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</si>
  <si>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</si>
  <si>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</si>
  <si>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</si>
  <si>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</si>
  <si>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</si>
  <si>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</si>
  <si>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</si>
  <si>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</si>
  <si>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</si>
  <si>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</si>
  <si>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</si>
  <si>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</si>
  <si>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</si>
  <si>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</si>
  <si>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</si>
  <si>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</si>
  <si>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</si>
  <si>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</si>
  <si>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</si>
  <si>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</si>
  <si>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</si>
  <si>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</si>
  <si>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</si>
  <si>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</si>
  <si>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</si>
  <si>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</si>
  <si>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</si>
  <si>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</si>
  <si>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</si>
  <si>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</si>
  <si>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</si>
  <si>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</si>
  <si>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</si>
  <si>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</si>
  <si>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</si>
  <si>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</si>
  <si>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</si>
  <si>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</si>
  <si>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</si>
  <si>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</si>
  <si>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</si>
  <si>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</si>
  <si>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</si>
  <si>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</si>
  <si>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</si>
  <si>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</si>
  <si>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</si>
  <si>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</si>
  <si>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</si>
  <si>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</si>
  <si>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</si>
  <si>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</si>
  <si>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</si>
  <si>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</si>
  <si>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</si>
  <si>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</si>
  <si>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</si>
  <si>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</si>
  <si>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</si>
  <si>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</si>
  <si>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</si>
  <si>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</si>
  <si>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</si>
  <si>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</si>
  <si>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</si>
  <si>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</si>
  <si>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</si>
  <si>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</si>
  <si>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</si>
  <si>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</si>
  <si>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</si>
  <si>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</si>
  <si>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</si>
  <si>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</si>
  <si>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</si>
  <si>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</si>
  <si>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</si>
  <si>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</si>
  <si>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</si>
  <si>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</si>
  <si>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</si>
  <si>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</si>
  <si>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</si>
  <si>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</si>
  <si>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</si>
  <si>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</si>
  <si>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</si>
  <si>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</si>
  <si>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</si>
  <si>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</si>
  <si>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</si>
  <si>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</si>
  <si>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</si>
  <si>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</si>
  <si>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</si>
  <si>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</si>
  <si>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</si>
  <si>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</si>
  <si>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</si>
  <si>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</si>
  <si>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</si>
  <si>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</si>
  <si>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</si>
  <si>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</si>
  <si>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</si>
  <si>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</si>
  <si>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</si>
  <si>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</si>
  <si>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</si>
  <si>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</si>
  <si>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</si>
  <si>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</si>
  <si>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</si>
  <si>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</si>
  <si>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</si>
  <si>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</si>
  <si>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</si>
  <si>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</si>
  <si>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</si>
  <si>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</si>
  <si>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</si>
  <si>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</si>
  <si>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</si>
  <si>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</si>
  <si>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</si>
  <si>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</si>
  <si>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</si>
  <si>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</si>
  <si>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</si>
  <si>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</si>
  <si>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</si>
  <si>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</si>
  <si>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</si>
  <si>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</si>
  <si>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</si>
  <si>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</si>
  <si>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</si>
  <si>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</si>
  <si>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</si>
  <si>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</si>
  <si>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</si>
  <si>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</si>
  <si>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</si>
  <si>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</si>
  <si>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</si>
  <si>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</si>
  <si>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</si>
  <si>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</si>
  <si>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</si>
  <si>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</si>
  <si>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</si>
  <si>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</si>
  <si>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</si>
  <si>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</si>
  <si>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</si>
  <si>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</si>
  <si>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</si>
  <si>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</si>
  <si>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</si>
  <si>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</si>
  <si>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</si>
  <si>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</si>
  <si>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</si>
  <si>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</si>
  <si>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</si>
  <si>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</si>
  <si>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</si>
  <si>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</si>
  <si>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</si>
  <si>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</si>
  <si>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</si>
  <si>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</si>
  <si>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</si>
  <si>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</si>
  <si>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</si>
  <si>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</si>
  <si>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</si>
  <si>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</si>
  <si>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</si>
  <si>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</si>
  <si>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</si>
  <si>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</si>
  <si>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</si>
  <si>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</si>
  <si>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</si>
  <si>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</si>
  <si>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</si>
  <si>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</si>
  <si>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</si>
  <si>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</si>
  <si>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</si>
  <si>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</si>
  <si>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</si>
  <si>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</si>
  <si>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</si>
  <si>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</si>
  <si>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</si>
  <si>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</si>
  <si>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</si>
  <si>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</si>
  <si>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</si>
  <si>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</si>
  <si>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</si>
  <si>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</si>
  <si>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</si>
  <si>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</si>
  <si>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</si>
  <si>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</si>
  <si>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</si>
  <si>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</si>
  <si>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</si>
  <si>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</si>
  <si>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</si>
  <si>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</si>
  <si>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</si>
  <si>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</si>
  <si>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</si>
  <si>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</si>
  <si>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</si>
  <si>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</si>
  <si>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</si>
  <si>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</si>
  <si>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</si>
  <si>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</si>
  <si>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</si>
  <si>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</si>
  <si>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</si>
  <si>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</si>
  <si>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</si>
  <si>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</si>
  <si>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</si>
  <si>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</si>
  <si>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</si>
  <si>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</si>
  <si>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</si>
  <si>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</si>
  <si>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</si>
  <si>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</si>
  <si>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</si>
  <si>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</si>
  <si>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</si>
  <si>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</si>
  <si>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</si>
  <si>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</si>
  <si>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</si>
  <si>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</si>
  <si>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</si>
  <si>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</si>
  <si>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</si>
  <si>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</si>
  <si>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</si>
  <si>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</si>
  <si>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</si>
  <si>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</si>
  <si>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</si>
  <si>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</si>
  <si>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</si>
  <si>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</si>
  <si>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</si>
  <si>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</si>
  <si>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</si>
  <si>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</si>
  <si>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</si>
  <si>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</si>
  <si>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</si>
  <si>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</si>
  <si>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</si>
  <si>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</si>
  <si>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</si>
  <si>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</si>
  <si>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</si>
  <si>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</si>
  <si>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</si>
  <si>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</si>
  <si>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</si>
  <si>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</si>
  <si>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</si>
  <si>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</si>
  <si>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</si>
  <si>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</si>
  <si>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</si>
  <si>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</si>
  <si>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</si>
  <si>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</si>
  <si>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</si>
  <si>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</si>
  <si>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</si>
  <si>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</si>
  <si>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</si>
  <si>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</si>
  <si>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</si>
  <si>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</si>
  <si>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</si>
  <si>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</si>
  <si>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</si>
  <si>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</si>
  <si>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</si>
  <si>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</si>
  <si>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</si>
  <si>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</si>
  <si>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</si>
  <si>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</si>
  <si>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</si>
  <si>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</si>
  <si>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</si>
  <si>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</si>
  <si>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</si>
  <si>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</si>
  <si>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</si>
  <si>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</si>
  <si>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</si>
  <si>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</si>
  <si>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</si>
  <si>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</si>
  <si>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</si>
  <si>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</si>
  <si>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</si>
  <si>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</si>
  <si>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</si>
  <si>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</si>
  <si>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</si>
  <si>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</si>
  <si>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</si>
  <si>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</si>
  <si>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</si>
  <si>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</si>
  <si>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</si>
  <si>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</si>
  <si>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</si>
  <si>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</si>
  <si>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</si>
  <si>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</si>
  <si>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</si>
  <si>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</si>
  <si>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</si>
  <si>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</si>
  <si>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</si>
  <si>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</si>
  <si>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</si>
  <si>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</si>
  <si>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</si>
  <si>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</si>
  <si>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</si>
  <si>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</si>
  <si>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</si>
  <si>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</si>
  <si>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</si>
  <si>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</si>
  <si>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</si>
  <si>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</si>
  <si>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</si>
  <si>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</si>
  <si>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</si>
  <si>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</si>
  <si>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</si>
  <si>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</si>
  <si>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</si>
  <si>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</si>
  <si>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</si>
  <si>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</si>
  <si>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</si>
  <si>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</si>
  <si>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</si>
  <si>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</si>
  <si>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</si>
  <si>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</si>
  <si>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</si>
  <si>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</si>
  <si>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</si>
  <si>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</si>
  <si>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</si>
  <si>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</si>
  <si>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</si>
  <si>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</si>
  <si>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</si>
  <si>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</si>
  <si>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</si>
  <si>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</si>
  <si>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</si>
  <si>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</si>
  <si>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</si>
  <si>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</si>
  <si>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</si>
  <si>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</si>
  <si>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</si>
  <si>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</si>
  <si>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</si>
  <si>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</si>
  <si>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</si>
  <si>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</si>
  <si>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</si>
  <si>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</si>
  <si>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</si>
  <si>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</si>
  <si>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</si>
  <si>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</si>
  <si>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</si>
  <si>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</si>
  <si>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</si>
  <si>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</si>
  <si>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</si>
  <si>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</si>
  <si>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</si>
  <si>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</si>
  <si>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</si>
  <si>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</si>
  <si>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</si>
  <si>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</si>
  <si>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</si>
  <si>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</si>
  <si>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</si>
  <si>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</si>
  <si>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</si>
  <si>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</si>
  <si>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</si>
  <si>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</si>
  <si>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</si>
  <si>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</si>
  <si>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</si>
  <si>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</si>
  <si>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</si>
  <si>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</si>
  <si>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</si>
  <si>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</si>
  <si>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</si>
  <si>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</si>
  <si>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</si>
  <si>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</si>
  <si>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</si>
  <si>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</si>
  <si>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</si>
  <si>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</si>
  <si>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</si>
  <si>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</si>
  <si>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</si>
  <si>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</si>
  <si>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</si>
  <si>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</si>
  <si>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</si>
  <si>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</si>
  <si>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</si>
  <si>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</si>
  <si>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</si>
  <si>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</si>
  <si>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</si>
  <si>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</si>
  <si>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</si>
  <si>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</si>
  <si>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</si>
  <si>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</si>
  <si>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</si>
  <si>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</si>
  <si>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</si>
  <si>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</si>
  <si>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</si>
  <si>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</si>
  <si>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</si>
  <si>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</si>
  <si>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</si>
  <si>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</si>
  <si>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</si>
  <si>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</si>
  <si>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</si>
  <si>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</si>
  <si>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</si>
  <si>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</si>
  <si>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</si>
  <si>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</si>
  <si>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</si>
  <si>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</si>
  <si>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</si>
  <si>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</si>
  <si>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</si>
  <si>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</si>
  <si>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</si>
  <si>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</si>
  <si>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</si>
  <si>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</si>
  <si>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</si>
  <si>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</si>
  <si>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</si>
  <si>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</si>
  <si>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</si>
  <si>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</si>
  <si>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</si>
  <si>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</si>
  <si>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</si>
  <si>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</si>
  <si>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</si>
  <si>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</si>
  <si>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</si>
  <si>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</si>
  <si>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</si>
  <si>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</si>
  <si>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</si>
  <si>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</si>
  <si>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</si>
  <si>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</si>
  <si>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</si>
  <si>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</si>
  <si>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</si>
  <si>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</si>
  <si>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</si>
  <si>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</si>
  <si>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</si>
  <si>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</si>
  <si>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</si>
  <si>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</si>
  <si>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</si>
  <si>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</si>
  <si>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</si>
  <si>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</si>
  <si>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</si>
  <si>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</si>
  <si>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</si>
  <si>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</si>
  <si>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</si>
  <si>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</si>
  <si>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</si>
  <si>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</si>
  <si>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</si>
  <si>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</si>
  <si>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</si>
  <si>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</si>
  <si>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</si>
  <si>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</si>
  <si>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</si>
  <si>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</si>
  <si>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</si>
  <si>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</si>
  <si>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</si>
  <si>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</si>
  <si>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</si>
  <si>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</si>
  <si>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</si>
  <si>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</si>
  <si>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</si>
  <si>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</si>
  <si>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</si>
  <si>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</si>
  <si>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</si>
  <si>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</si>
  <si>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</si>
  <si>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</si>
  <si>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</si>
  <si>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</si>
  <si>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</si>
  <si>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</si>
  <si>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</si>
  <si>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</si>
  <si>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</si>
  <si>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</si>
  <si>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</si>
  <si>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</si>
  <si>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</si>
  <si>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</si>
  <si>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</si>
  <si>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</si>
  <si>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</si>
  <si>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</si>
  <si>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</si>
  <si>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</si>
  <si>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</si>
  <si>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</si>
  <si>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</si>
  <si>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</si>
  <si>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</si>
  <si>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</si>
  <si>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</si>
  <si>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</si>
  <si>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</si>
  <si>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</si>
  <si>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</si>
  <si>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</si>
  <si>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</si>
  <si>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</si>
  <si>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</si>
  <si>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</si>
  <si>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</si>
  <si>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</si>
  <si>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</si>
  <si>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</si>
  <si>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</si>
  <si>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</si>
  <si>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</si>
  <si>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</si>
  <si>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</si>
  <si>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</si>
  <si>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</si>
  <si>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</si>
  <si>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</si>
  <si>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</si>
  <si>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</si>
  <si>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</si>
  <si>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</si>
  <si>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</si>
  <si>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</si>
  <si>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</si>
  <si>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</si>
  <si>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</si>
  <si>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</si>
  <si>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</si>
  <si>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</si>
  <si>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</si>
  <si>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</si>
  <si>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</si>
  <si>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</si>
  <si>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</si>
  <si>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</si>
  <si>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</si>
  <si>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</si>
  <si>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</si>
  <si>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</si>
  <si>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</si>
  <si>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</si>
  <si>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</si>
  <si>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</si>
  <si>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</si>
  <si>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</si>
  <si>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</si>
  <si>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</si>
  <si>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</si>
  <si>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</si>
  <si>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</si>
  <si>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</si>
  <si>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</si>
  <si>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</si>
  <si>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</si>
  <si>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</si>
  <si>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</si>
  <si>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</si>
  <si>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</si>
  <si>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</si>
  <si>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</si>
  <si>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</si>
  <si>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</si>
  <si>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</si>
  <si>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</si>
  <si>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</si>
  <si>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</si>
  <si>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</si>
  <si>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</si>
  <si>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</si>
  <si>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</si>
  <si>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</si>
  <si>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</si>
  <si>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</si>
  <si>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</si>
  <si>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</si>
  <si>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</si>
  <si>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</si>
  <si>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</si>
  <si>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</si>
  <si>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</si>
  <si>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</si>
  <si>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</si>
  <si>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</si>
  <si>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</si>
  <si>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</si>
  <si>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</si>
  <si>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</si>
  <si>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</si>
  <si>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</si>
  <si>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</si>
  <si>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</si>
  <si>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</si>
  <si>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(2,75 GBP за пользователя в месяц, срок 12-36 месяцев)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</si>
  <si>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</si>
  <si>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</si>
  <si>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</si>
  <si>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</si>
  <si>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</si>
  <si>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</si>
  <si>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</si>
  <si>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</si>
  <si>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</si>
  <si>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</si>
  <si>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</si>
  <si>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</si>
  <si>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</si>
  <si>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</si>
  <si>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</si>
  <si>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</si>
  <si>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</si>
  <si>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</si>
  <si>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</si>
  <si>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</si>
  <si>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</si>
  <si>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</si>
  <si>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</si>
  <si>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</si>
  <si>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</si>
  <si>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</si>
  <si>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</si>
  <si>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</si>
  <si>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</si>
  <si>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</si>
  <si>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</si>
  <si>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</si>
  <si>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</si>
  <si>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</si>
  <si>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</si>
  <si>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</si>
  <si>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</si>
  <si>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</si>
  <si>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</si>
  <si>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</si>
  <si>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</si>
  <si>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</si>
  <si>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</si>
  <si>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</si>
  <si>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</si>
  <si>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</si>
  <si>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</si>
  <si>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</si>
  <si>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</si>
  <si>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</si>
  <si>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</si>
  <si>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</si>
  <si>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</si>
  <si>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</si>
  <si>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</si>
  <si>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</si>
  <si>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</si>
  <si>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</si>
  <si>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</si>
  <si>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</si>
  <si>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</si>
  <si>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</si>
  <si>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</si>
  <si>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</si>
  <si>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</si>
  <si>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</si>
  <si>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</si>
  <si>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</si>
  <si>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</si>
  <si>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</si>
  <si>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</si>
  <si>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</si>
  <si>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</si>
  <si>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</si>
  <si>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</si>
  <si>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</si>
  <si>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</si>
  <si>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</si>
  <si>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</si>
  <si>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</si>
  <si>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</si>
  <si>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</si>
  <si>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</si>
  <si>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</si>
  <si>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</si>
  <si>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</si>
  <si>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</si>
  <si>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</si>
  <si>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</si>
  <si>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</si>
  <si>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</si>
  <si>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</si>
  <si>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</si>
  <si>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</si>
  <si>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</si>
  <si>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</si>
  <si>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</si>
  <si>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</si>
  <si>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</si>
  <si>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</si>
  <si>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</si>
  <si>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</si>
  <si>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</si>
  <si>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</si>
  <si>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</si>
  <si>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</si>
  <si>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</si>
  <si>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</si>
  <si>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</si>
  <si>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</si>
  <si>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</si>
  <si>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</si>
  <si>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</si>
  <si>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</si>
  <si>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</si>
  <si>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</si>
  <si>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</si>
  <si>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</si>
  <si>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</si>
  <si>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</si>
  <si>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</si>
  <si>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</si>
  <si>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</si>
  <si>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</si>
  <si>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</si>
  <si>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</si>
  <si>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</si>
  <si>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</si>
  <si>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</si>
  <si>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</si>
  <si>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</si>
  <si>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</si>
  <si>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</si>
  <si>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</si>
  <si>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</si>
  <si>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</si>
  <si>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</si>
  <si>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</si>
  <si>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</si>
  <si>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</si>
  <si>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</si>
  <si>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</si>
  <si>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</si>
  <si>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</si>
  <si>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</si>
  <si>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</si>
  <si>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</si>
  <si>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</si>
  <si>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</si>
  <si>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</si>
  <si>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</si>
  <si>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</si>
  <si>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</si>
  <si>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</si>
  <si>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</si>
  <si>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</si>
  <si>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</si>
  <si>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</si>
  <si>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</si>
  <si>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</si>
  <si>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</si>
  <si>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</si>
  <si>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</si>
  <si>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</si>
  <si>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</si>
  <si>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</si>
  <si>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</si>
  <si>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</si>
  <si>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</si>
  <si>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</si>
  <si>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</si>
  <si>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</si>
  <si>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</si>
  <si>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</si>
  <si>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</si>
  <si>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</si>
  <si>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</si>
  <si>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</si>
  <si>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</si>
  <si>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</si>
  <si>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</si>
  <si>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</si>
  <si>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</si>
  <si>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</si>
  <si>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</si>
  <si>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</si>
  <si>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</si>
  <si>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</si>
  <si>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</si>
  <si>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</si>
  <si>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</si>
  <si>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</si>
  <si>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</si>
  <si>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>Извлечение данных из документов</t>
  </si>
  <si>
    <t>найти ошибки до отправки файла</t>
  </si>
  <si>
    <t>включить в MVP (ядро проверки)</t>
  </si>
  <si>
    <t>понять, как считается результат</t>
  </si>
  <si>
    <t>рассмотреть во втором релизе</t>
  </si>
  <si>
    <t>увидеть, что изменилось</t>
  </si>
  <si>
    <t>рассмотреть как дифференциацию после MVP</t>
  </si>
  <si>
    <t>передать результат проверки</t>
  </si>
  <si>
    <t>включить в MVP в базовой форме, экспорт - во втором релизе</t>
  </si>
  <si>
    <t>работать в привычной среде</t>
  </si>
  <si>
    <t>включить в релиз 3 (бета v1); в MVP его заменяет веб-аудит</t>
  </si>
  <si>
    <t>быстро проверить файл</t>
  </si>
  <si>
    <t>реализовано в MVP: веб-аудит без установки</t>
  </si>
  <si>
    <t>понять причину и исправление</t>
  </si>
  <si>
    <t>рассмотреть для релиза 3 после проверки спроса (AI-пояснения)</t>
  </si>
  <si>
    <t>довериться результату проверки</t>
  </si>
  <si>
    <t>включить в MVP как ядро дифференциации</t>
  </si>
  <si>
    <t>безопасно загружать файлы</t>
  </si>
  <si>
    <t>включить в MVP</t>
  </si>
  <si>
    <t>попробовать без обязательств</t>
  </si>
  <si>
    <t>включить в MVP (бесплатный тариф)</t>
  </si>
  <si>
    <t>понять цену до разговора с продавцом</t>
  </si>
  <si>
    <t>включить в MVP (страница тарифов)</t>
  </si>
  <si>
    <t>встроить проверку в процесс</t>
  </si>
  <si>
    <t>рассмотреть после проверки спроса (API)</t>
  </si>
  <si>
    <t>убедиться в надежности поставщика</t>
  </si>
  <si>
    <t>включить в MVP (примеры найденных ошибок, первые отзывы)</t>
  </si>
  <si>
    <t>освоить продукт без помощи</t>
  </si>
  <si>
    <t>включить в MVP в минимальной форме (справка)</t>
  </si>
  <si>
    <t>работать группой</t>
  </si>
  <si>
    <t>включить в релиз Team (следующий релиз)</t>
  </si>
  <si>
    <t>не править вручную</t>
  </si>
  <si>
    <t>увидеть ошибки прямо в таблице</t>
  </si>
  <si>
    <t>рассмотреть как дифференциацию</t>
  </si>
  <si>
    <t>понять общий уровень риска файла</t>
  </si>
  <si>
    <t>проверять по известным принципам моделирования</t>
  </si>
  <si>
    <t>рассмотреть как дифференциацию (шаблоны правил)</t>
  </si>
  <si>
    <t>использовать сервис вне Excel</t>
  </si>
  <si>
    <t>не делать (вне границ ПЗ1)</t>
  </si>
  <si>
    <t>получать данные из учета без выгрузки</t>
  </si>
  <si>
    <t>не делать при дефиците ресурсов</t>
  </si>
  <si>
    <t>знать, сколько хранится файл</t>
  </si>
  <si>
    <t>разграничить права пользователей</t>
  </si>
  <si>
    <t>включить в релиз Team</t>
  </si>
  <si>
    <t>проследить каждое изменение и источник</t>
  </si>
  <si>
    <t>сверить таблицу с первичными документами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</si>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</sst>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3-4BC4-9B3E-4FDAEB1E5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4-485A-BC16-F568E0248611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4-485A-BC16-F568E0248611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A4-485A-BC16-F568E0248611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A4-485A-BC16-F568E0248611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A4-485A-BC16-F568E0248611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A4-485A-BC16-F568E0248611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A4-485A-BC16-F568E0248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 ht="38.25">
      <c r="A23" s="2" t="s">
        <v>88</v>
      </c>
      <c r="B23" s="2" t="s">
        <v>1123</v>
      </c>
      <c r="C23" s="2" t="s">
        <v>1124</v>
      </c>
      <c r="D23" s="2" t="s">
        <v>1125</v>
      </c>
      <c r="E23" s="2" t="s">
        <v>1104</v>
      </c>
      <c r="F23" s="2" t="s">
        <v>1126</v>
      </c>
      <c r="G23" s="4">
        <v>46298</v>
      </c>
      <c r="H23" s="2" t="s">
        <v>1073</v>
      </c>
      <c r="I23" s="2">
        <v>5</v>
      </c>
      <c r="J23" s="2" t="s">
        <v>1127</v>
      </c>
    </row>
    <row r="24" spans="1:10" ht="25.5">
      <c r="A24" s="2" t="s">
        <v>88</v>
      </c>
      <c r="B24" s="2" t="s">
        <v>1075</v>
      </c>
      <c r="C24" s="2" t="s">
        <v>1128</v>
      </c>
      <c r="D24" s="2" t="s">
        <v>1077</v>
      </c>
      <c r="E24" s="2" t="s">
        <v>1078</v>
      </c>
      <c r="F24" s="2" t="s">
        <v>1129</v>
      </c>
      <c r="G24" s="4">
        <v>46298</v>
      </c>
      <c r="H24" s="2" t="s">
        <v>1073</v>
      </c>
      <c r="I24" s="2">
        <v>5</v>
      </c>
      <c r="J24" s="2" t="s">
        <v>1130</v>
      </c>
    </row>
    <row r="25" spans="1:10" ht="25.5">
      <c r="A25" s="2" t="s">
        <v>88</v>
      </c>
      <c r="B25" s="2" t="s">
        <v>1131</v>
      </c>
      <c r="C25" s="2" t="s">
        <v>1132</v>
      </c>
      <c r="D25" s="2" t="s">
        <v>1133</v>
      </c>
      <c r="E25" s="2" t="s">
        <v>1134</v>
      </c>
      <c r="F25" s="2" t="s">
        <v>1135</v>
      </c>
      <c r="G25" s="4">
        <v>46298</v>
      </c>
      <c r="H25" s="2" t="s">
        <v>1073</v>
      </c>
      <c r="I25" s="2">
        <v>4</v>
      </c>
      <c r="J25" s="2" t="s">
        <v>1136</v>
      </c>
    </row>
    <row r="26" spans="1:10">
      <c r="A26" s="2" t="s">
        <v>88</v>
      </c>
      <c r="B26" s="2" t="s">
        <v>1137</v>
      </c>
      <c r="C26" s="2" t="s">
        <v>1138</v>
      </c>
      <c r="D26" s="2" t="s">
        <v>1103</v>
      </c>
      <c r="E26" s="2" t="s">
        <v>1104</v>
      </c>
      <c r="F26" s="2" t="s">
        <v>1139</v>
      </c>
      <c r="G26" s="4">
        <v>46298</v>
      </c>
      <c r="H26" s="2" t="s">
        <v>1073</v>
      </c>
      <c r="I26" s="2">
        <v>5</v>
      </c>
      <c r="J26" s="2" t="s">
        <v>1140</v>
      </c>
    </row>
    <row r="27" spans="1:10" ht="25.5">
      <c r="A27" s="2" t="s">
        <v>87</v>
      </c>
      <c r="B27" s="2" t="s">
        <v>1075</v>
      </c>
      <c r="C27" s="2" t="s">
        <v>1141</v>
      </c>
      <c r="D27" s="2" t="s">
        <v>1077</v>
      </c>
      <c r="E27" s="2" t="s">
        <v>1078</v>
      </c>
      <c r="F27" s="2" t="s">
        <v>1142</v>
      </c>
      <c r="G27" s="4">
        <v>46298</v>
      </c>
      <c r="H27" s="2" t="s">
        <v>1073</v>
      </c>
      <c r="I27" s="2">
        <v>5</v>
      </c>
      <c r="J27" s="2" t="s">
        <v>1143</v>
      </c>
    </row>
    <row r="28" spans="1:10" ht="38.25">
      <c r="A28" s="2" t="s">
        <v>87</v>
      </c>
      <c r="B28" s="2" t="s">
        <v>1144</v>
      </c>
      <c r="C28" s="2" t="s">
        <v>1145</v>
      </c>
      <c r="D28" s="2" t="s">
        <v>1125</v>
      </c>
      <c r="E28" s="2" t="s">
        <v>1104</v>
      </c>
      <c r="F28" s="2" t="s">
        <v>1146</v>
      </c>
      <c r="G28" s="4">
        <v>46298</v>
      </c>
      <c r="H28" s="2" t="s">
        <v>1073</v>
      </c>
      <c r="I28" s="2">
        <v>5</v>
      </c>
      <c r="J28" s="2" t="s">
        <v>1147</v>
      </c>
    </row>
    <row r="29" spans="1:10" ht="25.5">
      <c r="A29" s="2" t="s">
        <v>87</v>
      </c>
      <c r="B29" s="2" t="s">
        <v>1131</v>
      </c>
      <c r="C29" s="2" t="s">
        <v>1148</v>
      </c>
      <c r="D29" s="2" t="s">
        <v>1133</v>
      </c>
      <c r="E29" s="2" t="s">
        <v>1134</v>
      </c>
      <c r="F29" s="2" t="s">
        <v>1149</v>
      </c>
      <c r="G29" s="4">
        <v>46298</v>
      </c>
      <c r="H29" s="2" t="s">
        <v>1073</v>
      </c>
      <c r="I29" s="2">
        <v>4</v>
      </c>
      <c r="J29" s="2" t="s">
        <v>1150</v>
      </c>
    </row>
    <row r="30" spans="1:10">
      <c r="A30" s="2" t="s">
        <v>87</v>
      </c>
      <c r="B30" s="2" t="s">
        <v>1137</v>
      </c>
      <c r="C30" s="2" t="s">
        <v>1151</v>
      </c>
      <c r="D30" s="2" t="s">
        <v>1103</v>
      </c>
      <c r="E30" s="2" t="s">
        <v>1104</v>
      </c>
      <c r="F30" s="2" t="s">
        <v>1152</v>
      </c>
      <c r="G30" s="4">
        <v>46298</v>
      </c>
      <c r="H30" s="2" t="s">
        <v>1073</v>
      </c>
      <c r="I30" s="2">
        <v>5</v>
      </c>
      <c r="J30" s="2" t="s">
        <v>1140</v>
      </c>
    </row>
    <row r="31" spans="1:10" ht="38.25">
      <c r="A31" s="2" t="s">
        <v>83</v>
      </c>
      <c r="B31" s="2" t="s">
        <v>1153</v>
      </c>
      <c r="C31" s="2" t="s">
        <v>1154</v>
      </c>
      <c r="D31" s="2" t="s">
        <v>1155</v>
      </c>
      <c r="E31" s="2" t="s">
        <v>1078</v>
      </c>
      <c r="F31" s="2" t="s">
        <v>1156</v>
      </c>
      <c r="G31" s="4">
        <v>46298</v>
      </c>
      <c r="H31" s="2" t="s">
        <v>1073</v>
      </c>
      <c r="I31" s="2">
        <v>5</v>
      </c>
      <c r="J31" s="2" t="s">
        <v>1157</v>
      </c>
    </row>
    <row r="32" spans="1:10" ht="25.5">
      <c r="A32" s="2" t="s">
        <v>84</v>
      </c>
      <c r="B32" s="2" t="s">
        <v>1158</v>
      </c>
      <c r="C32" s="2" t="s">
        <v>1159</v>
      </c>
      <c r="D32" s="2" t="s">
        <v>1077</v>
      </c>
      <c r="E32" s="2" t="s">
        <v>1078</v>
      </c>
      <c r="F32" s="2" t="s">
        <v>1160</v>
      </c>
      <c r="G32" s="4">
        <v>46298</v>
      </c>
      <c r="H32" s="2" t="s">
        <v>1073</v>
      </c>
      <c r="I32" s="2">
        <v>5</v>
      </c>
      <c r="J32" s="2" t="s">
        <v>1161</v>
      </c>
    </row>
    <row r="33" spans="1:10" ht="38.25">
      <c r="A33" s="2" t="s">
        <v>85</v>
      </c>
      <c r="B33" s="2" t="s">
        <v>1123</v>
      </c>
      <c r="C33" s="2" t="s">
        <v>1162</v>
      </c>
      <c r="D33" s="2" t="s">
        <v>1125</v>
      </c>
      <c r="E33" s="2" t="s">
        <v>1104</v>
      </c>
      <c r="F33" s="2" t="s">
        <v>1163</v>
      </c>
      <c r="G33" s="4">
        <v>46298</v>
      </c>
      <c r="H33" s="2" t="s">
        <v>1073</v>
      </c>
      <c r="I33" s="2">
        <v>5</v>
      </c>
      <c r="J33" s="2" t="s">
        <v>1164</v>
      </c>
    </row>
    <row r="34" spans="1:10" ht="25.5">
      <c r="A34" s="2" t="s">
        <v>86</v>
      </c>
      <c r="B34" s="2" t="s">
        <v>1165</v>
      </c>
      <c r="C34" s="2" t="s">
        <v>1166</v>
      </c>
      <c r="D34" s="2" t="s">
        <v>1077</v>
      </c>
      <c r="E34" s="2" t="s">
        <v>1078</v>
      </c>
      <c r="F34" s="2" t="s">
        <v>1167</v>
      </c>
      <c r="G34" s="4">
        <v>46298</v>
      </c>
      <c r="H34" s="2" t="s">
        <v>1073</v>
      </c>
      <c r="I34" s="2">
        <v>4</v>
      </c>
      <c r="J34" s="2" t="s">
        <v>1168</v>
      </c>
    </row>
    <row r="35" spans="1:10" ht="25.5">
      <c r="A35" s="2" t="s">
        <v>86</v>
      </c>
      <c r="B35" s="2" t="s">
        <v>1169</v>
      </c>
      <c r="C35" s="2" t="s">
        <v>1166</v>
      </c>
      <c r="D35" s="2" t="s">
        <v>1170</v>
      </c>
      <c r="E35" s="2" t="s">
        <v>1104</v>
      </c>
      <c r="F35" s="2" t="s">
        <v>1171</v>
      </c>
      <c r="G35" s="4">
        <v>46298</v>
      </c>
      <c r="H35" s="2" t="s">
        <v>1073</v>
      </c>
      <c r="I35" s="2">
        <v>4</v>
      </c>
      <c r="J35" s="2" t="s">
        <v>1172</v>
      </c>
    </row>
    <row r="36" spans="1:10" ht="25.5">
      <c r="A36" s="2" t="s">
        <v>86</v>
      </c>
      <c r="B36" s="2" t="s">
        <v>1173</v>
      </c>
      <c r="C36" s="2" t="s">
        <v>1174</v>
      </c>
      <c r="D36" s="2" t="s">
        <v>1103</v>
      </c>
      <c r="E36" s="2" t="s">
        <v>1104</v>
      </c>
      <c r="F36" s="2" t="s">
        <v>1175</v>
      </c>
      <c r="G36" s="4">
        <v>46298</v>
      </c>
      <c r="H36" s="2" t="s">
        <v>1073</v>
      </c>
      <c r="I36" s="2">
        <v>5</v>
      </c>
      <c r="J36" s="2" t="s">
        <v>1176</v>
      </c>
    </row>
    <row r="37" spans="1:10" ht="25.5">
      <c r="A37" s="2" t="s">
        <v>81</v>
      </c>
      <c r="B37" s="2" t="s">
        <v>1177</v>
      </c>
      <c r="C37" s="2" t="s">
        <v>1178</v>
      </c>
      <c r="D37" s="2" t="s">
        <v>1179</v>
      </c>
      <c r="E37" s="2" t="s">
        <v>1180</v>
      </c>
      <c r="F37" s="2" t="s">
        <v>1181</v>
      </c>
      <c r="G37" s="4">
        <v>46298</v>
      </c>
      <c r="H37" s="2" t="s">
        <v>1073</v>
      </c>
      <c r="I37" s="2">
        <v>5</v>
      </c>
      <c r="J37" s="2" t="s">
        <v>1182</v>
      </c>
    </row>
    <row r="38" spans="1:10" ht="25.5">
      <c r="A38" s="2" t="s">
        <v>81</v>
      </c>
      <c r="B38" s="2" t="s">
        <v>1183</v>
      </c>
      <c r="C38" s="2" t="s">
        <v>1184</v>
      </c>
      <c r="D38" s="2" t="s">
        <v>1170</v>
      </c>
      <c r="E38" s="2" t="s">
        <v>1104</v>
      </c>
      <c r="F38" s="2" t="s">
        <v>1185</v>
      </c>
      <c r="G38" s="4">
        <v>46298</v>
      </c>
      <c r="H38" s="2" t="s">
        <v>1073</v>
      </c>
      <c r="I38" s="2">
        <v>4</v>
      </c>
      <c r="J38" s="2" t="s">
        <v>1172</v>
      </c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51">
      <c r="A7" s="2" t="s">
        <v>81</v>
      </c>
      <c r="B7" s="2" t="s">
        <v>1029</v>
      </c>
      <c r="C7" s="2" t="s">
        <v>1024</v>
      </c>
      <c r="D7" s="2" t="s">
        <v>367</v>
      </c>
      <c r="E7" s="2" t="s">
        <v>1186</v>
      </c>
      <c r="F7" s="2" t="s">
        <v>1187</v>
      </c>
      <c r="G7" s="2" t="s">
        <v>1188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51">
      <c r="A8" s="2" t="s">
        <v>81</v>
      </c>
      <c r="B8" s="2" t="s">
        <v>1029</v>
      </c>
      <c r="C8" s="2" t="s">
        <v>1024</v>
      </c>
      <c r="D8" s="2" t="s">
        <v>387</v>
      </c>
      <c r="E8" s="2" t="s">
        <v>1189</v>
      </c>
      <c r="F8" s="2" t="s">
        <v>1190</v>
      </c>
      <c r="G8" s="2" t="s">
        <v>1188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51">
      <c r="A9" s="2" t="s">
        <v>81</v>
      </c>
      <c r="B9" s="2" t="s">
        <v>1029</v>
      </c>
      <c r="C9" s="2" t="s">
        <v>1024</v>
      </c>
      <c r="D9" s="2" t="s">
        <v>387</v>
      </c>
      <c r="E9" s="2" t="s">
        <v>1191</v>
      </c>
      <c r="F9" s="2" t="s">
        <v>1192</v>
      </c>
      <c r="G9" s="2" t="s">
        <v>1188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51">
      <c r="A10" s="2" t="s">
        <v>81</v>
      </c>
      <c r="B10" s="2" t="s">
        <v>1029</v>
      </c>
      <c r="C10" s="2" t="s">
        <v>1024</v>
      </c>
      <c r="D10" s="2" t="s">
        <v>378</v>
      </c>
      <c r="E10" s="2" t="s">
        <v>1193</v>
      </c>
      <c r="F10" s="2" t="s">
        <v>1194</v>
      </c>
      <c r="G10" s="2" t="s">
        <v>1188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51">
      <c r="A11" s="2" t="s">
        <v>81</v>
      </c>
      <c r="B11" s="2" t="s">
        <v>1029</v>
      </c>
      <c r="C11" s="2" t="s">
        <v>1024</v>
      </c>
      <c r="D11" s="2" t="s">
        <v>374</v>
      </c>
      <c r="E11" s="2" t="s">
        <v>1195</v>
      </c>
      <c r="F11" s="2" t="s">
        <v>1196</v>
      </c>
      <c r="G11" s="2" t="s">
        <v>1188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51">
      <c r="A12" s="2" t="s">
        <v>81</v>
      </c>
      <c r="B12" s="2" t="s">
        <v>1029</v>
      </c>
      <c r="C12" s="2" t="s">
        <v>1024</v>
      </c>
      <c r="D12" s="2" t="s">
        <v>378</v>
      </c>
      <c r="E12" s="2" t="s">
        <v>1197</v>
      </c>
      <c r="F12" s="2" t="s">
        <v>1198</v>
      </c>
      <c r="G12" s="2" t="s">
        <v>1188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51">
      <c r="A13" s="2" t="s">
        <v>81</v>
      </c>
      <c r="B13" s="2" t="s">
        <v>1029</v>
      </c>
      <c r="C13" s="2" t="s">
        <v>1024</v>
      </c>
      <c r="D13" s="2" t="s">
        <v>378</v>
      </c>
      <c r="E13" s="2" t="s">
        <v>1199</v>
      </c>
      <c r="F13" s="2" t="s">
        <v>1200</v>
      </c>
      <c r="G13" s="2" t="s">
        <v>1188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51">
      <c r="A14" s="2" t="s">
        <v>81</v>
      </c>
      <c r="B14" s="2" t="s">
        <v>1029</v>
      </c>
      <c r="C14" s="2" t="s">
        <v>1024</v>
      </c>
      <c r="D14" s="2" t="s">
        <v>378</v>
      </c>
      <c r="E14" s="2" t="s">
        <v>1201</v>
      </c>
      <c r="F14" s="2" t="s">
        <v>1202</v>
      </c>
      <c r="G14" s="2" t="s">
        <v>1188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51">
      <c r="A15" s="2" t="s">
        <v>81</v>
      </c>
      <c r="B15" s="2" t="s">
        <v>1029</v>
      </c>
      <c r="C15" s="2" t="s">
        <v>1024</v>
      </c>
      <c r="D15" s="2" t="s">
        <v>387</v>
      </c>
      <c r="E15" s="2" t="s">
        <v>1203</v>
      </c>
      <c r="F15" s="2" t="s">
        <v>1204</v>
      </c>
      <c r="G15" s="2" t="s">
        <v>1188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51">
      <c r="A16" s="2" t="s">
        <v>81</v>
      </c>
      <c r="B16" s="2" t="s">
        <v>1029</v>
      </c>
      <c r="C16" s="2" t="s">
        <v>1024</v>
      </c>
      <c r="D16" s="2" t="s">
        <v>387</v>
      </c>
      <c r="E16" s="2" t="s">
        <v>1205</v>
      </c>
      <c r="F16" s="2" t="s">
        <v>1206</v>
      </c>
      <c r="G16" s="2" t="s">
        <v>1188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51">
      <c r="A17" s="2" t="s">
        <v>81</v>
      </c>
      <c r="B17" s="2" t="s">
        <v>1029</v>
      </c>
      <c r="C17" s="2" t="s">
        <v>1024</v>
      </c>
      <c r="D17" s="2" t="s">
        <v>387</v>
      </c>
      <c r="E17" s="2" t="s">
        <v>1207</v>
      </c>
      <c r="F17" s="2" t="s">
        <v>1208</v>
      </c>
      <c r="G17" s="2" t="s">
        <v>1188</v>
      </c>
      <c r="H17" s="2">
        <v>1</v>
      </c>
      <c r="I17" s="2">
        <v>2</v>
      </c>
      <c r="J17" s="2">
        <v>3</v>
      </c>
      <c r="K17" s="2">
        <v>3</v>
      </c>
      <c r="L17" s="2">
        <f t="shared" si="0"/>
        <v>2.5</v>
      </c>
      <c r="M17" s="2" t="str">
        <f t="shared" si="1"/>
        <v>Рабочий признак</v>
      </c>
      <c r="N17" s="2"/>
    </row>
    <row r="18" spans="1:14" ht="51">
      <c r="A18" s="2" t="s">
        <v>81</v>
      </c>
      <c r="B18" s="2" t="s">
        <v>1029</v>
      </c>
      <c r="C18" s="2" t="s">
        <v>1024</v>
      </c>
      <c r="D18" s="2" t="s">
        <v>387</v>
      </c>
      <c r="E18" s="2" t="s">
        <v>1209</v>
      </c>
      <c r="F18" s="2" t="s">
        <v>1208</v>
      </c>
      <c r="G18" s="2" t="s">
        <v>1188</v>
      </c>
      <c r="H18" s="2">
        <v>1</v>
      </c>
      <c r="I18" s="2">
        <v>2</v>
      </c>
      <c r="J18" s="2">
        <v>3</v>
      </c>
      <c r="K18" s="2">
        <v>3</v>
      </c>
      <c r="L18" s="2">
        <f t="shared" si="0"/>
        <v>2.5</v>
      </c>
      <c r="M18" s="2" t="str">
        <f t="shared" si="1"/>
        <v>Рабочий признак</v>
      </c>
      <c r="N18" s="2"/>
    </row>
    <row r="19" spans="1:14" ht="51">
      <c r="A19" s="2" t="s">
        <v>81</v>
      </c>
      <c r="B19" s="2" t="s">
        <v>1029</v>
      </c>
      <c r="C19" s="2" t="s">
        <v>1024</v>
      </c>
      <c r="D19" s="2" t="s">
        <v>387</v>
      </c>
      <c r="E19" s="2" t="s">
        <v>1210</v>
      </c>
      <c r="F19" s="2" t="s">
        <v>1211</v>
      </c>
      <c r="G19" s="2" t="s">
        <v>1188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38.25">
      <c r="A20" s="2" t="s">
        <v>83</v>
      </c>
      <c r="B20" s="2" t="s">
        <v>1038</v>
      </c>
      <c r="C20" s="2" t="s">
        <v>1034</v>
      </c>
      <c r="D20" s="2" t="s">
        <v>367</v>
      </c>
      <c r="E20" s="2" t="s">
        <v>1186</v>
      </c>
      <c r="F20" s="2" t="s">
        <v>1187</v>
      </c>
      <c r="G20" s="2" t="s">
        <v>1188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38.25">
      <c r="A21" s="2" t="s">
        <v>83</v>
      </c>
      <c r="B21" s="2" t="s">
        <v>1038</v>
      </c>
      <c r="C21" s="2" t="s">
        <v>1034</v>
      </c>
      <c r="D21" s="2" t="s">
        <v>387</v>
      </c>
      <c r="E21" s="2" t="s">
        <v>1189</v>
      </c>
      <c r="F21" s="2" t="s">
        <v>1190</v>
      </c>
      <c r="G21" s="2" t="s">
        <v>1188</v>
      </c>
      <c r="H21" s="2">
        <v>1</v>
      </c>
      <c r="I21" s="2">
        <v>2</v>
      </c>
      <c r="J21" s="2">
        <v>3</v>
      </c>
      <c r="K21" s="2">
        <v>4</v>
      </c>
      <c r="L21" s="2">
        <f t="shared" si="0"/>
        <v>3.33</v>
      </c>
      <c r="M21" s="2" t="str">
        <f t="shared" si="1"/>
        <v>Рабочий признак</v>
      </c>
      <c r="N21" s="2"/>
    </row>
    <row r="22" spans="1:14" ht="38.25">
      <c r="A22" s="2" t="s">
        <v>83</v>
      </c>
      <c r="B22" s="2" t="s">
        <v>1038</v>
      </c>
      <c r="C22" s="2" t="s">
        <v>1034</v>
      </c>
      <c r="D22" s="2" t="s">
        <v>387</v>
      </c>
      <c r="E22" s="2" t="s">
        <v>1191</v>
      </c>
      <c r="F22" s="2" t="s">
        <v>1192</v>
      </c>
      <c r="G22" s="2" t="s">
        <v>1188</v>
      </c>
      <c r="H22" s="2">
        <v>1</v>
      </c>
      <c r="I22" s="2">
        <v>2</v>
      </c>
      <c r="J22" s="2">
        <v>3</v>
      </c>
      <c r="K22" s="2">
        <v>4</v>
      </c>
      <c r="L22" s="2">
        <f t="shared" si="0"/>
        <v>3.33</v>
      </c>
      <c r="M22" s="2" t="str">
        <f t="shared" si="1"/>
        <v>Рабочий признак</v>
      </c>
      <c r="N22" s="2"/>
    </row>
    <row r="23" spans="1:14" ht="38.25">
      <c r="A23" s="2" t="s">
        <v>83</v>
      </c>
      <c r="B23" s="2" t="s">
        <v>1038</v>
      </c>
      <c r="C23" s="2" t="s">
        <v>1034</v>
      </c>
      <c r="D23" s="2" t="s">
        <v>374</v>
      </c>
      <c r="E23" s="2" t="s">
        <v>1195</v>
      </c>
      <c r="F23" s="2" t="s">
        <v>1196</v>
      </c>
      <c r="G23" s="2" t="s">
        <v>1188</v>
      </c>
      <c r="H23" s="2">
        <v>1</v>
      </c>
      <c r="I23" s="2">
        <v>2</v>
      </c>
      <c r="J23" s="2">
        <v>3</v>
      </c>
      <c r="K23" s="2">
        <v>5</v>
      </c>
      <c r="L23" s="2">
        <f t="shared" si="0"/>
        <v>4.17</v>
      </c>
      <c r="M23" s="2" t="str">
        <f t="shared" si="1"/>
        <v>Сильный признак</v>
      </c>
      <c r="N23" s="2"/>
    </row>
    <row r="24" spans="1:14" ht="38.25">
      <c r="A24" s="2" t="s">
        <v>83</v>
      </c>
      <c r="B24" s="2" t="s">
        <v>1038</v>
      </c>
      <c r="C24" s="2" t="s">
        <v>1034</v>
      </c>
      <c r="D24" s="2" t="s">
        <v>387</v>
      </c>
      <c r="E24" s="2" t="s">
        <v>1203</v>
      </c>
      <c r="F24" s="2" t="s">
        <v>1204</v>
      </c>
      <c r="G24" s="2" t="s">
        <v>1188</v>
      </c>
      <c r="H24" s="2">
        <v>1</v>
      </c>
      <c r="I24" s="2">
        <v>1</v>
      </c>
      <c r="J24" s="2">
        <v>2</v>
      </c>
      <c r="K24" s="2">
        <v>2</v>
      </c>
      <c r="L24" s="2">
        <f t="shared" si="0"/>
        <v>1</v>
      </c>
      <c r="M24" s="2" t="str">
        <f t="shared" si="1"/>
        <v>Слабый признак</v>
      </c>
      <c r="N24" s="2"/>
    </row>
    <row r="25" spans="1:14" ht="38.25">
      <c r="A25" s="2" t="s">
        <v>83</v>
      </c>
      <c r="B25" s="2" t="s">
        <v>1038</v>
      </c>
      <c r="C25" s="2" t="s">
        <v>1034</v>
      </c>
      <c r="D25" s="2" t="s">
        <v>387</v>
      </c>
      <c r="E25" s="2" t="s">
        <v>1207</v>
      </c>
      <c r="F25" s="2" t="s">
        <v>1208</v>
      </c>
      <c r="G25" s="2" t="s">
        <v>1188</v>
      </c>
      <c r="H25" s="2">
        <v>1</v>
      </c>
      <c r="I25" s="2">
        <v>2</v>
      </c>
      <c r="J25" s="2">
        <v>3</v>
      </c>
      <c r="K25" s="2">
        <v>3</v>
      </c>
      <c r="L25" s="2">
        <f t="shared" si="0"/>
        <v>2.5</v>
      </c>
      <c r="M25" s="2" t="str">
        <f t="shared" si="1"/>
        <v>Рабочий признак</v>
      </c>
      <c r="N25" s="2"/>
    </row>
    <row r="26" spans="1:14" ht="38.25">
      <c r="A26" s="2" t="s">
        <v>84</v>
      </c>
      <c r="B26" s="2" t="s">
        <v>1044</v>
      </c>
      <c r="C26" s="2" t="s">
        <v>1040</v>
      </c>
      <c r="D26" s="2" t="s">
        <v>367</v>
      </c>
      <c r="E26" s="2" t="s">
        <v>1186</v>
      </c>
      <c r="F26" s="2" t="s">
        <v>1187</v>
      </c>
      <c r="G26" s="2" t="s">
        <v>1188</v>
      </c>
      <c r="H26" s="2">
        <v>1</v>
      </c>
      <c r="I26" s="2">
        <v>2</v>
      </c>
      <c r="J26" s="2">
        <v>3</v>
      </c>
      <c r="K26" s="2">
        <v>5</v>
      </c>
      <c r="L26" s="2">
        <f t="shared" si="0"/>
        <v>4.17</v>
      </c>
      <c r="M26" s="2" t="str">
        <f t="shared" si="1"/>
        <v>Сильный признак</v>
      </c>
      <c r="N26" s="2"/>
    </row>
    <row r="27" spans="1:14" ht="38.25">
      <c r="A27" s="2" t="s">
        <v>84</v>
      </c>
      <c r="B27" s="2" t="s">
        <v>1044</v>
      </c>
      <c r="C27" s="2" t="s">
        <v>1040</v>
      </c>
      <c r="D27" s="2" t="s">
        <v>387</v>
      </c>
      <c r="E27" s="2" t="s">
        <v>1189</v>
      </c>
      <c r="F27" s="2" t="s">
        <v>1190</v>
      </c>
      <c r="G27" s="2" t="s">
        <v>1188</v>
      </c>
      <c r="H27" s="2">
        <v>1</v>
      </c>
      <c r="I27" s="2">
        <v>2</v>
      </c>
      <c r="J27" s="2">
        <v>3</v>
      </c>
      <c r="K27" s="2">
        <v>4</v>
      </c>
      <c r="L27" s="2">
        <f t="shared" si="0"/>
        <v>3.33</v>
      </c>
      <c r="M27" s="2" t="str">
        <f t="shared" si="1"/>
        <v>Рабочий признак</v>
      </c>
      <c r="N27" s="2"/>
    </row>
    <row r="28" spans="1:14" ht="38.25">
      <c r="A28" s="2" t="s">
        <v>84</v>
      </c>
      <c r="B28" s="2" t="s">
        <v>1044</v>
      </c>
      <c r="C28" s="2" t="s">
        <v>1040</v>
      </c>
      <c r="D28" s="2" t="s">
        <v>378</v>
      </c>
      <c r="E28" s="2" t="s">
        <v>1193</v>
      </c>
      <c r="F28" s="2" t="s">
        <v>1194</v>
      </c>
      <c r="G28" s="2" t="s">
        <v>1188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38.25">
      <c r="A29" s="2" t="s">
        <v>84</v>
      </c>
      <c r="B29" s="2" t="s">
        <v>1044</v>
      </c>
      <c r="C29" s="2" t="s">
        <v>1040</v>
      </c>
      <c r="D29" s="2" t="s">
        <v>374</v>
      </c>
      <c r="E29" s="2" t="s">
        <v>1195</v>
      </c>
      <c r="F29" s="2" t="s">
        <v>1196</v>
      </c>
      <c r="G29" s="2" t="s">
        <v>1188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38.25">
      <c r="A30" s="2" t="s">
        <v>84</v>
      </c>
      <c r="B30" s="2" t="s">
        <v>1044</v>
      </c>
      <c r="C30" s="2" t="s">
        <v>1040</v>
      </c>
      <c r="D30" s="2" t="s">
        <v>378</v>
      </c>
      <c r="E30" s="2" t="s">
        <v>1201</v>
      </c>
      <c r="F30" s="2" t="s">
        <v>1202</v>
      </c>
      <c r="G30" s="2" t="s">
        <v>1188</v>
      </c>
      <c r="H30" s="2">
        <v>1</v>
      </c>
      <c r="I30" s="2">
        <v>2</v>
      </c>
      <c r="J30" s="2">
        <v>3</v>
      </c>
      <c r="K30" s="2">
        <v>4</v>
      </c>
      <c r="L30" s="2">
        <f t="shared" si="0"/>
        <v>3.33</v>
      </c>
      <c r="M30" s="2" t="str">
        <f t="shared" si="1"/>
        <v>Рабочий признак</v>
      </c>
      <c r="N30" s="2"/>
    </row>
    <row r="31" spans="1:14" ht="38.25">
      <c r="A31" s="2" t="s">
        <v>84</v>
      </c>
      <c r="B31" s="2" t="s">
        <v>1044</v>
      </c>
      <c r="C31" s="2" t="s">
        <v>1040</v>
      </c>
      <c r="D31" s="2" t="s">
        <v>387</v>
      </c>
      <c r="E31" s="2" t="s">
        <v>1203</v>
      </c>
      <c r="F31" s="2" t="s">
        <v>1204</v>
      </c>
      <c r="G31" s="2" t="s">
        <v>1188</v>
      </c>
      <c r="H31" s="2">
        <v>1</v>
      </c>
      <c r="I31" s="2">
        <v>2</v>
      </c>
      <c r="J31" s="2">
        <v>3</v>
      </c>
      <c r="K31" s="2">
        <v>2</v>
      </c>
      <c r="L31" s="2">
        <f t="shared" si="0"/>
        <v>1.67</v>
      </c>
      <c r="M31" s="2" t="str">
        <f t="shared" si="1"/>
        <v>Слабый признак</v>
      </c>
      <c r="N31" s="2"/>
    </row>
    <row r="32" spans="1:14" ht="38.25">
      <c r="A32" s="2" t="s">
        <v>84</v>
      </c>
      <c r="B32" s="2" t="s">
        <v>1044</v>
      </c>
      <c r="C32" s="2" t="s">
        <v>1040</v>
      </c>
      <c r="D32" s="2" t="s">
        <v>387</v>
      </c>
      <c r="E32" s="2" t="s">
        <v>1209</v>
      </c>
      <c r="F32" s="2" t="s">
        <v>1208</v>
      </c>
      <c r="G32" s="2" t="s">
        <v>1188</v>
      </c>
      <c r="H32" s="2">
        <v>1</v>
      </c>
      <c r="I32" s="2">
        <v>2</v>
      </c>
      <c r="J32" s="2">
        <v>3</v>
      </c>
      <c r="K32" s="2">
        <v>3</v>
      </c>
      <c r="L32" s="2">
        <f t="shared" si="0"/>
        <v>2.5</v>
      </c>
      <c r="M32" s="2" t="str">
        <f t="shared" si="1"/>
        <v>Рабочий признак</v>
      </c>
      <c r="N32" s="2"/>
    </row>
    <row r="33" spans="1:14" ht="38.25">
      <c r="A33" s="2" t="s">
        <v>84</v>
      </c>
      <c r="B33" s="2" t="s">
        <v>1044</v>
      </c>
      <c r="C33" s="2" t="s">
        <v>1040</v>
      </c>
      <c r="D33" s="2" t="s">
        <v>387</v>
      </c>
      <c r="E33" s="2" t="s">
        <v>1210</v>
      </c>
      <c r="F33" s="2" t="s">
        <v>1211</v>
      </c>
      <c r="G33" s="2" t="s">
        <v>1188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387</v>
      </c>
      <c r="E34" s="2" t="s">
        <v>1189</v>
      </c>
      <c r="F34" s="2" t="s">
        <v>1190</v>
      </c>
      <c r="G34" s="2" t="s">
        <v>1188</v>
      </c>
      <c r="H34" s="2">
        <v>1</v>
      </c>
      <c r="I34" s="2">
        <v>2</v>
      </c>
      <c r="J34" s="2">
        <v>3</v>
      </c>
      <c r="K34" s="2">
        <v>4</v>
      </c>
      <c r="L34" s="2">
        <f t="shared" si="0"/>
        <v>3.33</v>
      </c>
      <c r="M34" s="2" t="str">
        <f t="shared" si="1"/>
        <v>Рабочий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374</v>
      </c>
      <c r="E35" s="2" t="s">
        <v>1195</v>
      </c>
      <c r="F35" s="2" t="s">
        <v>1196</v>
      </c>
      <c r="G35" s="2" t="s">
        <v>1188</v>
      </c>
      <c r="H35" s="2">
        <v>1</v>
      </c>
      <c r="I35" s="2">
        <v>2</v>
      </c>
      <c r="J35" s="2">
        <v>3</v>
      </c>
      <c r="K35" s="2">
        <v>5</v>
      </c>
      <c r="L35" s="2">
        <f t="shared" si="0"/>
        <v>4.17</v>
      </c>
      <c r="M35" s="2" t="str">
        <f t="shared" si="1"/>
        <v>Сильный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374</v>
      </c>
      <c r="E36" s="2" t="s">
        <v>1212</v>
      </c>
      <c r="F36" s="2" t="s">
        <v>1070</v>
      </c>
      <c r="G36" s="2" t="s">
        <v>1188</v>
      </c>
      <c r="H36" s="2">
        <v>1</v>
      </c>
      <c r="I36" s="2">
        <v>2</v>
      </c>
      <c r="J36" s="2">
        <v>3</v>
      </c>
      <c r="K36" s="2">
        <v>3</v>
      </c>
      <c r="L36" s="2">
        <f t="shared" si="0"/>
        <v>2.5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1213</v>
      </c>
      <c r="F37" s="2" t="s">
        <v>1214</v>
      </c>
      <c r="G37" s="2" t="s">
        <v>1188</v>
      </c>
      <c r="H37" s="2">
        <v>1</v>
      </c>
      <c r="I37" s="2">
        <v>2</v>
      </c>
      <c r="J37" s="2">
        <v>3</v>
      </c>
      <c r="K37" s="2">
        <v>4</v>
      </c>
      <c r="L37" s="2">
        <f t="shared" si="0"/>
        <v>3.33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378</v>
      </c>
      <c r="E38" s="2" t="s">
        <v>1215</v>
      </c>
      <c r="F38" s="2" t="s">
        <v>1216</v>
      </c>
      <c r="G38" s="2" t="s">
        <v>1188</v>
      </c>
      <c r="H38" s="2">
        <v>1</v>
      </c>
      <c r="I38" s="2">
        <v>3</v>
      </c>
      <c r="J38" s="2">
        <v>3</v>
      </c>
      <c r="K38" s="2">
        <v>5</v>
      </c>
      <c r="L38" s="2">
        <f t="shared" si="0"/>
        <v>5</v>
      </c>
      <c r="M38" s="2" t="str">
        <f t="shared" si="1"/>
        <v>Сильный признак</v>
      </c>
      <c r="N38" s="2"/>
    </row>
    <row r="39" spans="1:14" ht="25.5">
      <c r="A39" s="2" t="s">
        <v>85</v>
      </c>
      <c r="B39" s="2" t="s">
        <v>1051</v>
      </c>
      <c r="C39" s="2" t="s">
        <v>1046</v>
      </c>
      <c r="D39" s="2" t="s">
        <v>378</v>
      </c>
      <c r="E39" s="2" t="s">
        <v>1197</v>
      </c>
      <c r="F39" s="2" t="s">
        <v>1198</v>
      </c>
      <c r="G39" s="2" t="s">
        <v>1188</v>
      </c>
      <c r="H39" s="2">
        <v>1</v>
      </c>
      <c r="I39" s="2">
        <v>2</v>
      </c>
      <c r="J39" s="2">
        <v>3</v>
      </c>
      <c r="K39" s="2">
        <v>4</v>
      </c>
      <c r="L39" s="2">
        <f t="shared" si="0"/>
        <v>3.33</v>
      </c>
      <c r="M39" s="2" t="str">
        <f t="shared" si="1"/>
        <v>Рабочий признак</v>
      </c>
      <c r="N39" s="2"/>
    </row>
    <row r="40" spans="1:14" ht="25.5">
      <c r="A40" s="2" t="s">
        <v>85</v>
      </c>
      <c r="B40" s="2" t="s">
        <v>1051</v>
      </c>
      <c r="C40" s="2" t="s">
        <v>1046</v>
      </c>
      <c r="D40" s="2" t="s">
        <v>378</v>
      </c>
      <c r="E40" s="2" t="s">
        <v>1199</v>
      </c>
      <c r="F40" s="2" t="s">
        <v>1200</v>
      </c>
      <c r="G40" s="2" t="s">
        <v>1188</v>
      </c>
      <c r="H40" s="2">
        <v>1</v>
      </c>
      <c r="I40" s="2">
        <v>3</v>
      </c>
      <c r="J40" s="2">
        <v>3</v>
      </c>
      <c r="K40" s="2">
        <v>4</v>
      </c>
      <c r="L40" s="2">
        <f t="shared" si="0"/>
        <v>4</v>
      </c>
      <c r="M40" s="2" t="str">
        <f t="shared" si="1"/>
        <v>Сильный признак</v>
      </c>
      <c r="N40" s="2"/>
    </row>
    <row r="41" spans="1:14" ht="25.5">
      <c r="A41" s="2" t="s">
        <v>85</v>
      </c>
      <c r="B41" s="2" t="s">
        <v>1051</v>
      </c>
      <c r="C41" s="2" t="s">
        <v>1046</v>
      </c>
      <c r="D41" s="2" t="s">
        <v>387</v>
      </c>
      <c r="E41" s="2" t="s">
        <v>1217</v>
      </c>
      <c r="F41" s="2" t="s">
        <v>1133</v>
      </c>
      <c r="G41" s="2" t="s">
        <v>1188</v>
      </c>
      <c r="H41" s="2">
        <v>1</v>
      </c>
      <c r="I41" s="2">
        <v>2</v>
      </c>
      <c r="J41" s="2">
        <v>3</v>
      </c>
      <c r="K41" s="2">
        <v>3</v>
      </c>
      <c r="L41" s="2">
        <f t="shared" si="0"/>
        <v>2.5</v>
      </c>
      <c r="M41" s="2" t="str">
        <f t="shared" si="1"/>
        <v>Рабочий признак</v>
      </c>
      <c r="N41" s="2"/>
    </row>
    <row r="42" spans="1:14" ht="25.5">
      <c r="A42" s="2" t="s">
        <v>85</v>
      </c>
      <c r="B42" s="2" t="s">
        <v>1051</v>
      </c>
      <c r="C42" s="2" t="s">
        <v>1046</v>
      </c>
      <c r="D42" s="2" t="s">
        <v>378</v>
      </c>
      <c r="E42" s="2" t="s">
        <v>1201</v>
      </c>
      <c r="F42" s="2" t="s">
        <v>1202</v>
      </c>
      <c r="G42" s="2" t="s">
        <v>1188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85</v>
      </c>
      <c r="B43" s="2" t="s">
        <v>1051</v>
      </c>
      <c r="C43" s="2" t="s">
        <v>1046</v>
      </c>
      <c r="D43" s="2" t="s">
        <v>387</v>
      </c>
      <c r="E43" s="2" t="s">
        <v>1205</v>
      </c>
      <c r="F43" s="2" t="s">
        <v>1206</v>
      </c>
      <c r="G43" s="2" t="s">
        <v>1188</v>
      </c>
      <c r="H43" s="2">
        <v>1</v>
      </c>
      <c r="I43" s="2">
        <v>2</v>
      </c>
      <c r="J43" s="2">
        <v>3</v>
      </c>
      <c r="K43" s="2">
        <v>3</v>
      </c>
      <c r="L43" s="2">
        <f t="shared" si="0"/>
        <v>2.5</v>
      </c>
      <c r="M43" s="2" t="str">
        <f t="shared" si="1"/>
        <v>Рабочий признак</v>
      </c>
      <c r="N43" s="2"/>
    </row>
    <row r="44" spans="1:14" ht="25.5">
      <c r="A44" s="2" t="s">
        <v>85</v>
      </c>
      <c r="B44" s="2" t="s">
        <v>1051</v>
      </c>
      <c r="C44" s="2" t="s">
        <v>1046</v>
      </c>
      <c r="D44" s="2" t="s">
        <v>393</v>
      </c>
      <c r="E44" s="2" t="s">
        <v>1218</v>
      </c>
      <c r="F44" s="2" t="s">
        <v>1219</v>
      </c>
      <c r="G44" s="2" t="s">
        <v>1188</v>
      </c>
      <c r="H44" s="2">
        <v>1</v>
      </c>
      <c r="I44" s="2">
        <v>2</v>
      </c>
      <c r="J44" s="2">
        <v>3</v>
      </c>
      <c r="K44" s="2">
        <v>4</v>
      </c>
      <c r="L44" s="2">
        <f t="shared" si="0"/>
        <v>3.33</v>
      </c>
      <c r="M44" s="2" t="str">
        <f t="shared" si="1"/>
        <v>Рабочий признак</v>
      </c>
      <c r="N44" s="2"/>
    </row>
    <row r="45" spans="1:14" ht="25.5">
      <c r="A45" s="2" t="s">
        <v>85</v>
      </c>
      <c r="B45" s="2" t="s">
        <v>1051</v>
      </c>
      <c r="C45" s="2" t="s">
        <v>1046</v>
      </c>
      <c r="D45" s="2" t="s">
        <v>387</v>
      </c>
      <c r="E45" s="2" t="s">
        <v>1220</v>
      </c>
      <c r="F45" s="2" t="s">
        <v>1221</v>
      </c>
      <c r="G45" s="2" t="s">
        <v>1188</v>
      </c>
      <c r="H45" s="2">
        <v>1</v>
      </c>
      <c r="I45" s="2">
        <v>2</v>
      </c>
      <c r="J45" s="2">
        <v>3</v>
      </c>
      <c r="K45" s="2">
        <v>2</v>
      </c>
      <c r="L45" s="2">
        <f t="shared" si="0"/>
        <v>1.67</v>
      </c>
      <c r="M45" s="2" t="str">
        <f t="shared" si="1"/>
        <v>Слабый признак</v>
      </c>
      <c r="N45" s="2"/>
    </row>
    <row r="46" spans="1:14" ht="25.5">
      <c r="A46" s="2" t="s">
        <v>85</v>
      </c>
      <c r="B46" s="2" t="s">
        <v>1051</v>
      </c>
      <c r="C46" s="2" t="s">
        <v>1046</v>
      </c>
      <c r="D46" s="2" t="s">
        <v>378</v>
      </c>
      <c r="E46" s="2" t="s">
        <v>1222</v>
      </c>
      <c r="F46" s="2" t="s">
        <v>1216</v>
      </c>
      <c r="G46" s="2" t="s">
        <v>1188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25.5">
      <c r="A47" s="2" t="s">
        <v>85</v>
      </c>
      <c r="B47" s="2" t="s">
        <v>1051</v>
      </c>
      <c r="C47" s="2" t="s">
        <v>1046</v>
      </c>
      <c r="D47" s="2" t="s">
        <v>387</v>
      </c>
      <c r="E47" s="2" t="s">
        <v>1223</v>
      </c>
      <c r="F47" s="2" t="s">
        <v>1224</v>
      </c>
      <c r="G47" s="2" t="s">
        <v>1188</v>
      </c>
      <c r="H47" s="2">
        <v>1</v>
      </c>
      <c r="I47" s="2">
        <v>2</v>
      </c>
      <c r="J47" s="2">
        <v>3</v>
      </c>
      <c r="K47" s="2">
        <v>3</v>
      </c>
      <c r="L47" s="2">
        <f t="shared" si="0"/>
        <v>2.5</v>
      </c>
      <c r="M47" s="2" t="str">
        <f t="shared" si="1"/>
        <v>Рабочий признак</v>
      </c>
      <c r="N47" s="2"/>
    </row>
    <row r="48" spans="1:14" ht="25.5">
      <c r="A48" s="2" t="s">
        <v>85</v>
      </c>
      <c r="B48" s="2" t="s">
        <v>1051</v>
      </c>
      <c r="C48" s="2" t="s">
        <v>1046</v>
      </c>
      <c r="D48" s="2" t="s">
        <v>393</v>
      </c>
      <c r="E48" s="2" t="s">
        <v>1225</v>
      </c>
      <c r="F48" s="2" t="s">
        <v>1226</v>
      </c>
      <c r="G48" s="2" t="s">
        <v>1188</v>
      </c>
      <c r="H48" s="2">
        <v>1</v>
      </c>
      <c r="I48" s="2">
        <v>2</v>
      </c>
      <c r="J48" s="2">
        <v>3</v>
      </c>
      <c r="K48" s="2">
        <v>4</v>
      </c>
      <c r="L48" s="2">
        <f t="shared" si="0"/>
        <v>3.33</v>
      </c>
      <c r="M48" s="2" t="str">
        <f t="shared" si="1"/>
        <v>Рабочий признак</v>
      </c>
      <c r="N48" s="2"/>
    </row>
    <row r="49" spans="1:14" ht="25.5">
      <c r="A49" s="2" t="s">
        <v>86</v>
      </c>
      <c r="B49" s="2" t="s">
        <v>1057</v>
      </c>
      <c r="C49" s="2" t="s">
        <v>1053</v>
      </c>
      <c r="D49" s="2" t="s">
        <v>374</v>
      </c>
      <c r="E49" s="2" t="s">
        <v>1195</v>
      </c>
      <c r="F49" s="2" t="s">
        <v>1196</v>
      </c>
      <c r="G49" s="2" t="s">
        <v>1188</v>
      </c>
      <c r="H49" s="2">
        <v>1</v>
      </c>
      <c r="I49" s="2">
        <v>2</v>
      </c>
      <c r="J49" s="2">
        <v>3</v>
      </c>
      <c r="K49" s="2">
        <v>5</v>
      </c>
      <c r="L49" s="2">
        <f t="shared" si="0"/>
        <v>4.17</v>
      </c>
      <c r="M49" s="2" t="str">
        <f t="shared" si="1"/>
        <v>Сильный признак</v>
      </c>
      <c r="N49" s="2"/>
    </row>
    <row r="50" spans="1:14" ht="25.5">
      <c r="A50" s="2" t="s">
        <v>86</v>
      </c>
      <c r="B50" s="2" t="s">
        <v>1057</v>
      </c>
      <c r="C50" s="2" t="s">
        <v>1053</v>
      </c>
      <c r="D50" s="2" t="s">
        <v>374</v>
      </c>
      <c r="E50" s="2" t="s">
        <v>1212</v>
      </c>
      <c r="F50" s="2" t="s">
        <v>1070</v>
      </c>
      <c r="G50" s="2" t="s">
        <v>1188</v>
      </c>
      <c r="H50" s="2">
        <v>1</v>
      </c>
      <c r="I50" s="2">
        <v>2</v>
      </c>
      <c r="J50" s="2">
        <v>3</v>
      </c>
      <c r="K50" s="2">
        <v>3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25.5">
      <c r="A51" s="2" t="s">
        <v>86</v>
      </c>
      <c r="B51" s="2" t="s">
        <v>1057</v>
      </c>
      <c r="C51" s="2" t="s">
        <v>1053</v>
      </c>
      <c r="D51" s="2" t="s">
        <v>387</v>
      </c>
      <c r="E51" s="2" t="s">
        <v>1213</v>
      </c>
      <c r="F51" s="2" t="s">
        <v>1214</v>
      </c>
      <c r="G51" s="2" t="s">
        <v>1188</v>
      </c>
      <c r="H51" s="2">
        <v>1</v>
      </c>
      <c r="I51" s="2">
        <v>2</v>
      </c>
      <c r="J51" s="2">
        <v>3</v>
      </c>
      <c r="K51" s="2">
        <v>4</v>
      </c>
      <c r="L51" s="2">
        <f t="shared" si="0"/>
        <v>3.33</v>
      </c>
      <c r="M51" s="2" t="str">
        <f t="shared" si="1"/>
        <v>Рабочий признак</v>
      </c>
      <c r="N51" s="2"/>
    </row>
    <row r="52" spans="1:14" ht="25.5">
      <c r="A52" s="2" t="s">
        <v>86</v>
      </c>
      <c r="B52" s="2" t="s">
        <v>1057</v>
      </c>
      <c r="C52" s="2" t="s">
        <v>1053</v>
      </c>
      <c r="D52" s="2" t="s">
        <v>378</v>
      </c>
      <c r="E52" s="2" t="s">
        <v>1197</v>
      </c>
      <c r="F52" s="2" t="s">
        <v>1198</v>
      </c>
      <c r="G52" s="2" t="s">
        <v>1188</v>
      </c>
      <c r="H52" s="2">
        <v>1</v>
      </c>
      <c r="I52" s="2">
        <v>2</v>
      </c>
      <c r="J52" s="2">
        <v>3</v>
      </c>
      <c r="K52" s="2">
        <v>4</v>
      </c>
      <c r="L52" s="2">
        <f t="shared" si="0"/>
        <v>3.33</v>
      </c>
      <c r="M52" s="2" t="str">
        <f t="shared" si="1"/>
        <v>Рабочий признак</v>
      </c>
      <c r="N52" s="2"/>
    </row>
    <row r="53" spans="1:14" ht="25.5">
      <c r="A53" s="2" t="s">
        <v>86</v>
      </c>
      <c r="B53" s="2" t="s">
        <v>1057</v>
      </c>
      <c r="C53" s="2" t="s">
        <v>1053</v>
      </c>
      <c r="D53" s="2" t="s">
        <v>378</v>
      </c>
      <c r="E53" s="2" t="s">
        <v>1199</v>
      </c>
      <c r="F53" s="2" t="s">
        <v>1200</v>
      </c>
      <c r="G53" s="2" t="s">
        <v>1188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25.5">
      <c r="A54" s="2" t="s">
        <v>86</v>
      </c>
      <c r="B54" s="2" t="s">
        <v>1057</v>
      </c>
      <c r="C54" s="2" t="s">
        <v>1053</v>
      </c>
      <c r="D54" s="2" t="s">
        <v>387</v>
      </c>
      <c r="E54" s="2" t="s">
        <v>1203</v>
      </c>
      <c r="F54" s="2" t="s">
        <v>1204</v>
      </c>
      <c r="G54" s="2" t="s">
        <v>1188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25.5">
      <c r="A55" s="2" t="s">
        <v>86</v>
      </c>
      <c r="B55" s="2" t="s">
        <v>1057</v>
      </c>
      <c r="C55" s="2" t="s">
        <v>1053</v>
      </c>
      <c r="D55" s="2" t="s">
        <v>387</v>
      </c>
      <c r="E55" s="2" t="s">
        <v>1205</v>
      </c>
      <c r="F55" s="2" t="s">
        <v>1206</v>
      </c>
      <c r="G55" s="2" t="s">
        <v>1188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86</v>
      </c>
      <c r="B56" s="2" t="s">
        <v>1057</v>
      </c>
      <c r="C56" s="2" t="s">
        <v>1053</v>
      </c>
      <c r="D56" s="2" t="s">
        <v>387</v>
      </c>
      <c r="E56" s="2" t="s">
        <v>1220</v>
      </c>
      <c r="F56" s="2" t="s">
        <v>1221</v>
      </c>
      <c r="G56" s="2" t="s">
        <v>1188</v>
      </c>
      <c r="H56" s="2">
        <v>1</v>
      </c>
      <c r="I56" s="2">
        <v>2</v>
      </c>
      <c r="J56" s="2">
        <v>3</v>
      </c>
      <c r="K56" s="2">
        <v>2</v>
      </c>
      <c r="L56" s="2">
        <f t="shared" si="0"/>
        <v>1.67</v>
      </c>
      <c r="M56" s="2" t="str">
        <f t="shared" si="1"/>
        <v>Слабый признак</v>
      </c>
      <c r="N56" s="2"/>
    </row>
    <row r="57" spans="1:14" ht="38.25">
      <c r="A57" s="2" t="s">
        <v>87</v>
      </c>
      <c r="B57" s="2" t="s">
        <v>1063</v>
      </c>
      <c r="C57" s="2" t="s">
        <v>1059</v>
      </c>
      <c r="D57" s="2" t="s">
        <v>378</v>
      </c>
      <c r="E57" s="2" t="s">
        <v>1193</v>
      </c>
      <c r="F57" s="2" t="s">
        <v>1194</v>
      </c>
      <c r="G57" s="2" t="s">
        <v>1188</v>
      </c>
      <c r="H57" s="2">
        <v>1</v>
      </c>
      <c r="I57" s="2">
        <v>2</v>
      </c>
      <c r="J57" s="2">
        <v>3</v>
      </c>
      <c r="K57" s="2">
        <v>4</v>
      </c>
      <c r="L57" s="2">
        <f t="shared" si="0"/>
        <v>3.33</v>
      </c>
      <c r="M57" s="2" t="str">
        <f t="shared" si="1"/>
        <v>Рабочий признак</v>
      </c>
      <c r="N57" s="2"/>
    </row>
    <row r="58" spans="1:14" ht="38.25">
      <c r="A58" s="2" t="s">
        <v>87</v>
      </c>
      <c r="B58" s="2" t="s">
        <v>1063</v>
      </c>
      <c r="C58" s="2" t="s">
        <v>1059</v>
      </c>
      <c r="D58" s="2" t="s">
        <v>374</v>
      </c>
      <c r="E58" s="2" t="s">
        <v>1195</v>
      </c>
      <c r="F58" s="2" t="s">
        <v>1196</v>
      </c>
      <c r="G58" s="2" t="s">
        <v>1188</v>
      </c>
      <c r="H58" s="2">
        <v>1</v>
      </c>
      <c r="I58" s="2">
        <v>2</v>
      </c>
      <c r="J58" s="2">
        <v>3</v>
      </c>
      <c r="K58" s="2">
        <v>5</v>
      </c>
      <c r="L58" s="2">
        <f t="shared" si="0"/>
        <v>4.17</v>
      </c>
      <c r="M58" s="2" t="str">
        <f t="shared" si="1"/>
        <v>Сильный признак</v>
      </c>
      <c r="N58" s="2"/>
    </row>
    <row r="59" spans="1:14" ht="38.25">
      <c r="A59" s="2" t="s">
        <v>87</v>
      </c>
      <c r="B59" s="2" t="s">
        <v>1063</v>
      </c>
      <c r="C59" s="2" t="s">
        <v>1059</v>
      </c>
      <c r="D59" s="2" t="s">
        <v>374</v>
      </c>
      <c r="E59" s="2" t="s">
        <v>1212</v>
      </c>
      <c r="F59" s="2" t="s">
        <v>1070</v>
      </c>
      <c r="G59" s="2" t="s">
        <v>1188</v>
      </c>
      <c r="H59" s="2">
        <v>1</v>
      </c>
      <c r="I59" s="2">
        <v>2</v>
      </c>
      <c r="J59" s="2">
        <v>3</v>
      </c>
      <c r="K59" s="2">
        <v>3</v>
      </c>
      <c r="L59" s="2">
        <f t="shared" si="0"/>
        <v>2.5</v>
      </c>
      <c r="M59" s="2" t="str">
        <f t="shared" si="1"/>
        <v>Рабочий признак</v>
      </c>
      <c r="N59" s="2"/>
    </row>
    <row r="60" spans="1:14" ht="38.25">
      <c r="A60" s="2" t="s">
        <v>87</v>
      </c>
      <c r="B60" s="2" t="s">
        <v>1063</v>
      </c>
      <c r="C60" s="2" t="s">
        <v>1059</v>
      </c>
      <c r="D60" s="2" t="s">
        <v>387</v>
      </c>
      <c r="E60" s="2" t="s">
        <v>1213</v>
      </c>
      <c r="F60" s="2" t="s">
        <v>1214</v>
      </c>
      <c r="G60" s="2" t="s">
        <v>1188</v>
      </c>
      <c r="H60" s="2">
        <v>1</v>
      </c>
      <c r="I60" s="2">
        <v>2</v>
      </c>
      <c r="J60" s="2">
        <v>3</v>
      </c>
      <c r="K60" s="2">
        <v>4</v>
      </c>
      <c r="L60" s="2">
        <f t="shared" si="0"/>
        <v>3.33</v>
      </c>
      <c r="M60" s="2" t="str">
        <f t="shared" si="1"/>
        <v>Рабочий признак</v>
      </c>
      <c r="N60" s="2"/>
    </row>
    <row r="61" spans="1:14" ht="38.25">
      <c r="A61" s="2" t="s">
        <v>87</v>
      </c>
      <c r="B61" s="2" t="s">
        <v>1063</v>
      </c>
      <c r="C61" s="2" t="s">
        <v>1059</v>
      </c>
      <c r="D61" s="2" t="s">
        <v>393</v>
      </c>
      <c r="E61" s="2" t="s">
        <v>1227</v>
      </c>
      <c r="F61" s="2" t="s">
        <v>1228</v>
      </c>
      <c r="G61" s="2" t="s">
        <v>1188</v>
      </c>
      <c r="H61" s="2">
        <v>1</v>
      </c>
      <c r="I61" s="2">
        <v>1</v>
      </c>
      <c r="J61" s="2">
        <v>2</v>
      </c>
      <c r="K61" s="2">
        <v>5</v>
      </c>
      <c r="L61" s="2">
        <f t="shared" si="0"/>
        <v>2.5</v>
      </c>
      <c r="M61" s="2" t="str">
        <f t="shared" si="1"/>
        <v>Рабочий признак</v>
      </c>
      <c r="N61" s="2"/>
    </row>
    <row r="62" spans="1:14" ht="38.25">
      <c r="A62" s="2" t="s">
        <v>87</v>
      </c>
      <c r="B62" s="2" t="s">
        <v>1063</v>
      </c>
      <c r="C62" s="2" t="s">
        <v>1059</v>
      </c>
      <c r="D62" s="2" t="s">
        <v>378</v>
      </c>
      <c r="E62" s="2" t="s">
        <v>1215</v>
      </c>
      <c r="F62" s="2" t="s">
        <v>1216</v>
      </c>
      <c r="G62" s="2" t="s">
        <v>1188</v>
      </c>
      <c r="H62" s="2">
        <v>1</v>
      </c>
      <c r="I62" s="2">
        <v>2</v>
      </c>
      <c r="J62" s="2">
        <v>3</v>
      </c>
      <c r="K62" s="2">
        <v>5</v>
      </c>
      <c r="L62" s="2">
        <f t="shared" si="0"/>
        <v>4.17</v>
      </c>
      <c r="M62" s="2" t="str">
        <f t="shared" si="1"/>
        <v>Сильный признак</v>
      </c>
      <c r="N62" s="2"/>
    </row>
    <row r="63" spans="1:14" ht="38.25">
      <c r="A63" s="2" t="s">
        <v>87</v>
      </c>
      <c r="B63" s="2" t="s">
        <v>1063</v>
      </c>
      <c r="C63" s="2" t="s">
        <v>1059</v>
      </c>
      <c r="D63" s="2" t="s">
        <v>387</v>
      </c>
      <c r="E63" s="2" t="s">
        <v>1217</v>
      </c>
      <c r="F63" s="2" t="s">
        <v>1133</v>
      </c>
      <c r="G63" s="2" t="s">
        <v>1188</v>
      </c>
      <c r="H63" s="2">
        <v>1</v>
      </c>
      <c r="I63" s="2">
        <v>3</v>
      </c>
      <c r="J63" s="2">
        <v>3</v>
      </c>
      <c r="K63" s="2">
        <v>3</v>
      </c>
      <c r="L63" s="2">
        <f t="shared" si="0"/>
        <v>3</v>
      </c>
      <c r="M63" s="2" t="str">
        <f t="shared" si="1"/>
        <v>Рабочий признак</v>
      </c>
      <c r="N63" s="2"/>
    </row>
    <row r="64" spans="1:14" ht="38.25">
      <c r="A64" s="2" t="s">
        <v>87</v>
      </c>
      <c r="B64" s="2" t="s">
        <v>1063</v>
      </c>
      <c r="C64" s="2" t="s">
        <v>1059</v>
      </c>
      <c r="D64" s="2" t="s">
        <v>378</v>
      </c>
      <c r="E64" s="2" t="s">
        <v>1201</v>
      </c>
      <c r="F64" s="2" t="s">
        <v>1202</v>
      </c>
      <c r="G64" s="2" t="s">
        <v>1188</v>
      </c>
      <c r="H64" s="2">
        <v>1</v>
      </c>
      <c r="I64" s="2">
        <v>3</v>
      </c>
      <c r="J64" s="2">
        <v>3</v>
      </c>
      <c r="K64" s="2">
        <v>4</v>
      </c>
      <c r="L64" s="2">
        <f t="shared" si="0"/>
        <v>4</v>
      </c>
      <c r="M64" s="2" t="str">
        <f t="shared" si="1"/>
        <v>Сильный признак</v>
      </c>
      <c r="N64" s="2"/>
    </row>
    <row r="65" spans="1:14" ht="38.25">
      <c r="A65" s="2" t="s">
        <v>87</v>
      </c>
      <c r="B65" s="2" t="s">
        <v>1063</v>
      </c>
      <c r="C65" s="2" t="s">
        <v>1059</v>
      </c>
      <c r="D65" s="2" t="s">
        <v>387</v>
      </c>
      <c r="E65" s="2" t="s">
        <v>1203</v>
      </c>
      <c r="F65" s="2" t="s">
        <v>1204</v>
      </c>
      <c r="G65" s="2" t="s">
        <v>1188</v>
      </c>
      <c r="H65" s="2">
        <v>1</v>
      </c>
      <c r="I65" s="2">
        <v>2</v>
      </c>
      <c r="J65" s="2">
        <v>3</v>
      </c>
      <c r="K65" s="2">
        <v>2</v>
      </c>
      <c r="L65" s="2">
        <f t="shared" si="0"/>
        <v>1.67</v>
      </c>
      <c r="M65" s="2" t="str">
        <f t="shared" si="1"/>
        <v>Слабый признак</v>
      </c>
      <c r="N65" s="2"/>
    </row>
    <row r="66" spans="1:14" ht="38.25">
      <c r="A66" s="2" t="s">
        <v>87</v>
      </c>
      <c r="B66" s="2" t="s">
        <v>1063</v>
      </c>
      <c r="C66" s="2" t="s">
        <v>1059</v>
      </c>
      <c r="D66" s="2" t="s">
        <v>387</v>
      </c>
      <c r="E66" s="2" t="s">
        <v>1205</v>
      </c>
      <c r="F66" s="2" t="s">
        <v>1206</v>
      </c>
      <c r="G66" s="2" t="s">
        <v>1188</v>
      </c>
      <c r="H66" s="2">
        <v>1</v>
      </c>
      <c r="I66" s="2">
        <v>2</v>
      </c>
      <c r="J66" s="2">
        <v>3</v>
      </c>
      <c r="K66" s="2">
        <v>3</v>
      </c>
      <c r="L66" s="2">
        <f t="shared" si="0"/>
        <v>2.5</v>
      </c>
      <c r="M66" s="2" t="str">
        <f t="shared" si="1"/>
        <v>Рабочий признак</v>
      </c>
      <c r="N66" s="2"/>
    </row>
    <row r="67" spans="1:14" ht="38.25">
      <c r="A67" s="2" t="s">
        <v>87</v>
      </c>
      <c r="B67" s="2" t="s">
        <v>1063</v>
      </c>
      <c r="C67" s="2" t="s">
        <v>1059</v>
      </c>
      <c r="D67" s="2" t="s">
        <v>387</v>
      </c>
      <c r="E67" s="2" t="s">
        <v>1220</v>
      </c>
      <c r="F67" s="2" t="s">
        <v>1221</v>
      </c>
      <c r="G67" s="2" t="s">
        <v>1188</v>
      </c>
      <c r="H67" s="2">
        <v>1</v>
      </c>
      <c r="I67" s="2">
        <v>2</v>
      </c>
      <c r="J67" s="2">
        <v>3</v>
      </c>
      <c r="K67" s="2">
        <v>2</v>
      </c>
      <c r="L67" s="2">
        <f t="shared" si="0"/>
        <v>1.67</v>
      </c>
      <c r="M67" s="2" t="str">
        <f t="shared" si="1"/>
        <v>Слабый признак</v>
      </c>
      <c r="N67" s="2"/>
    </row>
    <row r="68" spans="1:14" ht="38.25">
      <c r="A68" s="2" t="s">
        <v>87</v>
      </c>
      <c r="B68" s="2" t="s">
        <v>1063</v>
      </c>
      <c r="C68" s="2" t="s">
        <v>1059</v>
      </c>
      <c r="D68" s="2" t="s">
        <v>393</v>
      </c>
      <c r="E68" s="2" t="s">
        <v>1229</v>
      </c>
      <c r="F68" s="2" t="s">
        <v>1230</v>
      </c>
      <c r="G68" s="2" t="s">
        <v>1188</v>
      </c>
      <c r="H68" s="2">
        <v>1</v>
      </c>
      <c r="I68" s="2">
        <v>3</v>
      </c>
      <c r="J68" s="2">
        <v>3</v>
      </c>
      <c r="K68" s="2">
        <v>2</v>
      </c>
      <c r="L68" s="2">
        <f t="shared" si="0"/>
        <v>2</v>
      </c>
      <c r="M68" s="2" t="str">
        <f t="shared" si="1"/>
        <v>Рабочий признак</v>
      </c>
      <c r="N68" s="2"/>
    </row>
    <row r="69" spans="1:14" ht="38.25">
      <c r="A69" s="2" t="s">
        <v>87</v>
      </c>
      <c r="B69" s="2" t="s">
        <v>1063</v>
      </c>
      <c r="C69" s="2" t="s">
        <v>1059</v>
      </c>
      <c r="D69" s="2" t="s">
        <v>378</v>
      </c>
      <c r="E69" s="2" t="s">
        <v>1222</v>
      </c>
      <c r="F69" s="2" t="s">
        <v>1216</v>
      </c>
      <c r="G69" s="2" t="s">
        <v>1188</v>
      </c>
      <c r="H69" s="2">
        <v>1</v>
      </c>
      <c r="I69" s="2">
        <v>2</v>
      </c>
      <c r="J69" s="2">
        <v>3</v>
      </c>
      <c r="K69" s="2">
        <v>4</v>
      </c>
      <c r="L69" s="2">
        <f t="shared" si="0"/>
        <v>3.33</v>
      </c>
      <c r="M69" s="2" t="str">
        <f t="shared" si="1"/>
        <v>Рабочий признак</v>
      </c>
      <c r="N69" s="2"/>
    </row>
    <row r="70" spans="1:14" ht="38.25">
      <c r="A70" s="2" t="s">
        <v>87</v>
      </c>
      <c r="B70" s="2" t="s">
        <v>1063</v>
      </c>
      <c r="C70" s="2" t="s">
        <v>1059</v>
      </c>
      <c r="D70" s="2" t="s">
        <v>387</v>
      </c>
      <c r="E70" s="2" t="s">
        <v>1223</v>
      </c>
      <c r="F70" s="2" t="s">
        <v>1224</v>
      </c>
      <c r="G70" s="2" t="s">
        <v>1188</v>
      </c>
      <c r="H70" s="2">
        <v>1</v>
      </c>
      <c r="I70" s="2">
        <v>2</v>
      </c>
      <c r="J70" s="2">
        <v>3</v>
      </c>
      <c r="K70" s="2">
        <v>3</v>
      </c>
      <c r="L70" s="2">
        <f t="shared" si="0"/>
        <v>2.5</v>
      </c>
      <c r="M70" s="2" t="str">
        <f t="shared" si="1"/>
        <v>Рабочий признак</v>
      </c>
      <c r="N70" s="2"/>
    </row>
    <row r="71" spans="1:14" ht="38.25">
      <c r="A71" s="2" t="s">
        <v>88</v>
      </c>
      <c r="B71" s="2" t="s">
        <v>1068</v>
      </c>
      <c r="C71" s="2" t="s">
        <v>1065</v>
      </c>
      <c r="D71" s="2" t="s">
        <v>378</v>
      </c>
      <c r="E71" s="2" t="s">
        <v>1193</v>
      </c>
      <c r="F71" s="2" t="s">
        <v>1194</v>
      </c>
      <c r="G71" s="2" t="s">
        <v>1188</v>
      </c>
      <c r="H71" s="2">
        <v>1</v>
      </c>
      <c r="I71" s="2">
        <v>2</v>
      </c>
      <c r="J71" s="2">
        <v>3</v>
      </c>
      <c r="K71" s="2">
        <v>4</v>
      </c>
      <c r="L71" s="2">
        <f t="shared" ref="L71:L134" si="2">IF(OR(H71="",I71="",J71="",K71=""),"",ROUND(H71*((I71+J71)/6)*K71,2))</f>
        <v>3.33</v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>Рабочий признак</v>
      </c>
      <c r="N71" s="2"/>
    </row>
    <row r="72" spans="1:14" ht="38.25">
      <c r="A72" s="2" t="s">
        <v>88</v>
      </c>
      <c r="B72" s="2" t="s">
        <v>1068</v>
      </c>
      <c r="C72" s="2" t="s">
        <v>1065</v>
      </c>
      <c r="D72" s="2" t="s">
        <v>374</v>
      </c>
      <c r="E72" s="2" t="s">
        <v>1195</v>
      </c>
      <c r="F72" s="2" t="s">
        <v>1196</v>
      </c>
      <c r="G72" s="2" t="s">
        <v>1188</v>
      </c>
      <c r="H72" s="2">
        <v>1</v>
      </c>
      <c r="I72" s="2">
        <v>2</v>
      </c>
      <c r="J72" s="2">
        <v>3</v>
      </c>
      <c r="K72" s="2">
        <v>5</v>
      </c>
      <c r="L72" s="2">
        <f t="shared" si="2"/>
        <v>4.17</v>
      </c>
      <c r="M72" s="2" t="str">
        <f t="shared" si="3"/>
        <v>Сильный признак</v>
      </c>
      <c r="N72" s="2"/>
    </row>
    <row r="73" spans="1:14" ht="38.25">
      <c r="A73" s="2" t="s">
        <v>88</v>
      </c>
      <c r="B73" s="2" t="s">
        <v>1068</v>
      </c>
      <c r="C73" s="2" t="s">
        <v>1065</v>
      </c>
      <c r="D73" s="2" t="s">
        <v>374</v>
      </c>
      <c r="E73" s="2" t="s">
        <v>1212</v>
      </c>
      <c r="F73" s="2" t="s">
        <v>1070</v>
      </c>
      <c r="G73" s="2" t="s">
        <v>1188</v>
      </c>
      <c r="H73" s="2">
        <v>1</v>
      </c>
      <c r="I73" s="2">
        <v>2</v>
      </c>
      <c r="J73" s="2">
        <v>3</v>
      </c>
      <c r="K73" s="2">
        <v>3</v>
      </c>
      <c r="L73" s="2">
        <f t="shared" si="2"/>
        <v>2.5</v>
      </c>
      <c r="M73" s="2" t="str">
        <f t="shared" si="3"/>
        <v>Рабочий признак</v>
      </c>
      <c r="N73" s="2"/>
    </row>
    <row r="74" spans="1:14" ht="38.25">
      <c r="A74" s="2" t="s">
        <v>88</v>
      </c>
      <c r="B74" s="2" t="s">
        <v>1068</v>
      </c>
      <c r="C74" s="2" t="s">
        <v>1065</v>
      </c>
      <c r="D74" s="2" t="s">
        <v>387</v>
      </c>
      <c r="E74" s="2" t="s">
        <v>1213</v>
      </c>
      <c r="F74" s="2" t="s">
        <v>1214</v>
      </c>
      <c r="G74" s="2" t="s">
        <v>1188</v>
      </c>
      <c r="H74" s="2">
        <v>1</v>
      </c>
      <c r="I74" s="2">
        <v>2</v>
      </c>
      <c r="J74" s="2">
        <v>3</v>
      </c>
      <c r="K74" s="2">
        <v>4</v>
      </c>
      <c r="L74" s="2">
        <f t="shared" si="2"/>
        <v>3.33</v>
      </c>
      <c r="M74" s="2" t="str">
        <f t="shared" si="3"/>
        <v>Рабочий признак</v>
      </c>
      <c r="N74" s="2"/>
    </row>
    <row r="75" spans="1:14" ht="38.25">
      <c r="A75" s="2" t="s">
        <v>88</v>
      </c>
      <c r="B75" s="2" t="s">
        <v>1068</v>
      </c>
      <c r="C75" s="2" t="s">
        <v>1065</v>
      </c>
      <c r="D75" s="2" t="s">
        <v>393</v>
      </c>
      <c r="E75" s="2" t="s">
        <v>1227</v>
      </c>
      <c r="F75" s="2" t="s">
        <v>1228</v>
      </c>
      <c r="G75" s="2" t="s">
        <v>1188</v>
      </c>
      <c r="H75" s="2">
        <v>1</v>
      </c>
      <c r="I75" s="2">
        <v>2</v>
      </c>
      <c r="J75" s="2">
        <v>3</v>
      </c>
      <c r="K75" s="2">
        <v>5</v>
      </c>
      <c r="L75" s="2">
        <f t="shared" si="2"/>
        <v>4.17</v>
      </c>
      <c r="M75" s="2" t="str">
        <f t="shared" si="3"/>
        <v>Сильный признак</v>
      </c>
      <c r="N75" s="2"/>
    </row>
    <row r="76" spans="1:14" ht="38.25">
      <c r="A76" s="2" t="s">
        <v>88</v>
      </c>
      <c r="B76" s="2" t="s">
        <v>1068</v>
      </c>
      <c r="C76" s="2" t="s">
        <v>1065</v>
      </c>
      <c r="D76" s="2" t="s">
        <v>378</v>
      </c>
      <c r="E76" s="2" t="s">
        <v>1215</v>
      </c>
      <c r="F76" s="2" t="s">
        <v>1216</v>
      </c>
      <c r="G76" s="2" t="s">
        <v>1188</v>
      </c>
      <c r="H76" s="2">
        <v>1</v>
      </c>
      <c r="I76" s="2">
        <v>3</v>
      </c>
      <c r="J76" s="2">
        <v>3</v>
      </c>
      <c r="K76" s="2">
        <v>5</v>
      </c>
      <c r="L76" s="2">
        <f t="shared" si="2"/>
        <v>5</v>
      </c>
      <c r="M76" s="2" t="str">
        <f t="shared" si="3"/>
        <v>Сильный признак</v>
      </c>
      <c r="N76" s="2"/>
    </row>
    <row r="77" spans="1:14" ht="38.25">
      <c r="A77" s="2" t="s">
        <v>88</v>
      </c>
      <c r="B77" s="2" t="s">
        <v>1068</v>
      </c>
      <c r="C77" s="2" t="s">
        <v>1065</v>
      </c>
      <c r="D77" s="2" t="s">
        <v>387</v>
      </c>
      <c r="E77" s="2" t="s">
        <v>1217</v>
      </c>
      <c r="F77" s="2" t="s">
        <v>1133</v>
      </c>
      <c r="G77" s="2" t="s">
        <v>1188</v>
      </c>
      <c r="H77" s="2">
        <v>1</v>
      </c>
      <c r="I77" s="2">
        <v>2</v>
      </c>
      <c r="J77" s="2">
        <v>3</v>
      </c>
      <c r="K77" s="2">
        <v>3</v>
      </c>
      <c r="L77" s="2">
        <f t="shared" si="2"/>
        <v>2.5</v>
      </c>
      <c r="M77" s="2" t="str">
        <f t="shared" si="3"/>
        <v>Рабочий признак</v>
      </c>
      <c r="N77" s="2"/>
    </row>
    <row r="78" spans="1:14" ht="38.25">
      <c r="A78" s="2" t="s">
        <v>88</v>
      </c>
      <c r="B78" s="2" t="s">
        <v>1068</v>
      </c>
      <c r="C78" s="2" t="s">
        <v>1065</v>
      </c>
      <c r="D78" s="2" t="s">
        <v>378</v>
      </c>
      <c r="E78" s="2" t="s">
        <v>1201</v>
      </c>
      <c r="F78" s="2" t="s">
        <v>1202</v>
      </c>
      <c r="G78" s="2" t="s">
        <v>1188</v>
      </c>
      <c r="H78" s="2">
        <v>1</v>
      </c>
      <c r="I78" s="2">
        <v>3</v>
      </c>
      <c r="J78" s="2">
        <v>3</v>
      </c>
      <c r="K78" s="2">
        <v>4</v>
      </c>
      <c r="L78" s="2">
        <f t="shared" si="2"/>
        <v>4</v>
      </c>
      <c r="M78" s="2" t="str">
        <f t="shared" si="3"/>
        <v>Сильный признак</v>
      </c>
      <c r="N78" s="2"/>
    </row>
    <row r="79" spans="1:14" ht="38.25">
      <c r="A79" s="2" t="s">
        <v>88</v>
      </c>
      <c r="B79" s="2" t="s">
        <v>1068</v>
      </c>
      <c r="C79" s="2" t="s">
        <v>1065</v>
      </c>
      <c r="D79" s="2" t="s">
        <v>387</v>
      </c>
      <c r="E79" s="2" t="s">
        <v>1203</v>
      </c>
      <c r="F79" s="2" t="s">
        <v>1204</v>
      </c>
      <c r="G79" s="2" t="s">
        <v>1188</v>
      </c>
      <c r="H79" s="2">
        <v>1</v>
      </c>
      <c r="I79" s="2">
        <v>2</v>
      </c>
      <c r="J79" s="2">
        <v>3</v>
      </c>
      <c r="K79" s="2">
        <v>2</v>
      </c>
      <c r="L79" s="2">
        <f t="shared" si="2"/>
        <v>1.67</v>
      </c>
      <c r="M79" s="2" t="str">
        <f t="shared" si="3"/>
        <v>Слабый признак</v>
      </c>
      <c r="N79" s="2"/>
    </row>
    <row r="80" spans="1:14" ht="38.25">
      <c r="A80" s="2" t="s">
        <v>88</v>
      </c>
      <c r="B80" s="2" t="s">
        <v>1068</v>
      </c>
      <c r="C80" s="2" t="s">
        <v>1065</v>
      </c>
      <c r="D80" s="2" t="s">
        <v>387</v>
      </c>
      <c r="E80" s="2" t="s">
        <v>1205</v>
      </c>
      <c r="F80" s="2" t="s">
        <v>1206</v>
      </c>
      <c r="G80" s="2" t="s">
        <v>1188</v>
      </c>
      <c r="H80" s="2">
        <v>1</v>
      </c>
      <c r="I80" s="2">
        <v>2</v>
      </c>
      <c r="J80" s="2">
        <v>3</v>
      </c>
      <c r="K80" s="2">
        <v>3</v>
      </c>
      <c r="L80" s="2">
        <f t="shared" si="2"/>
        <v>2.5</v>
      </c>
      <c r="M80" s="2" t="str">
        <f t="shared" si="3"/>
        <v>Рабочий признак</v>
      </c>
      <c r="N80" s="2"/>
    </row>
    <row r="81" spans="1:14" ht="38.25">
      <c r="A81" s="2" t="s">
        <v>88</v>
      </c>
      <c r="B81" s="2" t="s">
        <v>1068</v>
      </c>
      <c r="C81" s="2" t="s">
        <v>1065</v>
      </c>
      <c r="D81" s="2" t="s">
        <v>393</v>
      </c>
      <c r="E81" s="2" t="s">
        <v>1229</v>
      </c>
      <c r="F81" s="2" t="s">
        <v>1230</v>
      </c>
      <c r="G81" s="2" t="s">
        <v>1188</v>
      </c>
      <c r="H81" s="2">
        <v>1</v>
      </c>
      <c r="I81" s="2">
        <v>2</v>
      </c>
      <c r="J81" s="2">
        <v>3</v>
      </c>
      <c r="K81" s="2">
        <v>2</v>
      </c>
      <c r="L81" s="2">
        <f t="shared" si="2"/>
        <v>1.67</v>
      </c>
      <c r="M81" s="2" t="str">
        <f t="shared" si="3"/>
        <v>Слабый признак</v>
      </c>
      <c r="N81" s="2"/>
    </row>
    <row r="82" spans="1:14" ht="38.25">
      <c r="A82" s="2" t="s">
        <v>88</v>
      </c>
      <c r="B82" s="2" t="s">
        <v>1068</v>
      </c>
      <c r="C82" s="2" t="s">
        <v>1065</v>
      </c>
      <c r="D82" s="2" t="s">
        <v>378</v>
      </c>
      <c r="E82" s="2" t="s">
        <v>1222</v>
      </c>
      <c r="F82" s="2" t="s">
        <v>1216</v>
      </c>
      <c r="G82" s="2" t="s">
        <v>1188</v>
      </c>
      <c r="H82" s="2">
        <v>1</v>
      </c>
      <c r="I82" s="2">
        <v>3</v>
      </c>
      <c r="J82" s="2">
        <v>3</v>
      </c>
      <c r="K82" s="2">
        <v>4</v>
      </c>
      <c r="L82" s="2">
        <f t="shared" si="2"/>
        <v>4</v>
      </c>
      <c r="M82" s="2" t="str">
        <f t="shared" si="3"/>
        <v>Сильный признак</v>
      </c>
      <c r="N82" s="2"/>
    </row>
    <row r="83" spans="1:14" ht="38.25">
      <c r="A83" s="2" t="s">
        <v>88</v>
      </c>
      <c r="B83" s="2" t="s">
        <v>1068</v>
      </c>
      <c r="C83" s="2" t="s">
        <v>1065</v>
      </c>
      <c r="D83" s="2" t="s">
        <v>393</v>
      </c>
      <c r="E83" s="2" t="s">
        <v>1225</v>
      </c>
      <c r="F83" s="2" t="s">
        <v>1226</v>
      </c>
      <c r="G83" s="2" t="s">
        <v>1188</v>
      </c>
      <c r="H83" s="2">
        <v>1</v>
      </c>
      <c r="I83" s="2">
        <v>2</v>
      </c>
      <c r="J83" s="2">
        <v>3</v>
      </c>
      <c r="K83" s="2">
        <v>4</v>
      </c>
      <c r="L83" s="2">
        <f t="shared" si="2"/>
        <v>3.33</v>
      </c>
      <c r="M83" s="2" t="str">
        <f t="shared" si="3"/>
        <v>Рабочий признак</v>
      </c>
      <c r="N83" s="2"/>
    </row>
    <row r="84" spans="1:14" ht="38.25">
      <c r="A84" s="2" t="s">
        <v>88</v>
      </c>
      <c r="B84" s="2" t="s">
        <v>1068</v>
      </c>
      <c r="C84" s="2" t="s">
        <v>1065</v>
      </c>
      <c r="D84" s="2" t="s">
        <v>393</v>
      </c>
      <c r="E84" s="2" t="s">
        <v>1231</v>
      </c>
      <c r="F84" s="2" t="s">
        <v>1190</v>
      </c>
      <c r="G84" s="2" t="s">
        <v>1188</v>
      </c>
      <c r="H84" s="2">
        <v>1</v>
      </c>
      <c r="I84" s="2">
        <v>3</v>
      </c>
      <c r="J84" s="2">
        <v>3</v>
      </c>
      <c r="K84" s="2">
        <v>2</v>
      </c>
      <c r="L84" s="2">
        <f t="shared" si="2"/>
        <v>2</v>
      </c>
      <c r="M84" s="2" t="str">
        <f t="shared" si="3"/>
        <v>Рабочий признак</v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1186</v>
      </c>
      <c r="C7" s="2" t="s">
        <v>1232</v>
      </c>
      <c r="D7" s="2" t="s">
        <v>1187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1233</v>
      </c>
      <c r="L7" s="2"/>
      <c r="M7" s="2"/>
    </row>
    <row r="8" spans="1:13" ht="25.5">
      <c r="A8" s="2" t="s">
        <v>153</v>
      </c>
      <c r="B8" s="2" t="s">
        <v>1189</v>
      </c>
      <c r="C8" s="2" t="s">
        <v>1234</v>
      </c>
      <c r="D8" s="2" t="s">
        <v>1190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1235</v>
      </c>
      <c r="L8" s="2"/>
      <c r="M8" s="2"/>
    </row>
    <row r="9" spans="1:13" ht="25.5">
      <c r="A9" s="2" t="s">
        <v>154</v>
      </c>
      <c r="B9" s="2" t="s">
        <v>1191</v>
      </c>
      <c r="C9" s="2" t="s">
        <v>1236</v>
      </c>
      <c r="D9" s="2" t="s">
        <v>1192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1237</v>
      </c>
      <c r="L9" s="2"/>
      <c r="M9" s="2"/>
    </row>
    <row r="10" spans="1:13" ht="25.5">
      <c r="A10" s="2" t="s">
        <v>155</v>
      </c>
      <c r="B10" s="2" t="s">
        <v>1193</v>
      </c>
      <c r="C10" s="2" t="s">
        <v>1238</v>
      </c>
      <c r="D10" s="2" t="s">
        <v>1194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1239</v>
      </c>
      <c r="L10" s="2"/>
      <c r="M10" s="2"/>
    </row>
    <row r="11" spans="1:13" ht="25.5">
      <c r="A11" s="2" t="s">
        <v>156</v>
      </c>
      <c r="B11" s="2" t="s">
        <v>1195</v>
      </c>
      <c r="C11" s="2" t="s">
        <v>1240</v>
      </c>
      <c r="D11" s="2" t="s">
        <v>1196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1241</v>
      </c>
      <c r="L11" s="2"/>
      <c r="M11" s="2"/>
    </row>
    <row r="12" spans="1:13" ht="25.5">
      <c r="A12" s="2" t="s">
        <v>157</v>
      </c>
      <c r="B12" s="2" t="s">
        <v>1212</v>
      </c>
      <c r="C12" s="2" t="s">
        <v>1242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1243</v>
      </c>
      <c r="L12" s="2"/>
      <c r="M12" s="2"/>
    </row>
    <row r="13" spans="1:13" ht="25.5">
      <c r="A13" s="2" t="s">
        <v>158</v>
      </c>
      <c r="B13" s="2" t="s">
        <v>1213</v>
      </c>
      <c r="C13" s="2" t="s">
        <v>1244</v>
      </c>
      <c r="D13" s="2" t="s">
        <v>1214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1245</v>
      </c>
      <c r="L13" s="2"/>
      <c r="M13" s="2"/>
    </row>
    <row r="14" spans="1:13" ht="25.5">
      <c r="A14" s="2" t="s">
        <v>159</v>
      </c>
      <c r="B14" s="2" t="s">
        <v>1227</v>
      </c>
      <c r="C14" s="2" t="s">
        <v>1246</v>
      </c>
      <c r="D14" s="2" t="s">
        <v>1228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1247</v>
      </c>
      <c r="L14" s="2"/>
      <c r="M14" s="2"/>
    </row>
    <row r="15" spans="1:13" ht="25.5">
      <c r="A15" s="2" t="s">
        <v>160</v>
      </c>
      <c r="B15" s="2" t="s">
        <v>1215</v>
      </c>
      <c r="C15" s="2" t="s">
        <v>1248</v>
      </c>
      <c r="D15" s="2" t="s">
        <v>1216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1249</v>
      </c>
      <c r="L15" s="2"/>
      <c r="M15" s="2"/>
    </row>
    <row r="16" spans="1:13">
      <c r="A16" s="2" t="s">
        <v>161</v>
      </c>
      <c r="B16" s="2" t="s">
        <v>1197</v>
      </c>
      <c r="C16" s="2" t="s">
        <v>1250</v>
      </c>
      <c r="D16" s="2" t="s">
        <v>1198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1251</v>
      </c>
      <c r="L16" s="2"/>
      <c r="M16" s="2"/>
    </row>
    <row r="17" spans="1:13">
      <c r="A17" s="2" t="s">
        <v>162</v>
      </c>
      <c r="B17" s="2" t="s">
        <v>1199</v>
      </c>
      <c r="C17" s="2" t="s">
        <v>1252</v>
      </c>
      <c r="D17" s="2" t="s">
        <v>1200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1253</v>
      </c>
      <c r="L17" s="2"/>
      <c r="M17" s="2"/>
    </row>
    <row r="18" spans="1:13">
      <c r="A18" s="2" t="s">
        <v>163</v>
      </c>
      <c r="B18" s="2" t="s">
        <v>1217</v>
      </c>
      <c r="C18" s="2" t="s">
        <v>1254</v>
      </c>
      <c r="D18" s="2" t="s">
        <v>1133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1255</v>
      </c>
      <c r="L18" s="2"/>
      <c r="M18" s="2"/>
    </row>
    <row r="19" spans="1:13" ht="25.5">
      <c r="A19" s="2" t="s">
        <v>164</v>
      </c>
      <c r="B19" s="2" t="s">
        <v>1201</v>
      </c>
      <c r="C19" s="2" t="s">
        <v>1256</v>
      </c>
      <c r="D19" s="2" t="s">
        <v>1202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1257</v>
      </c>
      <c r="L19" s="2"/>
      <c r="M19" s="2"/>
    </row>
    <row r="20" spans="1:13" ht="25.5">
      <c r="A20" s="2" t="s">
        <v>165</v>
      </c>
      <c r="B20" s="2" t="s">
        <v>1203</v>
      </c>
      <c r="C20" s="2" t="s">
        <v>1258</v>
      </c>
      <c r="D20" s="2" t="s">
        <v>1204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1259</v>
      </c>
      <c r="L20" s="2"/>
      <c r="M20" s="2"/>
    </row>
    <row r="21" spans="1:13">
      <c r="A21" s="2" t="s">
        <v>166</v>
      </c>
      <c r="B21" s="2" t="s">
        <v>1205</v>
      </c>
      <c r="C21" s="2" t="s">
        <v>1260</v>
      </c>
      <c r="D21" s="2" t="s">
        <v>1206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1261</v>
      </c>
      <c r="L21" s="2"/>
      <c r="M21" s="2"/>
    </row>
    <row r="22" spans="1:13" ht="25.5">
      <c r="A22" s="2" t="s">
        <v>167</v>
      </c>
      <c r="B22" s="2" t="s">
        <v>1218</v>
      </c>
      <c r="C22" s="2" t="s">
        <v>1262</v>
      </c>
      <c r="D22" s="2" t="s">
        <v>1219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1237</v>
      </c>
      <c r="L22" s="2"/>
      <c r="M22" s="2"/>
    </row>
    <row r="23" spans="1:13">
      <c r="A23" s="2" t="s">
        <v>168</v>
      </c>
      <c r="B23" s="2" t="s">
        <v>1207</v>
      </c>
      <c r="C23" s="2" t="s">
        <v>1263</v>
      </c>
      <c r="D23" s="2" t="s">
        <v>1208</v>
      </c>
      <c r="E23" s="2" t="s">
        <v>371</v>
      </c>
      <c r="F23" s="2">
        <v>3</v>
      </c>
      <c r="G23" s="2">
        <v>2</v>
      </c>
      <c r="H23" s="5">
        <f>IF(G23="","",IFERROR(G23/MAX(1,COUNTIF('01_Конкуренты'!$B$7:$B$36,"?*")),""))</f>
        <v>0.2857142857142857</v>
      </c>
      <c r="I23" s="2">
        <v>3.5</v>
      </c>
      <c r="J23" s="2" t="str">
        <f t="shared" si="0"/>
        <v>Зона усиления ценности</v>
      </c>
      <c r="K23" s="2" t="s">
        <v>1264</v>
      </c>
      <c r="L23" s="2"/>
      <c r="M23" s="2"/>
    </row>
    <row r="24" spans="1:13">
      <c r="A24" s="2" t="s">
        <v>169</v>
      </c>
      <c r="B24" s="2" t="s">
        <v>1209</v>
      </c>
      <c r="C24" s="2" t="s">
        <v>1265</v>
      </c>
      <c r="D24" s="2" t="s">
        <v>1208</v>
      </c>
      <c r="E24" s="2" t="s">
        <v>394</v>
      </c>
      <c r="F24" s="2">
        <v>3</v>
      </c>
      <c r="G24" s="2">
        <v>2</v>
      </c>
      <c r="H24" s="5">
        <f>IF(G24="","",IFERROR(G24/MAX(1,COUNTIF('01_Конкуренты'!$B$7:$B$36,"?*")),""))</f>
        <v>0.2857142857142857</v>
      </c>
      <c r="I24" s="2">
        <v>3.5</v>
      </c>
      <c r="J24" s="2" t="str">
        <f t="shared" si="0"/>
        <v>Зона дифференциации</v>
      </c>
      <c r="K24" s="2" t="s">
        <v>1264</v>
      </c>
      <c r="L24" s="2"/>
      <c r="M24" s="2"/>
    </row>
    <row r="25" spans="1:13" ht="25.5">
      <c r="A25" s="2" t="s">
        <v>170</v>
      </c>
      <c r="B25" s="2" t="s">
        <v>1210</v>
      </c>
      <c r="C25" s="2" t="s">
        <v>1266</v>
      </c>
      <c r="D25" s="2" t="s">
        <v>1211</v>
      </c>
      <c r="E25" s="2" t="s">
        <v>371</v>
      </c>
      <c r="F25" s="2">
        <v>4</v>
      </c>
      <c r="G25" s="2">
        <v>2</v>
      </c>
      <c r="H25" s="5">
        <f>IF(G25="","",IFERROR(G25/MAX(1,COUNTIF('01_Конкуренты'!$B$7:$B$36,"?*")),""))</f>
        <v>0.2857142857142857</v>
      </c>
      <c r="I25" s="2">
        <v>3.5</v>
      </c>
      <c r="J25" s="2" t="str">
        <f t="shared" si="0"/>
        <v>Зона усиления ценности</v>
      </c>
      <c r="K25" s="2" t="s">
        <v>1267</v>
      </c>
      <c r="L25" s="2"/>
      <c r="M25" s="2"/>
    </row>
    <row r="26" spans="1:13">
      <c r="A26" s="2" t="s">
        <v>171</v>
      </c>
      <c r="B26" s="2" t="s">
        <v>1220</v>
      </c>
      <c r="C26" s="2" t="s">
        <v>1268</v>
      </c>
      <c r="D26" s="2" t="s">
        <v>1221</v>
      </c>
      <c r="E26" s="2" t="s">
        <v>970</v>
      </c>
      <c r="F26" s="2">
        <v>2</v>
      </c>
      <c r="G26" s="2">
        <v>3</v>
      </c>
      <c r="H26" s="5">
        <f>IF(G26="","",IFERROR(G26/MAX(1,COUNTIF('01_Конкуренты'!$B$7:$B$36,"?*")),""))</f>
        <v>0.42857142857142855</v>
      </c>
      <c r="I26" s="2">
        <v>3.33</v>
      </c>
      <c r="J26" s="2" t="str">
        <f t="shared" si="0"/>
        <v>Не делать при дефиците ресурсов</v>
      </c>
      <c r="K26" s="2" t="s">
        <v>1269</v>
      </c>
      <c r="L26" s="2"/>
      <c r="M26" s="2"/>
    </row>
    <row r="27" spans="1:13" ht="25.5">
      <c r="A27" s="2" t="s">
        <v>172</v>
      </c>
      <c r="B27" s="2" t="s">
        <v>1229</v>
      </c>
      <c r="C27" s="2" t="s">
        <v>1270</v>
      </c>
      <c r="D27" s="2" t="s">
        <v>1230</v>
      </c>
      <c r="E27" s="2" t="s">
        <v>970</v>
      </c>
      <c r="F27" s="2">
        <v>2</v>
      </c>
      <c r="G27" s="2">
        <v>2</v>
      </c>
      <c r="H27" s="5">
        <f>IF(G27="","",IFERROR(G27/MAX(1,COUNTIF('01_Конкуренты'!$B$7:$B$36,"?*")),""))</f>
        <v>0.2857142857142857</v>
      </c>
      <c r="I27" s="2">
        <v>4</v>
      </c>
      <c r="J27" s="2" t="str">
        <f t="shared" si="0"/>
        <v>Не делать при дефиците ресурсов</v>
      </c>
      <c r="K27" s="2" t="s">
        <v>1271</v>
      </c>
      <c r="L27" s="2"/>
      <c r="M27" s="2"/>
    </row>
    <row r="28" spans="1:13">
      <c r="A28" s="2" t="s">
        <v>173</v>
      </c>
      <c r="B28" s="2" t="s">
        <v>1222</v>
      </c>
      <c r="C28" s="2" t="s">
        <v>1272</v>
      </c>
      <c r="D28" s="2" t="s">
        <v>1216</v>
      </c>
      <c r="E28" s="2" t="s">
        <v>375</v>
      </c>
      <c r="F28" s="2">
        <v>4</v>
      </c>
      <c r="G28" s="2">
        <v>3</v>
      </c>
      <c r="H28" s="5">
        <f>IF(G28="","",IFERROR(G28/MAX(1,COUNTIF('01_Конкуренты'!$B$7:$B$36,"?*")),""))</f>
        <v>0.42857142857142855</v>
      </c>
      <c r="I28" s="2">
        <v>4.33</v>
      </c>
      <c r="J28" s="2" t="str">
        <f t="shared" si="0"/>
        <v>Потенциальный обязательный разрыв</v>
      </c>
      <c r="K28" s="2" t="s">
        <v>1249</v>
      </c>
      <c r="L28" s="2"/>
      <c r="M28" s="2"/>
    </row>
    <row r="29" spans="1:13">
      <c r="A29" s="2" t="s">
        <v>174</v>
      </c>
      <c r="B29" s="2" t="s">
        <v>1223</v>
      </c>
      <c r="C29" s="2" t="s">
        <v>1273</v>
      </c>
      <c r="D29" s="2" t="s">
        <v>1224</v>
      </c>
      <c r="E29" s="2" t="s">
        <v>371</v>
      </c>
      <c r="F29" s="2">
        <v>3</v>
      </c>
      <c r="G29" s="2">
        <v>2</v>
      </c>
      <c r="H29" s="5">
        <f>IF(G29="","",IFERROR(G29/MAX(1,COUNTIF('01_Конкуренты'!$B$7:$B$36,"?*")),""))</f>
        <v>0.2857142857142857</v>
      </c>
      <c r="I29" s="2">
        <v>4</v>
      </c>
      <c r="J29" s="2" t="str">
        <f t="shared" si="0"/>
        <v>Зона усиления ценности</v>
      </c>
      <c r="K29" s="2" t="s">
        <v>1274</v>
      </c>
      <c r="L29" s="2"/>
      <c r="M29" s="2"/>
    </row>
    <row r="30" spans="1:13" ht="25.5">
      <c r="A30" s="2" t="s">
        <v>175</v>
      </c>
      <c r="B30" s="2" t="s">
        <v>1225</v>
      </c>
      <c r="C30" s="2" t="s">
        <v>1275</v>
      </c>
      <c r="D30" s="2" t="s">
        <v>1226</v>
      </c>
      <c r="E30" s="2" t="s">
        <v>371</v>
      </c>
      <c r="F30" s="2">
        <v>4</v>
      </c>
      <c r="G30" s="2">
        <v>2</v>
      </c>
      <c r="H30" s="5">
        <f>IF(G30="","",IFERROR(G30/MAX(1,COUNTIF('01_Конкуренты'!$B$7:$B$36,"?*")),""))</f>
        <v>0.2857142857142857</v>
      </c>
      <c r="I30" s="2">
        <v>4</v>
      </c>
      <c r="J30" s="2" t="str">
        <f t="shared" si="0"/>
        <v>Зона усиления ценности</v>
      </c>
      <c r="K30" s="2" t="s">
        <v>1264</v>
      </c>
      <c r="L30" s="2"/>
      <c r="M30" s="2"/>
    </row>
    <row r="31" spans="1:13" ht="25.5">
      <c r="A31" s="2" t="s">
        <v>176</v>
      </c>
      <c r="B31" s="2" t="s">
        <v>1231</v>
      </c>
      <c r="C31" s="2" t="s">
        <v>1276</v>
      </c>
      <c r="D31" s="2" t="s">
        <v>1190</v>
      </c>
      <c r="E31" s="2" t="s">
        <v>970</v>
      </c>
      <c r="F31" s="2">
        <v>2</v>
      </c>
      <c r="G31" s="2">
        <v>1</v>
      </c>
      <c r="H31" s="5">
        <f>IF(G31="","",IFERROR(G31/MAX(1,COUNTIF('01_Конкуренты'!$B$7:$B$36,"?*")),""))</f>
        <v>0.14285714285714285</v>
      </c>
      <c r="I31" s="2">
        <v>5</v>
      </c>
      <c r="J31" s="2" t="str">
        <f t="shared" si="0"/>
        <v>Не делать при дефиците ресурсов</v>
      </c>
      <c r="K31" s="2" t="s">
        <v>1271</v>
      </c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1300</v>
      </c>
      <c r="D7" s="2" t="s">
        <v>1301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1302</v>
      </c>
      <c r="D8" s="2" t="s">
        <v>1303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1304</v>
      </c>
      <c r="D9" s="2" t="s">
        <v>1305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1306</v>
      </c>
      <c r="D10" s="2" t="s">
        <v>1307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1308</v>
      </c>
      <c r="D11" s="2" t="s">
        <v>1305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1309</v>
      </c>
      <c r="D12" s="2" t="s">
        <v>1310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1311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1312</v>
      </c>
      <c r="D14" s="2" t="s">
        <v>1313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1314</v>
      </c>
      <c r="D15" s="2" t="s">
        <v>1315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1316</v>
      </c>
      <c r="D16" s="2" t="s">
        <v>1317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1318</v>
      </c>
      <c r="D17" s="2" t="s">
        <v>1319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1320</v>
      </c>
      <c r="D18" s="2" t="s">
        <v>1321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1186</v>
      </c>
      <c r="C7" s="2" t="s">
        <v>1277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1189</v>
      </c>
      <c r="C8" s="2" t="s">
        <v>1277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1191</v>
      </c>
      <c r="C9" s="2" t="s">
        <v>1277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1193</v>
      </c>
      <c r="C10" s="2" t="s">
        <v>1277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1195</v>
      </c>
      <c r="C11" s="2" t="s">
        <v>1277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1212</v>
      </c>
      <c r="C12" s="2" t="s">
        <v>1277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1213</v>
      </c>
      <c r="C13" s="2" t="s">
        <v>1277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1227</v>
      </c>
      <c r="C14" s="2" t="s">
        <v>1277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1215</v>
      </c>
      <c r="C15" s="2" t="s">
        <v>1277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1197</v>
      </c>
      <c r="C16" s="2" t="s">
        <v>1277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1199</v>
      </c>
      <c r="C17" s="2" t="s">
        <v>1277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1217</v>
      </c>
      <c r="C18" s="2" t="s">
        <v>1277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1201</v>
      </c>
      <c r="C19" s="2" t="s">
        <v>1277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1203</v>
      </c>
      <c r="C20" s="2" t="s">
        <v>1277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1205</v>
      </c>
      <c r="C21" s="2" t="s">
        <v>1277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1218</v>
      </c>
      <c r="C22" s="2" t="s">
        <v>1277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 t="s">
        <v>1207</v>
      </c>
      <c r="C23" s="2" t="s">
        <v>1277</v>
      </c>
      <c r="D23" s="2" t="s">
        <v>387</v>
      </c>
      <c r="E23" s="2" t="s">
        <v>371</v>
      </c>
      <c r="F23" s="2">
        <v>2</v>
      </c>
      <c r="G23" s="5">
        <f>IF(F23="","",IFERROR(F23/MAX(1,COUNTIF('01_Конкуренты'!$B$7:$B$36,"?*")),""))</f>
        <v>0.2857142857142857</v>
      </c>
      <c r="H23" s="2">
        <v>3.5</v>
      </c>
      <c r="I23" s="2" t="str">
        <f t="shared" si="0"/>
        <v>Проверить необходимость</v>
      </c>
      <c r="J23" s="2"/>
      <c r="K23" s="2"/>
      <c r="L23" s="2"/>
    </row>
    <row r="24" spans="1:12">
      <c r="A24" s="2" t="s">
        <v>554</v>
      </c>
      <c r="B24" s="2" t="s">
        <v>1209</v>
      </c>
      <c r="C24" s="2" t="s">
        <v>1277</v>
      </c>
      <c r="D24" s="2" t="s">
        <v>387</v>
      </c>
      <c r="E24" s="2" t="s">
        <v>394</v>
      </c>
      <c r="F24" s="2">
        <v>2</v>
      </c>
      <c r="G24" s="5">
        <f>IF(F24="","",IFERROR(F24/MAX(1,COUNTIF('01_Конкуренты'!$B$7:$B$36,"?*")),""))</f>
        <v>0.2857142857142857</v>
      </c>
      <c r="H24" s="2">
        <v>3.5</v>
      </c>
      <c r="I24" s="2" t="str">
        <f t="shared" si="0"/>
        <v>Зона дифференциации</v>
      </c>
      <c r="J24" s="2"/>
      <c r="K24" s="2"/>
      <c r="L24" s="2"/>
    </row>
    <row r="25" spans="1:12">
      <c r="A25" s="2" t="s">
        <v>555</v>
      </c>
      <c r="B25" s="2" t="s">
        <v>1210</v>
      </c>
      <c r="C25" s="2" t="s">
        <v>1277</v>
      </c>
      <c r="D25" s="2" t="s">
        <v>387</v>
      </c>
      <c r="E25" s="2" t="s">
        <v>371</v>
      </c>
      <c r="F25" s="2">
        <v>2</v>
      </c>
      <c r="G25" s="5">
        <f>IF(F25="","",IFERROR(F25/MAX(1,COUNTIF('01_Конкуренты'!$B$7:$B$36,"?*")),""))</f>
        <v>0.2857142857142857</v>
      </c>
      <c r="H25" s="2">
        <v>3.5</v>
      </c>
      <c r="I25" s="2" t="str">
        <f t="shared" si="0"/>
        <v>Проверить необходимость</v>
      </c>
      <c r="J25" s="2"/>
      <c r="K25" s="2"/>
      <c r="L25" s="2"/>
    </row>
    <row r="26" spans="1:12">
      <c r="A26" s="2" t="s">
        <v>556</v>
      </c>
      <c r="B26" s="2" t="s">
        <v>1220</v>
      </c>
      <c r="C26" s="2" t="s">
        <v>1277</v>
      </c>
      <c r="D26" s="2" t="s">
        <v>387</v>
      </c>
      <c r="E26" s="2" t="s">
        <v>970</v>
      </c>
      <c r="F26" s="2">
        <v>3</v>
      </c>
      <c r="G26" s="5">
        <f>IF(F26="","",IFERROR(F26/MAX(1,COUNTIF('01_Конкуренты'!$B$7:$B$36,"?*")),""))</f>
        <v>0.42857142857142855</v>
      </c>
      <c r="H26" s="2">
        <v>3.33</v>
      </c>
      <c r="I26" s="2" t="str">
        <f t="shared" si="0"/>
        <v>Низкий приоритет</v>
      </c>
      <c r="J26" s="2"/>
      <c r="K26" s="2"/>
      <c r="L26" s="2"/>
    </row>
    <row r="27" spans="1:12">
      <c r="A27" s="2" t="s">
        <v>557</v>
      </c>
      <c r="B27" s="2" t="s">
        <v>1229</v>
      </c>
      <c r="C27" s="2" t="s">
        <v>1277</v>
      </c>
      <c r="D27" s="2" t="s">
        <v>393</v>
      </c>
      <c r="E27" s="2" t="s">
        <v>970</v>
      </c>
      <c r="F27" s="2">
        <v>2</v>
      </c>
      <c r="G27" s="5">
        <f>IF(F27="","",IFERROR(F27/MAX(1,COUNTIF('01_Конкуренты'!$B$7:$B$36,"?*")),""))</f>
        <v>0.2857142857142857</v>
      </c>
      <c r="H27" s="2">
        <v>4</v>
      </c>
      <c r="I27" s="2" t="str">
        <f t="shared" si="0"/>
        <v>Низкий приоритет</v>
      </c>
      <c r="J27" s="2"/>
      <c r="K27" s="2"/>
      <c r="L27" s="2"/>
    </row>
    <row r="28" spans="1:12">
      <c r="A28" s="2" t="s">
        <v>558</v>
      </c>
      <c r="B28" s="2" t="s">
        <v>1222</v>
      </c>
      <c r="C28" s="2" t="s">
        <v>1277</v>
      </c>
      <c r="D28" s="2" t="s">
        <v>378</v>
      </c>
      <c r="E28" s="2" t="s">
        <v>375</v>
      </c>
      <c r="F28" s="2">
        <v>3</v>
      </c>
      <c r="G28" s="5">
        <f>IF(F28="","",IFERROR(F28/MAX(1,COUNTIF('01_Конкуренты'!$B$7:$B$36,"?*")),""))</f>
        <v>0.42857142857142855</v>
      </c>
      <c r="H28" s="2">
        <v>4.33</v>
      </c>
      <c r="I28" s="2" t="str">
        <f t="shared" si="0"/>
        <v>Формирующаяся норма</v>
      </c>
      <c r="J28" s="2"/>
      <c r="K28" s="2"/>
      <c r="L28" s="2"/>
    </row>
    <row r="29" spans="1:12">
      <c r="A29" s="2" t="s">
        <v>559</v>
      </c>
      <c r="B29" s="2" t="s">
        <v>1223</v>
      </c>
      <c r="C29" s="2" t="s">
        <v>1277</v>
      </c>
      <c r="D29" s="2" t="s">
        <v>387</v>
      </c>
      <c r="E29" s="2" t="s">
        <v>371</v>
      </c>
      <c r="F29" s="2">
        <v>2</v>
      </c>
      <c r="G29" s="5">
        <f>IF(F29="","",IFERROR(F29/MAX(1,COUNTIF('01_Конкуренты'!$B$7:$B$36,"?*")),""))</f>
        <v>0.2857142857142857</v>
      </c>
      <c r="H29" s="2">
        <v>4</v>
      </c>
      <c r="I29" s="2" t="str">
        <f t="shared" si="0"/>
        <v>Проверить необходимость</v>
      </c>
      <c r="J29" s="2"/>
      <c r="K29" s="2"/>
      <c r="L29" s="2"/>
    </row>
    <row r="30" spans="1:12" ht="25.5">
      <c r="A30" s="2" t="s">
        <v>560</v>
      </c>
      <c r="B30" s="2" t="s">
        <v>1225</v>
      </c>
      <c r="C30" s="2" t="s">
        <v>1277</v>
      </c>
      <c r="D30" s="2" t="s">
        <v>393</v>
      </c>
      <c r="E30" s="2" t="s">
        <v>371</v>
      </c>
      <c r="F30" s="2">
        <v>2</v>
      </c>
      <c r="G30" s="5">
        <f>IF(F30="","",IFERROR(F30/MAX(1,COUNTIF('01_Конкуренты'!$B$7:$B$36,"?*")),""))</f>
        <v>0.2857142857142857</v>
      </c>
      <c r="H30" s="2">
        <v>4</v>
      </c>
      <c r="I30" s="2" t="str">
        <f t="shared" si="0"/>
        <v>Проверить необходимость</v>
      </c>
      <c r="J30" s="2"/>
      <c r="K30" s="2"/>
      <c r="L30" s="2"/>
    </row>
    <row r="31" spans="1:12">
      <c r="A31" s="2" t="s">
        <v>561</v>
      </c>
      <c r="B31" s="2" t="s">
        <v>1231</v>
      </c>
      <c r="C31" s="2" t="s">
        <v>1277</v>
      </c>
      <c r="D31" s="2" t="s">
        <v>393</v>
      </c>
      <c r="E31" s="2" t="s">
        <v>970</v>
      </c>
      <c r="F31" s="2">
        <v>1</v>
      </c>
      <c r="G31" s="5">
        <f>IF(F31="","",IFERROR(F31/MAX(1,COUNTIF('01_Конкуренты'!$B$7:$B$36,"?*")),""))</f>
        <v>0.14285714285714285</v>
      </c>
      <c r="H31" s="2">
        <v>5</v>
      </c>
      <c r="I31" s="2" t="str">
        <f t="shared" si="0"/>
        <v>Низкий приоритет</v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1278</v>
      </c>
      <c r="D7" s="2" t="s">
        <v>1279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1280</v>
      </c>
    </row>
    <row r="8" spans="1:14" ht="25.5">
      <c r="A8" s="2" t="s">
        <v>750</v>
      </c>
      <c r="B8" s="2" t="s">
        <v>81</v>
      </c>
      <c r="C8" s="2" t="s">
        <v>1281</v>
      </c>
      <c r="D8" s="2" t="s">
        <v>1282</v>
      </c>
      <c r="E8" s="2"/>
      <c r="F8" s="2"/>
      <c r="G8" s="2" t="s">
        <v>1283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1280</v>
      </c>
    </row>
    <row r="9" spans="1:14" ht="25.5">
      <c r="A9" s="2" t="s">
        <v>751</v>
      </c>
      <c r="B9" s="2" t="s">
        <v>85</v>
      </c>
      <c r="C9" s="2" t="s">
        <v>1284</v>
      </c>
      <c r="D9" s="2" t="s">
        <v>1285</v>
      </c>
      <c r="E9" s="2"/>
      <c r="F9" s="2"/>
      <c r="G9" s="2" t="s">
        <v>1286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1280</v>
      </c>
    </row>
    <row r="10" spans="1:14" ht="25.5">
      <c r="A10" s="2" t="s">
        <v>752</v>
      </c>
      <c r="B10" s="2" t="s">
        <v>85</v>
      </c>
      <c r="C10" s="2" t="s">
        <v>1287</v>
      </c>
      <c r="D10" s="2" t="s">
        <v>1288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1280</v>
      </c>
    </row>
    <row r="11" spans="1:14" ht="25.5">
      <c r="A11" s="2" t="s">
        <v>753</v>
      </c>
      <c r="B11" s="2" t="s">
        <v>86</v>
      </c>
      <c r="C11" s="2" t="s">
        <v>1289</v>
      </c>
      <c r="D11" s="2" t="s">
        <v>1290</v>
      </c>
      <c r="E11" s="2"/>
      <c r="F11" s="2"/>
      <c r="G11" s="2" t="s">
        <v>1291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1280</v>
      </c>
    </row>
    <row r="12" spans="1:14" ht="25.5">
      <c r="A12" s="2" t="s">
        <v>754</v>
      </c>
      <c r="B12" s="2" t="s">
        <v>87</v>
      </c>
      <c r="C12" s="2" t="s">
        <v>1292</v>
      </c>
      <c r="D12" s="2" t="s">
        <v>1293</v>
      </c>
      <c r="E12" s="2"/>
      <c r="F12" s="2"/>
      <c r="G12" s="2" t="s">
        <v>1294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1280</v>
      </c>
    </row>
    <row r="13" spans="1:14" ht="25.5">
      <c r="A13" s="2" t="s">
        <v>755</v>
      </c>
      <c r="B13" s="2" t="s">
        <v>88</v>
      </c>
      <c r="C13" s="2" t="s">
        <v>1295</v>
      </c>
      <c r="D13" s="2" t="s">
        <v>1296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1280</v>
      </c>
    </row>
    <row r="14" spans="1:14" ht="25.5">
      <c r="A14" s="2" t="s">
        <v>756</v>
      </c>
      <c r="B14" s="2" t="s">
        <v>84</v>
      </c>
      <c r="C14" s="2" t="s">
        <v>1297</v>
      </c>
      <c r="D14" s="2" t="s">
        <v>1298</v>
      </c>
      <c r="E14" s="2"/>
      <c r="F14" s="2"/>
      <c r="G14" s="2" t="s">
        <v>1299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1280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5</v>
      </c>
      <c r="H5" s="5">
        <f t="shared" ref="H5:H10" si="0">IFERROR(G5/SUM($G$5:$G$10),"")</f>
        <v>0.2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32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11</v>
      </c>
      <c r="H6" s="5">
        <f t="shared" si="0"/>
        <v>0.44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78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5</v>
      </c>
      <c r="H7" s="5">
        <f t="shared" si="0"/>
        <v>0.2</v>
      </c>
      <c r="J7" s="2" t="s">
        <v>378</v>
      </c>
      <c r="K7" s="2">
        <f>COUNTIF('03_Левитт'!$D$7:$D$306,J7)</f>
        <v>21</v>
      </c>
      <c r="L7" s="2">
        <f>IFERROR(AVERAGEIF('03_Левитт'!$D$7:$D$306,J7,'03_Левитт'!$L$7:$L$306),"")</f>
        <v>3.6885714285714282</v>
      </c>
    </row>
    <row r="8" spans="1:14" ht="25.5">
      <c r="A8" s="2" t="s">
        <v>967</v>
      </c>
      <c r="B8" s="8">
        <f>COUNTIF('04_Кано'!$B$7:$B$206,"?*")</f>
        <v>25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4</v>
      </c>
      <c r="H8" s="5">
        <f t="shared" si="0"/>
        <v>0.16</v>
      </c>
      <c r="J8" s="2" t="s">
        <v>387</v>
      </c>
      <c r="K8" s="2">
        <f>COUNTIF('03_Левитт'!$D$7:$D$306,J8)</f>
        <v>35</v>
      </c>
      <c r="L8" s="2">
        <f>IFERROR(AVERAGEIF('03_Левитт'!$D$7:$D$306,J8,'03_Левитт'!$L$7:$L$306),"")</f>
        <v>2.5662857142857143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8</v>
      </c>
      <c r="L9" s="2">
        <f>IFERROR(AVERAGEIF('03_Левитт'!$D$7:$D$306,J9,'03_Левитт'!$L$7:$L$306),"")</f>
        <v>2.7912499999999998</v>
      </c>
    </row>
    <row r="10" spans="1:14" ht="15">
      <c r="A10" s="2" t="s">
        <v>975</v>
      </c>
      <c r="B10" s="8">
        <f>COUNTIF('07_Стандарт_рынка'!$I$7:$I$206,"Зона дифференциации")</f>
        <v>3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2026-10-04T15:49:40Z</dcterms:modified>
</cp:coreProperties>
</file>