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claude\D--TableMind-EB--claude-worktrees-handoff-project-continuation-447426\9c32cbd2-cb12-4b3e-baaf-4d688d524e02\scratchpad\"/>
    </mc:Choice>
  </mc:AlternateContent>
  <xr:revisionPtr revIDLastSave="0" documentId="13_ncr:1_{8F8D5BC2-20A9-4032-BDA9-47BEBBB102CD}" xr6:coauthVersionLast="47" xr6:coauthVersionMax="47" xr10:uidLastSave="{00000000-0000-0000-0000-000000000000}"/>
  <bookViews>
    <workbookView xWindow="-98" yWindow="-98" windowWidth="21795" windowHeight="11625" firstSheet="6" activeTab="10" xr2:uid="{00000000-000D-0000-FFFF-FFFF00000000}"/>
  </bookViews>
  <sheets>
    <sheet name="Методика" sheetId="1" r:id="rId1"/>
    <sheet name="1_Конкуренты" sheetId="2" r:id="rId2"/>
    <sheet name="2_Карта_сайтов" sheetId="3" r:id="rId3"/>
    <sheet name="3_Левитт" sheetId="4" r:id="rId4"/>
    <sheet name="4_Кано" sheetId="5" r:id="rId5"/>
    <sheet name="5_Матрица_товара" sheetId="6" r:id="rId6"/>
    <sheet name="6_Сравнение" sheetId="7" r:id="rId7"/>
    <sheet name="7_Стандарт_рынка" sheetId="8" r:id="rId8"/>
    <sheet name="8_Преимущества" sheetId="9" r:id="rId9"/>
    <sheet name="9_Дашборд" sheetId="10" r:id="rId10"/>
    <sheet name="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10" l="1"/>
  <c r="F14" i="10"/>
  <c r="E14" i="10"/>
  <c r="D15" i="10"/>
  <c r="D14" i="10"/>
  <c r="C14" i="10"/>
  <c r="B14" i="10"/>
  <c r="A14" i="10"/>
  <c r="I30" i="7"/>
  <c r="E16" i="10" s="1"/>
  <c r="J30" i="7"/>
  <c r="F16" i="10" s="1"/>
  <c r="K30" i="7"/>
  <c r="G16" i="10" s="1"/>
  <c r="L30" i="7"/>
  <c r="E29" i="7"/>
  <c r="A15" i="10" s="1"/>
  <c r="F29" i="7"/>
  <c r="B15" i="10" s="1"/>
  <c r="G29" i="7"/>
  <c r="G30" i="7" s="1"/>
  <c r="C16" i="10" s="1"/>
  <c r="H29" i="7"/>
  <c r="H30" i="7" s="1"/>
  <c r="D16" i="10" s="1"/>
  <c r="I29" i="7"/>
  <c r="E15" i="10" s="1"/>
  <c r="J29" i="7"/>
  <c r="F15" i="10" s="1"/>
  <c r="K29" i="7"/>
  <c r="G15" i="10" s="1"/>
  <c r="L29" i="7"/>
  <c r="I28" i="8"/>
  <c r="I24" i="8"/>
  <c r="I23" i="8"/>
  <c r="I17" i="8"/>
  <c r="J28" i="5"/>
  <c r="J24" i="5"/>
  <c r="J23" i="5"/>
  <c r="J17" i="5"/>
  <c r="G9" i="10"/>
  <c r="K8" i="10"/>
  <c r="G8" i="10"/>
  <c r="K7" i="10"/>
  <c r="G7" i="10"/>
  <c r="B7" i="10"/>
  <c r="K6" i="10"/>
  <c r="G6" i="10"/>
  <c r="B6" i="10"/>
  <c r="K5" i="10"/>
  <c r="G5" i="10"/>
  <c r="B5" i="10"/>
  <c r="K4" i="10"/>
  <c r="G4" i="10"/>
  <c r="B4" i="10"/>
  <c r="L11" i="9"/>
  <c r="M11" i="9" s="1"/>
  <c r="L10" i="9"/>
  <c r="M10" i="9" s="1"/>
  <c r="L9" i="9"/>
  <c r="M9" i="9" s="1"/>
  <c r="L8" i="9"/>
  <c r="M8" i="9" s="1"/>
  <c r="L7" i="9"/>
  <c r="M7" i="9" s="1"/>
  <c r="L6" i="9"/>
  <c r="M6" i="9" s="1"/>
  <c r="L5" i="9"/>
  <c r="M5" i="9" s="1"/>
  <c r="L4" i="9"/>
  <c r="M4" i="9" s="1"/>
  <c r="G28" i="8"/>
  <c r="G27" i="8"/>
  <c r="I27" i="8" s="1"/>
  <c r="G26" i="8"/>
  <c r="I26" i="8" s="1"/>
  <c r="G25" i="8"/>
  <c r="I25" i="8" s="1"/>
  <c r="G24" i="8"/>
  <c r="G23" i="8"/>
  <c r="G22" i="8"/>
  <c r="I22" i="8" s="1"/>
  <c r="G21" i="8"/>
  <c r="I21" i="8" s="1"/>
  <c r="G20" i="8"/>
  <c r="I20" i="8" s="1"/>
  <c r="G19" i="8"/>
  <c r="I19" i="8" s="1"/>
  <c r="G18" i="8"/>
  <c r="I18" i="8" s="1"/>
  <c r="G17" i="8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G6" i="8"/>
  <c r="I6" i="8" s="1"/>
  <c r="G5" i="8"/>
  <c r="I5" i="8" s="1"/>
  <c r="G4" i="8"/>
  <c r="I4" i="8" s="1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N6" i="7"/>
  <c r="O6" i="7" s="1"/>
  <c r="M6" i="7"/>
  <c r="N5" i="7"/>
  <c r="O5" i="7" s="1"/>
  <c r="M5" i="7"/>
  <c r="N4" i="7"/>
  <c r="O4" i="7" s="1"/>
  <c r="M4" i="7"/>
  <c r="H28" i="5"/>
  <c r="H27" i="5"/>
  <c r="J27" i="5" s="1"/>
  <c r="H26" i="5"/>
  <c r="J26" i="5" s="1"/>
  <c r="H25" i="5"/>
  <c r="J25" i="5" s="1"/>
  <c r="H24" i="5"/>
  <c r="H23" i="5"/>
  <c r="H22" i="5"/>
  <c r="J22" i="5" s="1"/>
  <c r="H21" i="5"/>
  <c r="J21" i="5" s="1"/>
  <c r="H20" i="5"/>
  <c r="J20" i="5" s="1"/>
  <c r="H19" i="5"/>
  <c r="J19" i="5" s="1"/>
  <c r="H18" i="5"/>
  <c r="J18" i="5" s="1"/>
  <c r="H17" i="5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L6" i="4"/>
  <c r="M6" i="4" s="1"/>
  <c r="L5" i="4"/>
  <c r="M5" i="4" s="1"/>
  <c r="L4" i="4"/>
  <c r="M4" i="4" s="1"/>
  <c r="C15" i="10" l="1"/>
  <c r="F30" i="7"/>
  <c r="B16" i="10" s="1"/>
  <c r="E30" i="7"/>
  <c r="A16" i="10" s="1"/>
  <c r="B10" i="10"/>
  <c r="H6" i="10"/>
  <c r="H5" i="10"/>
  <c r="H8" i="10"/>
  <c r="H9" i="10"/>
  <c r="L8" i="10"/>
  <c r="M45" i="4"/>
  <c r="L5" i="10"/>
  <c r="L7" i="10"/>
  <c r="L6" i="10"/>
  <c r="L4" i="10"/>
  <c r="B9" i="10"/>
  <c r="B8" i="10"/>
  <c r="H7" i="10"/>
  <c r="H4" i="10"/>
</calcChain>
</file>

<file path=xl/sharedStrings.xml><?xml version="1.0" encoding="utf-8"?>
<sst xmlns="http://schemas.openxmlformats.org/spreadsheetml/2006/main" count="1937" uniqueCount="705">
  <si>
    <t>Раздел</t>
  </si>
  <si>
    <t>Что делать</t>
  </si>
  <si>
    <t>Результат</t>
  </si>
  <si>
    <t>1. Реестр конкурентов</t>
  </si>
  <si>
    <t>Сформирован сопоставимый контур анализа.</t>
  </si>
  <si>
    <t>2. Карта сайта</t>
  </si>
  <si>
    <t>Появляется проверяемая база доказательств, а не субъективное впечатление.</t>
  </si>
  <si>
    <t>3. Модель Левитта</t>
  </si>
  <si>
    <t>Понятно, что именно продает конкурент и за счет каких уровней формируется ценность.</t>
  </si>
  <si>
    <t>4. Модель Кано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</si>
  <si>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</si>
  <si>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</si>
  <si>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</si>
  <si>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</si>
  <si>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</si>
  <si>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</si>
  <si>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</si>
  <si>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</si>
  <si>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</si>
  <si>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</si>
  <si>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</si>
  <si>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</si>
  <si>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</si>
  <si>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</si>
  <si>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</si>
  <si>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</si>
  <si>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</si>
  <si>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</si>
  <si>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</si>
  <si>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</si>
  <si>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</si>
  <si>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</si>
  <si>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</si>
  <si>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</si>
  <si>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</si>
  <si>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</si>
  <si>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</si>
  <si>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</si>
  <si>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</si>
  <si>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</si>
  <si>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</si>
  <si>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</si>
  <si>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</si>
  <si>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</si>
  <si>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</si>
  <si>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</si>
  <si>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</si>
  <si>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</si>
  <si>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</si>
  <si>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</si>
  <si>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</si>
  <si>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</si>
  <si>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</si>
  <si>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</si>
  <si>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</si>
  <si>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</si>
  <si>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</si>
  <si>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</si>
  <si>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</si>
  <si>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</si>
  <si>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</si>
  <si>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</si>
  <si>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</si>
  <si>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</si>
  <si>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</si>
  <si>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</si>
  <si>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</si>
  <si>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</si>
  <si>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</si>
  <si>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</si>
  <si>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</si>
  <si>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</si>
  <si>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C02</t>
  </si>
  <si>
    <t>C03</t>
  </si>
  <si>
    <t>C04</t>
  </si>
  <si>
    <t>C05</t>
  </si>
  <si>
    <t>C06</t>
  </si>
  <si>
    <t>C07</t>
  </si>
  <si>
    <t>C08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</si>
  <si>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</si>
  <si>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</si>
  <si>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</si>
  <si>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</si>
  <si>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</si>
  <si>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</si>
  <si>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</si>
  <si>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</si>
  <si>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</si>
  <si>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</si>
  <si>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</si>
  <si>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</si>
  <si>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</si>
  <si>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</si>
  <si>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</si>
  <si>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</si>
  <si>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</si>
  <si>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</si>
  <si>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</si>
  <si>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</si>
  <si>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</si>
  <si>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</si>
  <si>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</si>
  <si>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</si>
  <si>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</si>
  <si>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</si>
  <si>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</si>
  <si>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</si>
  <si>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</si>
  <si>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</si>
  <si>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</si>
  <si>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</si>
  <si>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</si>
  <si>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</si>
  <si>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</si>
  <si>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</si>
  <si>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</si>
  <si>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</si>
  <si>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</si>
  <si>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</si>
  <si>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</si>
  <si>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</si>
  <si>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</si>
  <si>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</si>
  <si>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</si>
  <si>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</si>
  <si>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</si>
  <si>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</si>
  <si>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</si>
  <si>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</si>
  <si>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</si>
  <si>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</si>
  <si>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</si>
  <si>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</si>
  <si>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</si>
  <si>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</si>
  <si>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</si>
  <si>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</si>
  <si>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</si>
  <si>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</si>
  <si>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</si>
  <si>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</si>
  <si>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</si>
  <si>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</si>
  <si>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</si>
  <si>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</si>
  <si>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</si>
  <si>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</si>
  <si>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</si>
  <si>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</si>
  <si>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</si>
  <si>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</si>
  <si>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</si>
  <si>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</si>
  <si>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</si>
  <si>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</si>
  <si>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</si>
  <si>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</si>
  <si>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</si>
  <si>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</si>
  <si>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</si>
  <si>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</si>
  <si>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</si>
  <si>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</si>
  <si>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</si>
  <si>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</si>
  <si>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</si>
  <si>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</si>
  <si>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</si>
  <si>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4. Расширенный товар</t>
  </si>
  <si>
    <t>Линейное / Привлекательное</t>
  </si>
  <si>
    <t>Доверие и доказательства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</si>
  <si>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</si>
  <si>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</si>
  <si>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</si>
  <si>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</si>
  <si>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</si>
  <si>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</si>
  <si>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</si>
  <si>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</si>
  <si>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</si>
  <si>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Синтез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</si>
  <si>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</si>
  <si>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</si>
  <si>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</si>
  <si>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</si>
  <si>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</si>
  <si>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</si>
  <si>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</si>
  <si>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</si>
  <si>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</si>
  <si>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</si>
  <si>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</si>
  <si>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</si>
  <si>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</si>
  <si>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</si>
  <si>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</si>
  <si>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</si>
  <si>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</si>
  <si>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</si>
  <si>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</si>
  <si>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</si>
  <si>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</si>
  <si>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</si>
  <si>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</si>
  <si>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</si>
  <si>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</si>
  <si>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</si>
  <si>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</si>
  <si>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</si>
  <si>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</si>
  <si>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</si>
  <si>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</si>
  <si>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</si>
  <si>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</si>
  <si>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</si>
  <si>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</si>
  <si>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</si>
  <si>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</si>
  <si>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</si>
  <si>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</si>
  <si>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</si>
  <si>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</si>
  <si>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</si>
  <si>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</si>
  <si>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</si>
  <si>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</si>
  <si>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</si>
  <si>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</si>
  <si>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</si>
  <si>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</si>
  <si>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</si>
  <si>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</si>
  <si>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</si>
  <si>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</si>
  <si>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</si>
  <si>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</si>
  <si>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</si>
  <si>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</si>
  <si>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</si>
  <si>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</si>
  <si>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</si>
  <si>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</si>
  <si>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</si>
  <si>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</si>
  <si>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</si>
  <si>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Итоговый взвешенный балл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</si>
  <si>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</si>
  <si>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</si>
  <si>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</si>
  <si>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</si>
  <si>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</si>
  <si>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</si>
  <si>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</si>
  <si>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</si>
  <si>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</si>
  <si>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</si>
  <si>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</si>
  <si>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</si>
  <si>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</si>
  <si>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</si>
  <si>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</si>
  <si>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</si>
  <si>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</si>
  <si>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</si>
  <si>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</si>
  <si>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</si>
  <si>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</si>
  <si>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</si>
  <si>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</si>
  <si>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</si>
  <si>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</si>
  <si>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</si>
  <si>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</si>
  <si>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</si>
  <si>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</si>
  <si>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</si>
  <si>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</si>
  <si>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</si>
  <si>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</si>
  <si>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</si>
  <si>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</si>
  <si>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</si>
  <si>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</si>
  <si>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</si>
  <si>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</si>
  <si>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</si>
  <si>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</si>
  <si>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</si>
  <si>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</si>
  <si>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</si>
  <si>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</si>
  <si>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</si>
  <si>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</si>
  <si>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</si>
  <si>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</si>
  <si>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</si>
  <si>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</si>
  <si>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</si>
  <si>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</si>
  <si>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</si>
  <si>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</si>
  <si>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</si>
  <si>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</si>
  <si>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</si>
  <si>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</si>
  <si>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</si>
  <si>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</si>
  <si>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</si>
  <si>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</si>
  <si>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</si>
  <si>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</si>
  <si>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</si>
  <si>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</si>
  <si>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</si>
  <si>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</si>
  <si>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</si>
  <si>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</si>
  <si>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</si>
  <si>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</si>
  <si>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</si>
  <si>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</si>
  <si>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</si>
  <si>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</si>
  <si>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</si>
  <si>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</si>
  <si>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</si>
  <si>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</si>
  <si>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</si>
  <si>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</si>
  <si>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</si>
  <si>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</si>
  <si>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</si>
  <si>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</si>
  <si>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</si>
  <si>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</si>
  <si>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</si>
  <si>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</si>
  <si>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</si>
  <si>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</si>
  <si>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</si>
  <si>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</si>
  <si>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</si>
  <si>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</si>
  <si>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</si>
  <si>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</si>
  <si>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</si>
  <si>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</si>
  <si>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</si>
  <si>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</si>
  <si>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</si>
  <si>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</si>
  <si>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</si>
  <si>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</si>
  <si>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</si>
  <si>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</si>
  <si>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</si>
  <si>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</si>
  <si>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</si>
  <si>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</si>
  <si>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</si>
  <si>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</si>
  <si>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</si>
  <si>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</si>
  <si>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</si>
  <si>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</si>
  <si>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</si>
  <si>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</si>
  <si>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</si>
  <si>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</si>
  <si>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</si>
  <si>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</si>
  <si>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</si>
  <si>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высокий</t>
  </si>
  <si>
    <t>Подтверждено</t>
  </si>
  <si>
    <t>Просмотр страниц сайта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</si>
  <si>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</si>
  <si>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</si>
  <si>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</si>
  <si>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</si>
  <si>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</si>
  <si>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</si>
  <si>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</si>
  <si>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</si>
  <si>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</si>
  <si>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</si>
  <si>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</si>
  <si>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</si>
  <si>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</si>
  <si>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</si>
  <si>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</si>
  <si>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</si>
  <si>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</si>
  <si>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</si>
  <si>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</si>
  <si>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</si>
  <si>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</si>
  <si>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</si>
  <si>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</si>
  <si>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</si>
  <si>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</si>
  <si>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</si>
  <si>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</si>
  <si>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</si>
  <si>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</si>
  <si>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</si>
  <si>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</si>
  <si>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</si>
  <si>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</si>
  <si>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</si>
  <si>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</si>
  <si>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</si>
  <si>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-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</si>
  <si>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</si>
  <si>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</si>
  <si>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</si>
  <si>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</si>
  <si>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</si>
  <si>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Цены раскрыты частично</t>
  </si>
  <si>
    <t>состав товара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</si>
  <si>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</si>
  <si>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</si>
  <si>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</si>
  <si>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</si>
  <si>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</si>
  <si>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</si>
  <si>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</si>
  <si>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</si>
  <si>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</si>
  <si>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</si>
  <si>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</si>
  <si>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</si>
  <si>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</si>
  <si>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</si>
  <si>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</si>
  <si>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</si>
  <si>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</si>
  <si>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</si>
  <si>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</si>
  <si>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</si>
  <si>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</si>
  <si>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</si>
  <si>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</si>
  <si>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</si>
  <si>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</si>
  <si>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</si>
  <si>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</si>
  <si>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</si>
  <si>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</si>
  <si>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</si>
  <si>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</si>
  <si>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</si>
  <si>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</si>
  <si>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</si>
  <si>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</si>
  <si>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</si>
  <si>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</si>
  <si>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</si>
  <si>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</si>
  <si>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</si>
  <si>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безопасность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</si>
  <si>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</si>
  <si>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</si>
  <si>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</si>
  <si>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</si>
  <si>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</si>
  <si>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</si>
  <si>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</si>
  <si>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интеграции</t>
  </si>
  <si>
    <t>ценность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</si>
  <si>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</si>
  <si>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</si>
  <si>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</si>
  <si>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</si>
  <si>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</si>
  <si>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</si>
  <si>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</si>
  <si>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</si>
  <si>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</si>
  <si>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</si>
  <si>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</si>
  <si>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</si>
  <si>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</si>
  <si>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</si>
  <si>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</si>
  <si>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</si>
  <si>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</si>
  <si>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</si>
  <si>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</si>
  <si>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</si>
  <si>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цены</t>
  </si>
  <si>
    <t>Цена опубликована, лестницы тарифов нет</t>
  </si>
  <si>
    <t>Цены OAK</t>
  </si>
  <si>
    <t>https://www.operisanalysiskit.com/oak-price/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</si>
  <si>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</si>
  <si>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</si>
  <si>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</si>
  <si>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</si>
  <si>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</si>
  <si>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</si>
  <si>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Путь от пробы к подписке без продавца</t>
  </si>
  <si>
    <t>Подвал сайта</t>
  </si>
  <si>
    <t>правовые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</si>
  <si>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</si>
  <si>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</si>
  <si>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</si>
  <si>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</si>
  <si>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</si>
  <si>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</si>
  <si>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</si>
  <si>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</si>
  <si>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пробный доступ</t>
  </si>
  <si>
    <t>вход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</si>
  <si>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</si>
  <si>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</si>
  <si>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</si>
  <si>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</si>
  <si>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</si>
  <si>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Поиск ошибок формул и аномалий</t>
  </si>
  <si>
    <t>главная и продуктовые страницы</t>
  </si>
  <si>
    <t>страницы сайта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</si>
  <si>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</si>
  <si>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</si>
  <si>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</si>
  <si>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</si>
  <si>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</si>
  <si>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</si>
  <si>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</si>
  <si>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</si>
  <si>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</si>
  <si>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</si>
  <si>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</si>
  <si>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</si>
  <si>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</si>
  <si>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</si>
  <si>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</si>
  <si>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</si>
  <si>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</si>
  <si>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</si>
  <si>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Подсветка проблемных ячеек в файле</t>
  </si>
  <si>
    <t>продуктовые страницы</t>
  </si>
  <si>
    <t>Оценка рисков и здоровья модели</t>
  </si>
  <si>
    <t>Библиотека правил проверки</t>
  </si>
  <si>
    <t>страницы продукта и принципов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</si>
  <si>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</si>
  <si>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</si>
  <si>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</si>
  <si>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</si>
  <si>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</si>
  <si>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</si>
  <si>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Автоматическое исправление ошибок</t>
  </si>
  <si>
    <t>страница агента</t>
  </si>
  <si>
    <t>Работа в Google Sheets</t>
  </si>
  <si>
    <t>главная и интеграции</t>
  </si>
  <si>
    <t>Политика хранения и удаления данных</t>
  </si>
  <si>
    <t>Ролевой доступ в команде</t>
  </si>
  <si>
    <t>страницы безопасности и цен</t>
  </si>
  <si>
    <t>Журнал изменений и трассировка источников</t>
  </si>
  <si>
    <t>страницы безопасности и продукта</t>
  </si>
  <si>
    <t>Доказательство вывода детерминированным движком</t>
  </si>
  <si>
    <t>заявления о проверяемости</t>
  </si>
  <si>
    <t>Интеграции с ERP и учетными системами</t>
  </si>
  <si>
    <t>страница интеграций</t>
  </si>
  <si>
    <t>Извлечение данных из документов</t>
  </si>
  <si>
    <t>найти ошибки до отправки файла</t>
  </si>
  <si>
    <t>включить в MVP (ядро проверки)</t>
  </si>
  <si>
    <t>понять, как считается результат</t>
  </si>
  <si>
    <t>рассмотреть во втором релизе</t>
  </si>
  <si>
    <t>увидеть, что изменилось</t>
  </si>
  <si>
    <t>рассмотреть как дифференциацию после MVP</t>
  </si>
  <si>
    <t>передать результат проверки</t>
  </si>
  <si>
    <t>включить в MVP в базовой форме, экспорт - во втором релизе</t>
  </si>
  <si>
    <t>работать в привычной среде</t>
  </si>
  <si>
    <t>включить в релиз 3 (бета v1); в MVP его заменяет веб-аудит</t>
  </si>
  <si>
    <t>быстро проверить файл</t>
  </si>
  <si>
    <t>понять причину и исправление</t>
  </si>
  <si>
    <t>рассмотреть для релиза 3 после проверки спроса (AI-пояснения)</t>
  </si>
  <si>
    <t>довериться результату проверки</t>
  </si>
  <si>
    <t>включить в MVP как ядро дифференциации</t>
  </si>
  <si>
    <t>безопасно загружать файлы</t>
  </si>
  <si>
    <t>включить в MVP</t>
  </si>
  <si>
    <t>попробовать без обязательств</t>
  </si>
  <si>
    <t>включить в MVP (бесплатный тариф)</t>
  </si>
  <si>
    <t>понять цену до разговора с продавцом</t>
  </si>
  <si>
    <t>включить в MVP (страница тарифов)</t>
  </si>
  <si>
    <t>встроить проверку в процесс</t>
  </si>
  <si>
    <t>рассмотреть после проверки спроса (API)</t>
  </si>
  <si>
    <t>убедиться в надежности поставщика</t>
  </si>
  <si>
    <t>включить в MVP (примеры найденных ошибок, первые отзывы)</t>
  </si>
  <si>
    <t>освоить продукт без помощи</t>
  </si>
  <si>
    <t>включить в MVP в минимальной форме (справка)</t>
  </si>
  <si>
    <t>работать группой</t>
  </si>
  <si>
    <t>включить в релиз Team (следующий релиз)</t>
  </si>
  <si>
    <t>увидеть ошибки прямо в таблице</t>
  </si>
  <si>
    <t>рассмотреть как дифференциацию</t>
  </si>
  <si>
    <t>понять общий уровень риска файла</t>
  </si>
  <si>
    <t>проверять по известным принципам моделирования</t>
  </si>
  <si>
    <t>рассмотреть как дифференциацию (шаблоны правил)</t>
  </si>
  <si>
    <t>использовать сервис вне Excel</t>
  </si>
  <si>
    <t>не делать (вне границ ПЗ1)</t>
  </si>
  <si>
    <t>получать данные из учета без выгрузки</t>
  </si>
  <si>
    <t>не делать при дефиците ресурсов</t>
  </si>
  <si>
    <t>знать, сколько хранится файл</t>
  </si>
  <si>
    <t>разграничить права пользователей</t>
  </si>
  <si>
    <t>включить в релиз Team</t>
  </si>
  <si>
    <t>проследить каждое изменение и источник</t>
  </si>
  <si>
    <t>сверить таблицу с первичными документами</t>
  </si>
  <si>
    <t>Методология 39 принципов, подтвержденная вузами, и клиенты Big-4</t>
  </si>
  <si>
    <t>perfectxl.com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</si>
  <si>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</si>
  <si>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</si>
  <si>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</si>
  <si>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</si>
  <si>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</si>
  <si>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</si>
  <si>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</si>
  <si>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</si>
  <si>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</si>
  <si>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</si>
  <si>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</si>
  <si>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</si>
  <si>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</si>
  <si>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</si>
  <si>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</si>
  <si>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</si>
  <si>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</si>
  <si>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</si>
  <si>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</si>
  <si>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</si>
  <si>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</si>
  <si>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</si>
  <si>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</si>
  <si>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</si>
  <si>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</si>
  <si>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</si>
  <si>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</si>
  <si>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</si>
  <si>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</si>
  <si>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</si>
  <si>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</si>
  <si>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</si>
  <si>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</si>
  <si>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</si>
  <si>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</si>
  <si>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</si>
  <si>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</si>
  <si>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</si>
  <si>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</si>
  <si>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</si>
  <si>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</si>
  <si>
    <t>Анализ конкурентов по сайтам</t>
  </si>
  <si>
    <t>Зафиксировать проверенные страницы - главная, лендинг товара, тарифы, функциональные страницы, личный кабинет, поддержка, вопросы и ответы, блог, документация.</t>
  </si>
  <si>
    <t>Разложить цифровой товар на уровни - базовая выгода, родовой товар, ожидаемый товар, расширенный товар, потенциальный товар.</t>
  </si>
  <si>
    <t>Классифицировать функции и признаки товара - обязательные, линейные, привлекательные, безразличные, обратные, неясные.</t>
  </si>
  <si>
    <t>На листе «05_Матрица_товара» собрать описание целевого цифрового товара - для кого, какую задачу решает, какие функции включает, где границы продукта.</t>
  </si>
  <si>
    <t>4–5 - признак способен влиять на выбор товара.</t>
  </si>
  <si>
    <t>PerfectXL Suite - Risk Finder, Explore, Compare, Highlighter, Formula Inspector, Source Inspector</t>
  </si>
  <si>
    <t>лицензия на надстройку (3,2 у.е. за пользователя в месяц, срок 12-36 месяцев)</t>
  </si>
  <si>
    <t>Arixcel Explorer - логика формул, сравнение таблиц, карта формул, трассировка зависимых ячеек</t>
  </si>
  <si>
    <t>подписка 8,9 у.е. в месяц</t>
  </si>
  <si>
    <t>FinanceOS - FP&amp;A, закрытие месяца, денежные потоки, контроль расходов</t>
  </si>
  <si>
    <t>один инструмент от 69 у.е. в месяц; пакеты без цен; обучение от 49 у.е.</t>
  </si>
  <si>
    <t>надстройка Excel - логика формул, сравнение, карта формул, трассировка</t>
  </si>
  <si>
    <t>Free, Pro 89 у.е., Teams 284 у.е. + 89 у.е. за место, Enterprise</t>
  </si>
  <si>
    <t>8,9 у.е. в месяц, 7 дней пробного периода</t>
  </si>
  <si>
    <t>3,2 у.е. за пользователя в месяц, лицензия 12-36 месяцев, только Windows, пробный режим</t>
  </si>
  <si>
    <t>подписка 365 у.е. в год, более 30 инструментов, Try OAK и Buy now</t>
  </si>
  <si>
    <t>7 дней бесплатно, оплата за год, 8,9 у.е. в месяц, лимит 500 тыс. символов</t>
  </si>
  <si>
    <t>реализовано в MVP - веб-аудит без установки</t>
  </si>
  <si>
    <t>Какой минимальный цифровой объект продается - сервис, приложение, платформа, курс, кабинет, база данных, подписка?</t>
  </si>
  <si>
    <t>Как организован доступ - сайт, приложение, личный кабинет, мобильная версия, интеграции?</t>
  </si>
  <si>
    <t>Какие дополнительные функции повышают ценность - персонализация, аналитика, рекомендации, автоматизация?</t>
  </si>
  <si>
    <t>Какие элементы подтверждают надежность - кейсы, отзывы, сертификаты, политика безопасности, гарантии?</t>
  </si>
  <si>
    <t>Сформулируйте итог - цифровой товар - это… для… который решает… за счет…</t>
  </si>
  <si>
    <t>Показана измеримая выгода - экономия времени, денег, снижение риска, рост результата</t>
  </si>
  <si>
    <t>Призыв к действию соответствует стадии выбора - узнать, попробовать, купить, запросить демо</t>
  </si>
  <si>
    <t>Есть признаки будущего развития товара - дорожная карта, обновления, новые функции</t>
  </si>
  <si>
    <t>Меньше 5 - риск случайных выводов.</t>
  </si>
  <si>
    <t>Минимальная форма товара - сервис, приложение, кабинет, база, подписка.</t>
  </si>
  <si>
    <t>Лист «01_Конкуренты» - прямые конкуренты, косвенные конкуренты, эталонные сайты для наблюдения за лучшей практикой.</t>
  </si>
  <si>
    <t>Товар конкурента на уровни - от базовой выгоды до потенциального развития. Оценка признака рассчитывается автоматически.</t>
  </si>
  <si>
    <t>Требования к цифровому товару - что обязательно, что прямо повышает удовлетворенность, а что создает эффект привлекательности.</t>
  </si>
  <si>
    <t>Рассчитывается формулой</t>
  </si>
  <si>
    <t>Назначение -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</t>
  </si>
  <si>
    <t>0 - отсутствует; 1-3 - степень проявления.</t>
  </si>
  <si>
    <t>Список конкурентов и базовые параметры. ID конкурента используется в остальных листах для связки данных</t>
  </si>
  <si>
    <t>Карта страниц сайта конкурента</t>
  </si>
  <si>
    <t>Каждую страницу, которая стала источником вывода. Это повышает воспроизводимость анализа и качество итоговых решений</t>
  </si>
  <si>
    <t>Анализ цифрового товара по модели Левитта</t>
  </si>
  <si>
    <t>Классификация признаков по модели Кано</t>
  </si>
  <si>
    <t>Используйте этот лист для итогового синтеза - какие элементы входят в цифровой товар, какие являются обязательными, а какие формируют отличие</t>
  </si>
  <si>
    <t>Определение цифрового товара</t>
  </si>
  <si>
    <t>Сравнительная оценка конкурентов</t>
  </si>
  <si>
    <t>Каждый критерий по шкале 0–5. Вес показывает влияние критерия на товарную конкурентоспособность</t>
  </si>
  <si>
    <t>4_Кано</t>
  </si>
  <si>
    <t>Определение рыночного стандарта</t>
  </si>
  <si>
    <t>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</si>
  <si>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</t>
  </si>
  <si>
    <t>Учесть при формировании предложения TableMind</t>
  </si>
  <si>
    <t>Дашборд анализа цифрового товара</t>
  </si>
  <si>
    <t>Справочники для заполнения</t>
  </si>
  <si>
    <t>Рыночный стандарт задают признаки Надстройка для Excel (7 из 7); Кейсы, клиенты и отзывы (5 из 7); Командная работа и совместный аудит (5 из 7): без них товар воспринимается слабее рынка.</t>
  </si>
  <si>
    <t>Нельзя игнорировать обязательные признаки по Кано: Поиск ошибок формул и аномалий; Надстройка для Excel; Безопасность и соответствие (SOC 2, GDPR); Пробный доступ или бесплатный тариф; Политика хранения и удаления данных.</t>
  </si>
  <si>
    <t>Зоны дифференциации: Доказательство вывода детерминированным движком (2 из 7); Автоматическое исправление ошибок (1 из 7); Оценка рисков и здоровья модели (2 из 7); это признаки с низкой долей конкурентов, на которых TableMind строит отличие.</t>
  </si>
  <si>
    <t>Копирование без проверки спроса рискованно: видимые элементы сайта (тарифы, набор функций) воспроизводятся быстро, а методология, данные и интеграции конкурентов требуют лет работы, поэтому TableMind повторяет только рыночный стандарт и отличается доказательностью вывода.</t>
  </si>
  <si>
    <t>Лучшие итоговые баллы у Shortcut (4,09), DataSnipper (3,80) и PerfectXL (3,62); сильные преимущества: SOC 2 Type II и нулевое хранение данных у C04; Более 600 интеграций и 2 000 клиентов у C06; Доверие Big-4 и соответствие регуляторике аудита у C07.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</si>
</sst>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</fills>
  <borders count="7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 style="thin">
        <color rgb="FF9DC3E6"/>
      </right>
      <top style="thin">
        <color rgb="FF9DC3E6"/>
      </top>
      <bottom style="thin">
        <color rgb="FF9DC3E6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4" fillId="0" borderId="0" xfId="0" applyFont="1" applyAlignment="1">
      <alignment vertical="center" wrapText="1"/>
    </xf>
    <xf numFmtId="0" fontId="2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2" fillId="4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0" borderId="4" xfId="1" applyFont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9" fontId="4" fillId="0" borderId="1" xfId="1" applyNumberFormat="1" applyFont="1" applyBorder="1" applyAlignment="1">
      <alignment horizontal="center" vertical="center" wrapText="1"/>
    </xf>
    <xf numFmtId="9" fontId="4" fillId="0" borderId="2" xfId="1" applyNumberFormat="1" applyFont="1" applyBorder="1" applyAlignment="1">
      <alignment horizontal="center" vertical="center" wrapText="1"/>
    </xf>
    <xf numFmtId="9" fontId="4" fillId="0" borderId="3" xfId="1" applyNumberFormat="1" applyFont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9" fontId="4" fillId="0" borderId="4" xfId="1" applyNumberFormat="1" applyFont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1" applyFont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5" fillId="2" borderId="4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5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3" borderId="6" xfId="1" applyFont="1" applyFill="1" applyBorder="1" applyAlignment="1">
      <alignment horizontal="center" vertical="center" wrapText="1"/>
    </xf>
    <xf numFmtId="2" fontId="4" fillId="0" borderId="4" xfId="1" applyNumberFormat="1" applyFont="1" applyBorder="1" applyAlignment="1">
      <alignment horizontal="center" vertical="center" wrapText="1"/>
    </xf>
    <xf numFmtId="2" fontId="4" fillId="0" borderId="3" xfId="1" applyNumberFormat="1" applyFont="1" applyBorder="1" applyAlignment="1">
      <alignment horizontal="center" vertical="center" wrapText="1"/>
    </xf>
    <xf numFmtId="2" fontId="4" fillId="3" borderId="1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122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>
              <a:srgbClr val="1F4E79"/>
            </a:solidFill>
          </c:spPr>
          <c:invertIfNegative val="1"/>
          <c:cat>
            <c:strRef>
              <c:f>'9_Дашборд'!$F$4:$F$9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'9_Дашборд'!$G$4:$G$9</c:f>
              <c:numCache>
                <c:formatCode>General</c:formatCode>
                <c:ptCount val="6"/>
                <c:pt idx="0">
                  <c:v>5</c:v>
                </c:pt>
                <c:pt idx="1">
                  <c:v>11</c:v>
                </c:pt>
                <c:pt idx="2">
                  <c:v>5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B078-4FF6-ADDC-45E58F682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/>
              <a:t>Итоговый взвешенный балл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взвешенный балл</c:v>
          </c:tx>
          <c:spPr>
            <a:solidFill>
              <a:srgbClr val="1F4E79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'9_Дашборд'!$A$14:$G$14</c:f>
              <c:strCache>
                <c:ptCount val="7"/>
                <c:pt idx="0">
                  <c:v>PerfectXL</c:v>
                </c:pt>
                <c:pt idx="1">
                  <c:v>Arixcel</c:v>
                </c:pt>
                <c:pt idx="2">
                  <c:v>Operis</c:v>
                </c:pt>
                <c:pt idx="3">
                  <c:v>Shortcut</c:v>
                </c:pt>
                <c:pt idx="4">
                  <c:v>Numerous.ai</c:v>
                </c:pt>
                <c:pt idx="5">
                  <c:v>Datarails</c:v>
                </c:pt>
                <c:pt idx="6">
                  <c:v>DataSnipper</c:v>
                </c:pt>
              </c:strCache>
            </c:strRef>
          </c:cat>
          <c:val>
            <c:numRef>
              <c:f>'9_Дашборд'!$A$15:$G$15</c:f>
              <c:numCache>
                <c:formatCode>0.00</c:formatCode>
                <c:ptCount val="7"/>
                <c:pt idx="0">
                  <c:v>3.62</c:v>
                </c:pt>
                <c:pt idx="1">
                  <c:v>2.48</c:v>
                </c:pt>
                <c:pt idx="2">
                  <c:v>2.34</c:v>
                </c:pt>
                <c:pt idx="3">
                  <c:v>4.09</c:v>
                </c:pt>
                <c:pt idx="4">
                  <c:v>3.32</c:v>
                </c:pt>
                <c:pt idx="5">
                  <c:v>3.54</c:v>
                </c:pt>
                <c:pt idx="6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17-46E1-B2C9-7FBBE2376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6026656"/>
        <c:axId val="576025824"/>
      </c:barChart>
      <c:catAx>
        <c:axId val="576026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76025824"/>
        <c:crosses val="autoZero"/>
        <c:auto val="1"/>
        <c:lblAlgn val="ctr"/>
        <c:lblOffset val="100"/>
        <c:noMultiLvlLbl val="0"/>
      </c:catAx>
      <c:valAx>
        <c:axId val="57602582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576026656"/>
        <c:crosses val="autoZero"/>
        <c:crossBetween val="between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12700">
      <a:noFill/>
      <a:prstDash val="solid"/>
      <a:round/>
    </a:ln>
    <a:effectLst/>
    <a:extLst>
      <a:ext uri="{91240B29-F687-4F45-9708-019B960494DF}">
        <a14:hiddenLine xmlns:a14="http://schemas.microsoft.com/office/drawing/2010/main" w="12700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3</xdr:col>
      <xdr:colOff>87311</xdr:colOff>
      <xdr:row>45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665162</xdr:colOff>
      <xdr:row>26</xdr:row>
      <xdr:rowOff>85726</xdr:rowOff>
    </xdr:from>
    <xdr:to>
      <xdr:col>5</xdr:col>
      <xdr:colOff>1030287</xdr:colOff>
      <xdr:row>46</xdr:row>
      <xdr:rowOff>19051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4EE4CA9-C9E8-4E30-8F86-A6E0465CC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3:K10" headerRowDxfId="121" dataDxfId="120" totalsRowDxfId="119">
  <tableColumns count="11">
    <tableColumn id="1" xr3:uid="{00000000-0010-0000-0000-000001000000}" name="ID" dataDxfId="118"/>
    <tableColumn id="2" xr3:uid="{00000000-0010-0000-0000-000002000000}" name="Наименование конкурента" dataDxfId="117"/>
    <tableColumn id="3" xr3:uid="{00000000-0010-0000-0000-000003000000}" name="Сайт" dataDxfId="116"/>
    <tableColumn id="4" xr3:uid="{00000000-0010-0000-0000-000004000000}" name="Страна/рынок" dataDxfId="115"/>
    <tableColumn id="5" xr3:uid="{00000000-0010-0000-0000-000005000000}" name="Тип конкурента" dataDxfId="114"/>
    <tableColumn id="6" xr3:uid="{00000000-0010-0000-0000-000006000000}" name="Сегмент аудитории" dataDxfId="113"/>
    <tableColumn id="7" xr3:uid="{00000000-0010-0000-0000-000007000000}" name="Модель монетизации" dataDxfId="112"/>
    <tableColumn id="8" xr3:uid="{00000000-0010-0000-0000-000008000000}" name="Цифровой товар по сайту" dataDxfId="111"/>
    <tableColumn id="9" xr3:uid="{00000000-0010-0000-0000-000009000000}" name="Приоритет анализа" dataDxfId="110"/>
    <tableColumn id="10" xr3:uid="{00000000-0010-0000-0000-00000A000000}" name="Статус" dataDxfId="109"/>
    <tableColumn id="11" xr3:uid="{00000000-0010-0000-0000-00000B000000}" name="Комментарий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3:J35" headerRowDxfId="107" dataDxfId="106" totalsRowDxfId="105">
  <tableColumns count="10">
    <tableColumn id="1" xr3:uid="{00000000-0010-0000-0100-000001000000}" name="ID конкурента" dataDxfId="104"/>
    <tableColumn id="2" xr3:uid="{00000000-0010-0000-0100-000002000000}" name="Раздел/страница" dataDxfId="103"/>
    <tableColumn id="3" xr3:uid="{00000000-0010-0000-0100-000003000000}" name="URL" dataDxfId="102"/>
    <tableColumn id="4" xr3:uid="{00000000-0010-0000-0100-000004000000}" name="Тип страницы" dataDxfId="101"/>
    <tableColumn id="5" xr3:uid="{00000000-0010-0000-0100-000005000000}" name="Цель анализа" dataDxfId="100"/>
    <tableColumn id="6" xr3:uid="{00000000-0010-0000-0100-000006000000}" name="Что извлекаем" dataDxfId="99"/>
    <tableColumn id="7" xr3:uid="{00000000-0010-0000-0100-000007000000}" name="Дата просмотра" dataDxfId="98"/>
    <tableColumn id="8" xr3:uid="{00000000-0010-0000-0100-000008000000}" name="Скриншот/архив" dataDxfId="97"/>
    <tableColumn id="9" xr3:uid="{00000000-0010-0000-0100-000009000000}" name="Достоверность 1–5" dataDxfId="96"/>
    <tableColumn id="10" xr3:uid="{00000000-0010-0000-0100-00000A000000}" name="Краткий вывод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3:N81" headerRowDxfId="94" dataDxfId="93" totalsRowDxfId="92">
  <tableColumns count="14">
    <tableColumn id="1" xr3:uid="{00000000-0010-0000-0200-000001000000}" name="ID конкурента" dataDxfId="91"/>
    <tableColumn id="2" xr3:uid="{00000000-0010-0000-0200-000002000000}" name="Товар/предложение" dataDxfId="90"/>
    <tableColumn id="3" xr3:uid="{00000000-0010-0000-0200-000003000000}" name="URL/страница" dataDxfId="89"/>
    <tableColumn id="4" xr3:uid="{00000000-0010-0000-0200-000004000000}" name="Уровень товара по Левитту" dataDxfId="88"/>
    <tableColumn id="5" xr3:uid="{00000000-0010-0000-0200-000005000000}" name="Элемент товара / признак" dataDxfId="87"/>
    <tableColumn id="6" xr3:uid="{00000000-0010-0000-0200-000006000000}" name="Как проявлен на сайте" dataDxfId="86"/>
    <tableColumn id="7" xr3:uid="{00000000-0010-0000-0200-000007000000}" name="Доказательство" dataDxfId="85"/>
    <tableColumn id="8" xr3:uid="{00000000-0010-0000-0200-000008000000}" name="Наличие 0/1" dataDxfId="84"/>
    <tableColumn id="9" xr3:uid="{00000000-0010-0000-0200-000009000000}" name="Сила реализации 0–3" dataDxfId="83"/>
    <tableColumn id="10" xr3:uid="{00000000-0010-0000-0200-00000A000000}" name="Понятность 0–3" dataDxfId="82"/>
    <tableColumn id="11" xr3:uid="{00000000-0010-0000-0200-00000B000000}" name="Влияние на ценность 1–5" dataDxfId="81"/>
    <tableColumn id="12" xr3:uid="{00000000-0010-0000-0200-00000C000000}" name="Оценка признака" dataDxfId="80"/>
    <tableColumn id="13" xr3:uid="{00000000-0010-0000-0200-00000D000000}" name="Роль признака" dataDxfId="79"/>
    <tableColumn id="14" xr3:uid="{00000000-0010-0000-0200-00000E000000}" name="Примечание" dataDxfId="7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3:M28" headerRowDxfId="77" dataDxfId="76" totalsRowDxfId="75">
  <tableColumns count="13">
    <tableColumn id="1" xr3:uid="{00000000-0010-0000-0300-000001000000}" name="ID требования" dataDxfId="74"/>
    <tableColumn id="2" xr3:uid="{00000000-0010-0000-0300-000002000000}" name="Функция / признак товара" dataDxfId="73"/>
    <tableColumn id="3" xr3:uid="{00000000-0010-0000-0300-000003000000}" name="Пользовательская задача" dataDxfId="72"/>
    <tableColumn id="4" xr3:uid="{00000000-0010-0000-0300-000004000000}" name="Доказательства с сайтов" dataDxfId="71"/>
    <tableColumn id="5" xr3:uid="{00000000-0010-0000-0300-000005000000}" name="Категория Кано" dataDxfId="70"/>
    <tableColumn id="6" xr3:uid="{00000000-0010-0000-0300-000006000000}" name="Вес 1–5" dataDxfId="69"/>
    <tableColumn id="7" xr3:uid="{00000000-0010-0000-0300-000007000000}" name="Кол-во конкурентов с признаком" dataDxfId="68"/>
    <tableColumn id="8" xr3:uid="{00000000-0010-0000-0300-000008000000}" name="Доля конкурентов" dataDxfId="67"/>
    <tableColumn id="9" xr3:uid="{00000000-0010-0000-0300-000009000000}" name="Средняя сила реализации 0–5" dataDxfId="66"/>
    <tableColumn id="10" xr3:uid="{00000000-0010-0000-0300-00000A000000}" name="Интерпретация" dataDxfId="65"/>
    <tableColumn id="11" xr3:uid="{00000000-0010-0000-0300-00000B000000}" name="Решение для своего товара" dataDxfId="64"/>
    <tableColumn id="12" xr3:uid="{00000000-0010-0000-0300-00000C000000}" name="Ответственный" dataDxfId="63"/>
    <tableColumn id="13" xr3:uid="{00000000-0010-0000-0300-00000D000000}" name="Примечание" dataDxfId="6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3:L15" headerRowDxfId="61" dataDxfId="60" totalsRowDxfId="59">
  <tableColumns count="12">
    <tableColumn id="1" xr3:uid="{00000000-0010-0000-0400-000001000000}" name="Блок определения" dataDxfId="58"/>
    <tableColumn id="2" xr3:uid="{00000000-0010-0000-0400-000002000000}" name="Вопрос для анализа" dataDxfId="57"/>
    <tableColumn id="3" xr3:uid="{00000000-0010-0000-0400-000003000000}" name="Вывод по рынку" dataDxfId="56"/>
    <tableColumn id="4" xr3:uid="{00000000-0010-0000-0400-000004000000}" name="Доказательства" dataDxfId="55"/>
    <tableColumn id="5" xr3:uid="{00000000-0010-0000-0400-000005000000}" name="Связь с Левиттом" dataDxfId="54"/>
    <tableColumn id="6" xr3:uid="{00000000-0010-0000-0400-000006000000}" name="Связь с Кано" dataDxfId="53"/>
    <tableColumn id="7" xr3:uid="{00000000-0010-0000-0400-000007000000}" name="Статус для своего товара" dataDxfId="52"/>
    <tableColumn id="8" xr3:uid="{00000000-0010-0000-0400-000008000000}" name="Минимальная реализация" dataDxfId="51"/>
    <tableColumn id="9" xr3:uid="{00000000-0010-0000-0400-000009000000}" name="Расширенная реализация" dataDxfId="50"/>
    <tableColumn id="10" xr3:uid="{00000000-0010-0000-0400-00000A000000}" name="Риск исключения" dataDxfId="49"/>
    <tableColumn id="11" xr3:uid="{00000000-0010-0000-0400-00000B000000}" name="Решение" dataDxfId="48"/>
    <tableColumn id="12" xr3:uid="{00000000-0010-0000-0400-00000C000000}" name="Комментарий" dataDxfId="4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3:O28" headerRowDxfId="46" dataDxfId="45" totalsRowDxfId="44">
  <tableColumns count="15">
    <tableColumn id="1" xr3:uid="{00000000-0010-0000-0500-000001000000}" name="ID критерия" dataDxfId="43"/>
    <tableColumn id="2" xr3:uid="{00000000-0010-0000-0500-000002000000}" name="Группа" dataDxfId="42"/>
    <tableColumn id="3" xr3:uid="{00000000-0010-0000-0500-000003000000}" name="Критерий" dataDxfId="41"/>
    <tableColumn id="4" xr3:uid="{00000000-0010-0000-0500-000004000000}" name="Вес" dataDxfId="40"/>
    <tableColumn id="5" xr3:uid="{00000000-0010-0000-0500-000005000000}" name="C01" dataDxfId="39"/>
    <tableColumn id="6" xr3:uid="{00000000-0010-0000-0500-000006000000}" name="C02" dataDxfId="38"/>
    <tableColumn id="7" xr3:uid="{00000000-0010-0000-0500-000007000000}" name="C03" dataDxfId="37"/>
    <tableColumn id="8" xr3:uid="{00000000-0010-0000-0500-000008000000}" name="C04" dataDxfId="36"/>
    <tableColumn id="9" xr3:uid="{00000000-0010-0000-0500-000009000000}" name="C05" dataDxfId="35"/>
    <tableColumn id="10" xr3:uid="{00000000-0010-0000-0500-00000A000000}" name="C06" dataDxfId="34"/>
    <tableColumn id="11" xr3:uid="{00000000-0010-0000-0500-00000B000000}" name="C07" dataDxfId="33"/>
    <tableColumn id="12" xr3:uid="{00000000-0010-0000-0500-00000C000000}" name="C08" dataDxfId="32"/>
    <tableColumn id="13" xr3:uid="{00000000-0010-0000-0500-00000D000000}" name="Среднее" dataDxfId="31"/>
    <tableColumn id="14" xr3:uid="{00000000-0010-0000-0500-00000E000000}" name="Лучший балл" dataDxfId="30"/>
    <tableColumn id="15" xr3:uid="{00000000-0010-0000-0500-00000F000000}" name="Лидер" dataDxfId="2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3:I28" headerRowDxfId="28" dataDxfId="27" totalsRowDxfId="26">
  <tableColumns count="9">
    <tableColumn id="1" xr3:uid="{00000000-0010-0000-0600-000001000000}" name="ID признака" dataDxfId="25"/>
    <tableColumn id="2" xr3:uid="{00000000-0010-0000-0600-000002000000}" name="Признак / требование" dataDxfId="24"/>
    <tableColumn id="3" xr3:uid="{00000000-0010-0000-0600-000003000000}" name="Источник" dataDxfId="23"/>
    <tableColumn id="4" xr3:uid="{00000000-0010-0000-0600-000004000000}" name="Уровень Левитта" dataDxfId="22"/>
    <tableColumn id="5" xr3:uid="{00000000-0010-0000-0600-000005000000}" name="Категория Кано" dataDxfId="21"/>
    <tableColumn id="6" xr3:uid="{00000000-0010-0000-0600-000006000000}" name="Кол-во конкурентов" dataDxfId="20"/>
    <tableColumn id="7" xr3:uid="{00000000-0010-0000-0600-000007000000}" name="Доля конкурентов" dataDxfId="19"/>
    <tableColumn id="8" xr3:uid="{00000000-0010-0000-0600-000008000000}" name="Средняя сила 0–5" dataDxfId="18"/>
    <tableColumn id="9" xr3:uid="{00000000-0010-0000-0600-000009000000}" name="Статус" dataDxfId="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3:N11" headerRowDxfId="16" dataDxfId="15" totalsRowDxfId="14">
  <tableColumns count="14">
    <tableColumn id="1" xr3:uid="{00000000-0010-0000-0700-000001000000}" name="ID" dataDxfId="13"/>
    <tableColumn id="2" xr3:uid="{00000000-0010-0000-0700-000002000000}" name="ID конкурента" dataDxfId="12"/>
    <tableColumn id="3" xr3:uid="{00000000-0010-0000-0700-000003000000}" name="Признак преимущества" dataDxfId="11"/>
    <tableColumn id="4" xr3:uid="{00000000-0010-0000-0700-000004000000}" name="Доказательство / URL" dataDxfId="10"/>
    <tableColumn id="5" xr3:uid="{00000000-0010-0000-0700-000005000000}" name="Уровень Левитта" dataDxfId="9"/>
    <tableColumn id="6" xr3:uid="{00000000-0010-0000-0700-000006000000}" name="Категория Кано" dataDxfId="8"/>
    <tableColumn id="7" xr3:uid="{00000000-0010-0000-0700-000007000000}" name="Тип преимущества" dataDxfId="7"/>
    <tableColumn id="8" xr3:uid="{00000000-0010-0000-0700-000008000000}" name="Редкость 1–5" dataDxfId="6"/>
    <tableColumn id="9" xr3:uid="{00000000-0010-0000-0700-000009000000}" name="Сила 1–5" dataDxfId="5"/>
    <tableColumn id="10" xr3:uid="{00000000-0010-0000-0700-00000A000000}" name="Пользовательская ценность 1–5" dataDxfId="4"/>
    <tableColumn id="11" xr3:uid="{00000000-0010-0000-0700-00000B000000}" name="Качество доказательства 1–5" dataDxfId="3"/>
    <tableColumn id="12" xr3:uid="{00000000-0010-0000-0700-00000C000000}" name="Индекс преимущества" dataDxfId="2"/>
    <tableColumn id="13" xr3:uid="{00000000-0010-0000-0700-00000D000000}" name="Вывод" dataDxfId="1"/>
    <tableColumn id="14" xr3:uid="{00000000-0010-0000-0700-00000E000000}" name="Как использовать для своего товара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58" workbookViewId="0">
      <selection activeCell="B24" sqref="B24"/>
    </sheetView>
  </sheetViews>
  <sheetFormatPr defaultRowHeight="13.5"/>
  <cols>
    <col min="1" max="1" width="36.125" style="25" customWidth="1"/>
    <col min="2" max="3" width="52.5625" style="25" customWidth="1"/>
    <col min="4" max="4" width="13" style="25" customWidth="1"/>
    <col min="5" max="5" width="14.0625" style="25" customWidth="1"/>
    <col min="6" max="6" width="17.1875" style="25" customWidth="1"/>
    <col min="7" max="7" width="18.25" style="25" customWidth="1"/>
    <col min="8" max="9" width="52.5625" style="25" customWidth="1"/>
    <col min="10" max="16384" width="9" style="25"/>
  </cols>
  <sheetData>
    <row r="1" spans="1:9" ht="20" customHeight="1">
      <c r="A1" s="27" t="s">
        <v>649</v>
      </c>
      <c r="B1" s="27"/>
      <c r="C1" s="27"/>
      <c r="D1" s="27"/>
      <c r="E1" s="27"/>
      <c r="F1" s="27"/>
      <c r="G1" s="27"/>
      <c r="H1" s="27"/>
      <c r="I1" s="28"/>
    </row>
    <row r="2" spans="1:9" ht="20" customHeight="1">
      <c r="A2" s="29" t="s">
        <v>682</v>
      </c>
      <c r="B2" s="29"/>
      <c r="C2" s="29"/>
      <c r="D2" s="30"/>
      <c r="E2" s="30"/>
      <c r="F2" s="30"/>
      <c r="G2" s="30"/>
      <c r="H2" s="30"/>
      <c r="I2" s="31"/>
    </row>
    <row r="3" spans="1:9" ht="14.25">
      <c r="A3" s="2" t="s">
        <v>0</v>
      </c>
      <c r="B3" s="2" t="s">
        <v>1</v>
      </c>
      <c r="C3" s="6" t="s">
        <v>2</v>
      </c>
      <c r="D3" s="23"/>
      <c r="E3" s="23"/>
      <c r="F3" s="23"/>
      <c r="G3" s="23"/>
      <c r="H3" s="23"/>
      <c r="I3" s="23"/>
    </row>
    <row r="4" spans="1:9" ht="42.75">
      <c r="A4" s="8" t="s">
        <v>3</v>
      </c>
      <c r="B4" s="8" t="s">
        <v>678</v>
      </c>
      <c r="C4" s="13" t="s">
        <v>4</v>
      </c>
      <c r="D4" s="23"/>
      <c r="E4" s="23"/>
      <c r="F4" s="23"/>
      <c r="G4" s="23"/>
      <c r="H4" s="23"/>
      <c r="I4" s="23"/>
    </row>
    <row r="5" spans="1:9" ht="42.75">
      <c r="A5" s="8" t="s">
        <v>5</v>
      </c>
      <c r="B5" s="8" t="s">
        <v>650</v>
      </c>
      <c r="C5" s="13" t="s">
        <v>6</v>
      </c>
      <c r="D5" s="23"/>
      <c r="E5" s="23"/>
      <c r="F5" s="23"/>
      <c r="G5" s="23"/>
      <c r="H5" s="23"/>
      <c r="I5" s="23"/>
    </row>
    <row r="6" spans="1:9" ht="42.75">
      <c r="A6" s="8" t="s">
        <v>7</v>
      </c>
      <c r="B6" s="8" t="s">
        <v>651</v>
      </c>
      <c r="C6" s="13" t="s">
        <v>8</v>
      </c>
      <c r="D6" s="23"/>
      <c r="E6" s="23"/>
      <c r="F6" s="23"/>
      <c r="G6" s="23"/>
      <c r="H6" s="23"/>
      <c r="I6" s="23"/>
    </row>
    <row r="7" spans="1:9" ht="28.5">
      <c r="A7" s="8" t="s">
        <v>9</v>
      </c>
      <c r="B7" s="8" t="s">
        <v>652</v>
      </c>
      <c r="C7" s="13" t="s">
        <v>10</v>
      </c>
      <c r="D7" s="23"/>
      <c r="E7" s="23"/>
      <c r="F7" s="23"/>
      <c r="G7" s="23"/>
      <c r="H7" s="23"/>
      <c r="I7" s="23"/>
    </row>
    <row r="8" spans="1:9" ht="28.5">
      <c r="A8" s="8" t="s">
        <v>11</v>
      </c>
      <c r="B8" s="8" t="s">
        <v>12</v>
      </c>
      <c r="C8" s="13" t="s">
        <v>13</v>
      </c>
      <c r="D8" s="23"/>
      <c r="E8" s="23"/>
      <c r="F8" s="23"/>
      <c r="G8" s="23"/>
      <c r="H8" s="23"/>
      <c r="I8" s="23"/>
    </row>
    <row r="9" spans="1:9" ht="42.75">
      <c r="A9" s="8" t="s">
        <v>14</v>
      </c>
      <c r="B9" s="8" t="s">
        <v>15</v>
      </c>
      <c r="C9" s="13" t="s">
        <v>16</v>
      </c>
      <c r="D9" s="23"/>
      <c r="E9" s="23"/>
      <c r="F9" s="23"/>
      <c r="G9" s="23"/>
      <c r="H9" s="23"/>
      <c r="I9" s="23"/>
    </row>
    <row r="10" spans="1:9" ht="28.5">
      <c r="A10" s="8" t="s">
        <v>17</v>
      </c>
      <c r="B10" s="8" t="s">
        <v>18</v>
      </c>
      <c r="C10" s="13" t="s">
        <v>19</v>
      </c>
      <c r="D10" s="23"/>
      <c r="E10" s="23"/>
      <c r="F10" s="23"/>
      <c r="G10" s="23"/>
      <c r="H10" s="23"/>
      <c r="I10" s="23"/>
    </row>
    <row r="11" spans="1:9" ht="42.75">
      <c r="A11" s="8" t="s">
        <v>20</v>
      </c>
      <c r="B11" s="8" t="s">
        <v>653</v>
      </c>
      <c r="C11" s="13" t="s">
        <v>21</v>
      </c>
      <c r="D11" s="23"/>
      <c r="E11" s="23"/>
      <c r="F11" s="23"/>
      <c r="G11" s="23"/>
      <c r="H11" s="23"/>
      <c r="I11" s="23"/>
    </row>
    <row r="12" spans="1:9" ht="20" customHeight="1">
      <c r="A12" s="32" t="s">
        <v>22</v>
      </c>
      <c r="B12" s="32"/>
      <c r="C12" s="32"/>
      <c r="D12" s="32"/>
      <c r="E12" s="32"/>
      <c r="F12" s="32"/>
      <c r="G12" s="32"/>
      <c r="H12" s="32"/>
      <c r="I12" s="33"/>
    </row>
    <row r="13" spans="1:9" ht="14.25">
      <c r="A13" s="2" t="s">
        <v>23</v>
      </c>
      <c r="B13" s="2" t="s">
        <v>24</v>
      </c>
      <c r="C13" s="2" t="s">
        <v>25</v>
      </c>
      <c r="D13" s="2" t="s">
        <v>26</v>
      </c>
      <c r="E13" s="2" t="s">
        <v>27</v>
      </c>
      <c r="F13" s="2" t="s">
        <v>28</v>
      </c>
      <c r="G13" s="2" t="s">
        <v>29</v>
      </c>
      <c r="H13" s="2" t="s">
        <v>30</v>
      </c>
      <c r="I13" s="6" t="s">
        <v>31</v>
      </c>
    </row>
    <row r="14" spans="1:9" ht="14.25">
      <c r="A14" s="8" t="s">
        <v>32</v>
      </c>
      <c r="B14" s="8" t="s">
        <v>33</v>
      </c>
      <c r="C14" s="8" t="s">
        <v>34</v>
      </c>
      <c r="D14" s="8" t="s">
        <v>35</v>
      </c>
      <c r="E14" s="8" t="s">
        <v>36</v>
      </c>
      <c r="F14" s="8" t="s">
        <v>411</v>
      </c>
      <c r="G14" s="8" t="s">
        <v>411</v>
      </c>
      <c r="H14" s="8" t="s">
        <v>37</v>
      </c>
      <c r="I14" s="13" t="s">
        <v>683</v>
      </c>
    </row>
    <row r="15" spans="1:9" ht="28.5">
      <c r="A15" s="8" t="s">
        <v>38</v>
      </c>
      <c r="B15" s="8" t="s">
        <v>33</v>
      </c>
      <c r="C15" s="8" t="s">
        <v>39</v>
      </c>
      <c r="D15" s="8" t="s">
        <v>40</v>
      </c>
      <c r="E15" s="8" t="s">
        <v>41</v>
      </c>
      <c r="F15" s="8" t="s">
        <v>411</v>
      </c>
      <c r="G15" s="8" t="s">
        <v>411</v>
      </c>
      <c r="H15" s="8" t="s">
        <v>42</v>
      </c>
      <c r="I15" s="13" t="s">
        <v>43</v>
      </c>
    </row>
    <row r="16" spans="1:9" ht="28.5">
      <c r="A16" s="8" t="s">
        <v>44</v>
      </c>
      <c r="B16" s="8" t="s">
        <v>33</v>
      </c>
      <c r="C16" s="8" t="s">
        <v>45</v>
      </c>
      <c r="D16" s="8" t="s">
        <v>46</v>
      </c>
      <c r="E16" s="8" t="s">
        <v>47</v>
      </c>
      <c r="F16" s="8" t="s">
        <v>48</v>
      </c>
      <c r="G16" s="8" t="s">
        <v>49</v>
      </c>
      <c r="H16" s="8" t="s">
        <v>50</v>
      </c>
      <c r="I16" s="13" t="s">
        <v>654</v>
      </c>
    </row>
    <row r="17" spans="1:9" ht="14.25">
      <c r="A17" s="9" t="s">
        <v>51</v>
      </c>
      <c r="B17" s="9" t="s">
        <v>33</v>
      </c>
      <c r="C17" s="9" t="s">
        <v>52</v>
      </c>
      <c r="D17" s="9" t="s">
        <v>53</v>
      </c>
      <c r="E17" s="9" t="s">
        <v>54</v>
      </c>
      <c r="F17" s="9" t="s">
        <v>55</v>
      </c>
      <c r="G17" s="9" t="s">
        <v>56</v>
      </c>
      <c r="H17" s="9" t="s">
        <v>57</v>
      </c>
      <c r="I17" s="10" t="s">
        <v>58</v>
      </c>
    </row>
  </sheetData>
  <mergeCells count="3">
    <mergeCell ref="A1:I1"/>
    <mergeCell ref="A2:I2"/>
    <mergeCell ref="A12:I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"/>
  <sheetViews>
    <sheetView zoomScale="56" workbookViewId="0">
      <selection activeCell="C13" sqref="C13"/>
    </sheetView>
  </sheetViews>
  <sheetFormatPr defaultRowHeight="13.5"/>
  <cols>
    <col min="1" max="1" width="10.5625" style="24" customWidth="1"/>
    <col min="2" max="2" width="27.6875" style="24" customWidth="1"/>
    <col min="3" max="4" width="32.9375" style="24" customWidth="1"/>
    <col min="5" max="5" width="18.25" style="24" customWidth="1"/>
    <col min="6" max="8" width="52.5625" style="24" customWidth="1"/>
    <col min="9" max="9" width="21.4375" style="24" customWidth="1"/>
    <col min="10" max="10" width="16.1875" style="24" customWidth="1"/>
    <col min="11" max="11" width="26.6875" style="24" customWidth="1"/>
    <col min="12" max="16384" width="9" style="24"/>
  </cols>
  <sheetData>
    <row r="1" spans="1:11" ht="36" customHeight="1">
      <c r="A1" s="27" t="s">
        <v>59</v>
      </c>
      <c r="B1" s="27"/>
      <c r="C1" s="27"/>
      <c r="D1" s="27"/>
      <c r="E1" s="27"/>
      <c r="F1" s="27"/>
      <c r="G1" s="27"/>
      <c r="H1" s="27"/>
      <c r="I1" s="27"/>
      <c r="J1" s="27"/>
      <c r="K1" s="28"/>
    </row>
    <row r="2" spans="1:11" ht="20" customHeight="1">
      <c r="A2" s="34" t="s">
        <v>684</v>
      </c>
      <c r="B2" s="34"/>
      <c r="C2" s="34"/>
      <c r="D2" s="34"/>
      <c r="E2" s="34"/>
      <c r="F2" s="34"/>
      <c r="G2" s="34"/>
      <c r="H2" s="34"/>
      <c r="I2" s="34"/>
      <c r="J2" s="34"/>
      <c r="K2" s="35"/>
    </row>
    <row r="3" spans="1:11" ht="14.25">
      <c r="A3" s="2" t="s">
        <v>60</v>
      </c>
      <c r="B3" s="2" t="s">
        <v>61</v>
      </c>
      <c r="C3" s="2" t="s">
        <v>62</v>
      </c>
      <c r="D3" s="2" t="s">
        <v>63</v>
      </c>
      <c r="E3" s="2" t="s">
        <v>64</v>
      </c>
      <c r="F3" s="2" t="s">
        <v>65</v>
      </c>
      <c r="G3" s="2" t="s">
        <v>66</v>
      </c>
      <c r="H3" s="2" t="s">
        <v>67</v>
      </c>
      <c r="I3" s="2" t="s">
        <v>68</v>
      </c>
      <c r="J3" s="2" t="s">
        <v>69</v>
      </c>
      <c r="K3" s="6" t="s">
        <v>70</v>
      </c>
    </row>
    <row r="4" spans="1:11" ht="28.5">
      <c r="A4" s="19" t="s">
        <v>71</v>
      </c>
      <c r="B4" s="8" t="s">
        <v>366</v>
      </c>
      <c r="C4" s="8" t="s">
        <v>367</v>
      </c>
      <c r="D4" s="8" t="s">
        <v>368</v>
      </c>
      <c r="E4" s="8" t="s">
        <v>369</v>
      </c>
      <c r="F4" s="8" t="s">
        <v>370</v>
      </c>
      <c r="G4" s="8" t="s">
        <v>371</v>
      </c>
      <c r="H4" s="8" t="s">
        <v>655</v>
      </c>
      <c r="I4" s="8" t="s">
        <v>372</v>
      </c>
      <c r="J4" s="8" t="s">
        <v>373</v>
      </c>
      <c r="K4" s="13" t="s">
        <v>374</v>
      </c>
    </row>
    <row r="5" spans="1:11" ht="28.5">
      <c r="A5" s="19" t="s">
        <v>72</v>
      </c>
      <c r="B5" s="8" t="s">
        <v>375</v>
      </c>
      <c r="C5" s="8" t="s">
        <v>376</v>
      </c>
      <c r="D5" s="8" t="s">
        <v>377</v>
      </c>
      <c r="E5" s="8" t="s">
        <v>369</v>
      </c>
      <c r="F5" s="8" t="s">
        <v>378</v>
      </c>
      <c r="G5" s="8" t="s">
        <v>656</v>
      </c>
      <c r="H5" s="8" t="s">
        <v>657</v>
      </c>
      <c r="I5" s="8" t="s">
        <v>372</v>
      </c>
      <c r="J5" s="8" t="s">
        <v>373</v>
      </c>
      <c r="K5" s="13" t="s">
        <v>374</v>
      </c>
    </row>
    <row r="6" spans="1:11" ht="28.5">
      <c r="A6" s="19" t="s">
        <v>73</v>
      </c>
      <c r="B6" s="8" t="s">
        <v>379</v>
      </c>
      <c r="C6" s="8" t="s">
        <v>380</v>
      </c>
      <c r="D6" s="8" t="s">
        <v>381</v>
      </c>
      <c r="E6" s="8" t="s">
        <v>369</v>
      </c>
      <c r="F6" s="8" t="s">
        <v>382</v>
      </c>
      <c r="G6" s="8" t="s">
        <v>383</v>
      </c>
      <c r="H6" s="8" t="s">
        <v>384</v>
      </c>
      <c r="I6" s="8" t="s">
        <v>372</v>
      </c>
      <c r="J6" s="8" t="s">
        <v>373</v>
      </c>
      <c r="K6" s="13" t="s">
        <v>374</v>
      </c>
    </row>
    <row r="7" spans="1:11" ht="14.25">
      <c r="A7" s="19" t="s">
        <v>74</v>
      </c>
      <c r="B7" s="8" t="s">
        <v>385</v>
      </c>
      <c r="C7" s="8" t="s">
        <v>386</v>
      </c>
      <c r="D7" s="8" t="s">
        <v>387</v>
      </c>
      <c r="E7" s="8" t="s">
        <v>388</v>
      </c>
      <c r="F7" s="8" t="s">
        <v>389</v>
      </c>
      <c r="G7" s="8" t="s">
        <v>390</v>
      </c>
      <c r="H7" s="8" t="s">
        <v>391</v>
      </c>
      <c r="I7" s="8" t="s">
        <v>372</v>
      </c>
      <c r="J7" s="8" t="s">
        <v>373</v>
      </c>
      <c r="K7" s="13" t="s">
        <v>374</v>
      </c>
    </row>
    <row r="8" spans="1:11" ht="14.25">
      <c r="A8" s="19" t="s">
        <v>75</v>
      </c>
      <c r="B8" s="8" t="s">
        <v>392</v>
      </c>
      <c r="C8" s="8" t="s">
        <v>393</v>
      </c>
      <c r="D8" s="8" t="s">
        <v>387</v>
      </c>
      <c r="E8" s="8" t="s">
        <v>394</v>
      </c>
      <c r="F8" s="8" t="s">
        <v>395</v>
      </c>
      <c r="G8" s="8" t="s">
        <v>658</v>
      </c>
      <c r="H8" s="8" t="s">
        <v>396</v>
      </c>
      <c r="I8" s="8" t="s">
        <v>372</v>
      </c>
      <c r="J8" s="8" t="s">
        <v>373</v>
      </c>
      <c r="K8" s="13" t="s">
        <v>374</v>
      </c>
    </row>
    <row r="9" spans="1:11" ht="28.5">
      <c r="A9" s="19" t="s">
        <v>76</v>
      </c>
      <c r="B9" s="8" t="s">
        <v>397</v>
      </c>
      <c r="C9" s="8" t="s">
        <v>398</v>
      </c>
      <c r="D9" s="8" t="s">
        <v>399</v>
      </c>
      <c r="E9" s="8" t="s">
        <v>394</v>
      </c>
      <c r="F9" s="8" t="s">
        <v>400</v>
      </c>
      <c r="G9" s="8" t="s">
        <v>401</v>
      </c>
      <c r="H9" s="8" t="s">
        <v>659</v>
      </c>
      <c r="I9" s="8" t="s">
        <v>372</v>
      </c>
      <c r="J9" s="8" t="s">
        <v>373</v>
      </c>
      <c r="K9" s="13" t="s">
        <v>374</v>
      </c>
    </row>
    <row r="10" spans="1:11" ht="28.5">
      <c r="A10" s="20" t="s">
        <v>77</v>
      </c>
      <c r="B10" s="9" t="s">
        <v>402</v>
      </c>
      <c r="C10" s="9" t="s">
        <v>403</v>
      </c>
      <c r="D10" s="9" t="s">
        <v>368</v>
      </c>
      <c r="E10" s="9" t="s">
        <v>388</v>
      </c>
      <c r="F10" s="9" t="s">
        <v>404</v>
      </c>
      <c r="G10" s="9" t="s">
        <v>405</v>
      </c>
      <c r="H10" s="9" t="s">
        <v>406</v>
      </c>
      <c r="I10" s="9" t="s">
        <v>372</v>
      </c>
      <c r="J10" s="9" t="s">
        <v>373</v>
      </c>
      <c r="K10" s="10" t="s">
        <v>374</v>
      </c>
    </row>
  </sheetData>
  <mergeCells count="2">
    <mergeCell ref="A1:K1"/>
    <mergeCell ref="A2:K2"/>
  </mergeCells>
  <dataValidations count="4">
    <dataValidation type="list" sqref="E4:E10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4:G10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4:I10" xr:uid="{00000000-0002-0000-0100-000002000000}">
      <formula1>"1,2,3,4,5"</formula1>
    </dataValidation>
    <dataValidation type="list" sqref="J4:J10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5"/>
  <sheetViews>
    <sheetView topLeftCell="B31" zoomScale="63" workbookViewId="0">
      <selection activeCell="A2" sqref="A2:J2"/>
    </sheetView>
  </sheetViews>
  <sheetFormatPr defaultRowHeight="13.5"/>
  <cols>
    <col min="1" max="1" width="17.1875" style="25" customWidth="1"/>
    <col min="2" max="2" width="22.4375" style="25" customWidth="1"/>
    <col min="3" max="3" width="52.5625" style="25" customWidth="1"/>
    <col min="4" max="4" width="21.4375" style="25" customWidth="1"/>
    <col min="5" max="5" width="26.6875" style="25" customWidth="1"/>
    <col min="6" max="6" width="62.3125" style="25" customWidth="1"/>
    <col min="7" max="8" width="18.25" style="25" customWidth="1"/>
    <col min="9" max="9" width="21.4375" style="25" customWidth="1"/>
    <col min="10" max="10" width="52.5625" style="25" customWidth="1"/>
    <col min="11" max="16384" width="9" style="25"/>
  </cols>
  <sheetData>
    <row r="1" spans="1:10" ht="20" customHeight="1">
      <c r="A1" s="27" t="s">
        <v>685</v>
      </c>
      <c r="B1" s="27"/>
      <c r="C1" s="27"/>
      <c r="D1" s="27"/>
      <c r="E1" s="27"/>
      <c r="F1" s="27"/>
      <c r="G1" s="27"/>
      <c r="H1" s="27"/>
      <c r="I1" s="27"/>
      <c r="J1" s="28"/>
    </row>
    <row r="2" spans="1:10" ht="20" customHeight="1">
      <c r="A2" s="34" t="s">
        <v>686</v>
      </c>
      <c r="B2" s="34"/>
      <c r="C2" s="34"/>
      <c r="D2" s="34"/>
      <c r="E2" s="34"/>
      <c r="F2" s="34"/>
      <c r="G2" s="34"/>
      <c r="H2" s="34"/>
      <c r="I2" s="34"/>
      <c r="J2" s="35"/>
    </row>
    <row r="3" spans="1:10" ht="14.25">
      <c r="A3" s="2" t="s">
        <v>79</v>
      </c>
      <c r="B3" s="2" t="s">
        <v>80</v>
      </c>
      <c r="C3" s="2" t="s">
        <v>81</v>
      </c>
      <c r="D3" s="2" t="s">
        <v>82</v>
      </c>
      <c r="E3" s="2" t="s">
        <v>83</v>
      </c>
      <c r="F3" s="2" t="s">
        <v>84</v>
      </c>
      <c r="G3" s="2" t="s">
        <v>85</v>
      </c>
      <c r="H3" s="2" t="s">
        <v>86</v>
      </c>
      <c r="I3" s="2" t="s">
        <v>87</v>
      </c>
      <c r="J3" s="6" t="s">
        <v>88</v>
      </c>
    </row>
    <row r="4" spans="1:10" ht="28.5">
      <c r="A4" s="8" t="s">
        <v>71</v>
      </c>
      <c r="B4" s="8" t="s">
        <v>407</v>
      </c>
      <c r="C4" s="8" t="s">
        <v>367</v>
      </c>
      <c r="D4" s="8" t="s">
        <v>408</v>
      </c>
      <c r="E4" s="8" t="s">
        <v>409</v>
      </c>
      <c r="F4" s="8" t="s">
        <v>410</v>
      </c>
      <c r="G4" s="14" t="s">
        <v>411</v>
      </c>
      <c r="H4" s="8" t="s">
        <v>411</v>
      </c>
      <c r="I4" s="8">
        <v>4</v>
      </c>
      <c r="J4" s="13" t="s">
        <v>412</v>
      </c>
    </row>
    <row r="5" spans="1:10" ht="14.25">
      <c r="A5" s="8" t="s">
        <v>71</v>
      </c>
      <c r="B5" s="8" t="s">
        <v>413</v>
      </c>
      <c r="C5" s="8" t="s">
        <v>414</v>
      </c>
      <c r="D5" s="8" t="s">
        <v>415</v>
      </c>
      <c r="E5" s="8" t="s">
        <v>416</v>
      </c>
      <c r="F5" s="8" t="s">
        <v>660</v>
      </c>
      <c r="G5" s="14" t="s">
        <v>411</v>
      </c>
      <c r="H5" s="8" t="s">
        <v>411</v>
      </c>
      <c r="I5" s="8">
        <v>5</v>
      </c>
      <c r="J5" s="13" t="s">
        <v>417</v>
      </c>
    </row>
    <row r="6" spans="1:10" ht="14.25">
      <c r="A6" s="8" t="s">
        <v>72</v>
      </c>
      <c r="B6" s="8" t="s">
        <v>407</v>
      </c>
      <c r="C6" s="8" t="s">
        <v>376</v>
      </c>
      <c r="D6" s="8" t="s">
        <v>408</v>
      </c>
      <c r="E6" s="8" t="s">
        <v>418</v>
      </c>
      <c r="F6" s="8" t="s">
        <v>661</v>
      </c>
      <c r="G6" s="14" t="s">
        <v>411</v>
      </c>
      <c r="H6" s="8" t="s">
        <v>411</v>
      </c>
      <c r="I6" s="8">
        <v>4</v>
      </c>
      <c r="J6" s="13" t="s">
        <v>419</v>
      </c>
    </row>
    <row r="7" spans="1:10" ht="28.5">
      <c r="A7" s="8" t="s">
        <v>73</v>
      </c>
      <c r="B7" s="8" t="s">
        <v>407</v>
      </c>
      <c r="C7" s="8" t="s">
        <v>380</v>
      </c>
      <c r="D7" s="8" t="s">
        <v>408</v>
      </c>
      <c r="E7" s="8" t="s">
        <v>420</v>
      </c>
      <c r="F7" s="8" t="s">
        <v>421</v>
      </c>
      <c r="G7" s="14" t="s">
        <v>411</v>
      </c>
      <c r="H7" s="8" t="s">
        <v>411</v>
      </c>
      <c r="I7" s="8">
        <v>4</v>
      </c>
      <c r="J7" s="13" t="s">
        <v>422</v>
      </c>
    </row>
    <row r="8" spans="1:10" ht="14.25">
      <c r="A8" s="8" t="s">
        <v>74</v>
      </c>
      <c r="B8" s="8" t="s">
        <v>407</v>
      </c>
      <c r="C8" s="8" t="s">
        <v>386</v>
      </c>
      <c r="D8" s="8" t="s">
        <v>408</v>
      </c>
      <c r="E8" s="8" t="s">
        <v>409</v>
      </c>
      <c r="F8" s="8" t="s">
        <v>423</v>
      </c>
      <c r="G8" s="14" t="s">
        <v>411</v>
      </c>
      <c r="H8" s="8" t="s">
        <v>411</v>
      </c>
      <c r="I8" s="8">
        <v>5</v>
      </c>
      <c r="J8" s="13" t="s">
        <v>424</v>
      </c>
    </row>
    <row r="9" spans="1:10" ht="14.25">
      <c r="A9" s="8" t="s">
        <v>74</v>
      </c>
      <c r="B9" s="8" t="s">
        <v>413</v>
      </c>
      <c r="C9" s="8" t="s">
        <v>425</v>
      </c>
      <c r="D9" s="8" t="s">
        <v>415</v>
      </c>
      <c r="E9" s="8" t="s">
        <v>416</v>
      </c>
      <c r="F9" s="8" t="s">
        <v>662</v>
      </c>
      <c r="G9" s="14" t="s">
        <v>411</v>
      </c>
      <c r="H9" s="8" t="s">
        <v>411</v>
      </c>
      <c r="I9" s="8">
        <v>5</v>
      </c>
      <c r="J9" s="13" t="s">
        <v>426</v>
      </c>
    </row>
    <row r="10" spans="1:10" ht="14.25">
      <c r="A10" s="8" t="s">
        <v>75</v>
      </c>
      <c r="B10" s="8" t="s">
        <v>407</v>
      </c>
      <c r="C10" s="8" t="s">
        <v>393</v>
      </c>
      <c r="D10" s="8" t="s">
        <v>408</v>
      </c>
      <c r="E10" s="8" t="s">
        <v>409</v>
      </c>
      <c r="F10" s="8" t="s">
        <v>427</v>
      </c>
      <c r="G10" s="14" t="s">
        <v>411</v>
      </c>
      <c r="H10" s="8" t="s">
        <v>411</v>
      </c>
      <c r="I10" s="8">
        <v>4</v>
      </c>
      <c r="J10" s="13" t="s">
        <v>428</v>
      </c>
    </row>
    <row r="11" spans="1:10" ht="14.25">
      <c r="A11" s="8" t="s">
        <v>75</v>
      </c>
      <c r="B11" s="8" t="s">
        <v>413</v>
      </c>
      <c r="C11" s="8" t="s">
        <v>429</v>
      </c>
      <c r="D11" s="8" t="s">
        <v>415</v>
      </c>
      <c r="E11" s="8" t="s">
        <v>416</v>
      </c>
      <c r="F11" s="8" t="s">
        <v>663</v>
      </c>
      <c r="G11" s="14" t="s">
        <v>411</v>
      </c>
      <c r="H11" s="8" t="s">
        <v>411</v>
      </c>
      <c r="I11" s="8">
        <v>5</v>
      </c>
      <c r="J11" s="13" t="s">
        <v>430</v>
      </c>
    </row>
    <row r="12" spans="1:10" ht="14.25">
      <c r="A12" s="8" t="s">
        <v>76</v>
      </c>
      <c r="B12" s="8" t="s">
        <v>407</v>
      </c>
      <c r="C12" s="8" t="s">
        <v>398</v>
      </c>
      <c r="D12" s="8" t="s">
        <v>408</v>
      </c>
      <c r="E12" s="8" t="s">
        <v>409</v>
      </c>
      <c r="F12" s="8" t="s">
        <v>431</v>
      </c>
      <c r="G12" s="14" t="s">
        <v>411</v>
      </c>
      <c r="H12" s="8" t="s">
        <v>411</v>
      </c>
      <c r="I12" s="8">
        <v>4</v>
      </c>
      <c r="J12" s="13" t="s">
        <v>432</v>
      </c>
    </row>
    <row r="13" spans="1:10" ht="14.25">
      <c r="A13" s="8" t="s">
        <v>77</v>
      </c>
      <c r="B13" s="8" t="s">
        <v>407</v>
      </c>
      <c r="C13" s="8" t="s">
        <v>403</v>
      </c>
      <c r="D13" s="8" t="s">
        <v>408</v>
      </c>
      <c r="E13" s="8" t="s">
        <v>409</v>
      </c>
      <c r="F13" s="8" t="s">
        <v>433</v>
      </c>
      <c r="G13" s="14" t="s">
        <v>411</v>
      </c>
      <c r="H13" s="8" t="s">
        <v>411</v>
      </c>
      <c r="I13" s="8">
        <v>5</v>
      </c>
      <c r="J13" s="13" t="s">
        <v>434</v>
      </c>
    </row>
    <row r="14" spans="1:10" ht="14.25">
      <c r="A14" s="8" t="s">
        <v>74</v>
      </c>
      <c r="B14" s="8" t="s">
        <v>435</v>
      </c>
      <c r="C14" s="8" t="s">
        <v>436</v>
      </c>
      <c r="D14" s="8" t="s">
        <v>437</v>
      </c>
      <c r="E14" s="8" t="s">
        <v>438</v>
      </c>
      <c r="F14" s="8" t="s">
        <v>439</v>
      </c>
      <c r="G14" s="14" t="s">
        <v>411</v>
      </c>
      <c r="H14" s="8" t="s">
        <v>411</v>
      </c>
      <c r="I14" s="8">
        <v>3</v>
      </c>
      <c r="J14" s="13" t="s">
        <v>440</v>
      </c>
    </row>
    <row r="15" spans="1:10" ht="14.25">
      <c r="A15" s="8" t="s">
        <v>76</v>
      </c>
      <c r="B15" s="8" t="s">
        <v>435</v>
      </c>
      <c r="C15" s="8" t="s">
        <v>441</v>
      </c>
      <c r="D15" s="8" t="s">
        <v>437</v>
      </c>
      <c r="E15" s="8" t="s">
        <v>438</v>
      </c>
      <c r="F15" s="8" t="s">
        <v>442</v>
      </c>
      <c r="G15" s="14" t="s">
        <v>411</v>
      </c>
      <c r="H15" s="8" t="s">
        <v>411</v>
      </c>
      <c r="I15" s="8">
        <v>5</v>
      </c>
      <c r="J15" s="13" t="s">
        <v>443</v>
      </c>
    </row>
    <row r="16" spans="1:10" ht="14.25">
      <c r="A16" s="8" t="s">
        <v>71</v>
      </c>
      <c r="B16" s="8" t="s">
        <v>435</v>
      </c>
      <c r="C16" s="8" t="s">
        <v>444</v>
      </c>
      <c r="D16" s="8" t="s">
        <v>437</v>
      </c>
      <c r="E16" s="8" t="s">
        <v>438</v>
      </c>
      <c r="F16" s="8" t="s">
        <v>445</v>
      </c>
      <c r="G16" s="14" t="s">
        <v>411</v>
      </c>
      <c r="H16" s="8" t="s">
        <v>411</v>
      </c>
      <c r="I16" s="8">
        <v>3</v>
      </c>
      <c r="J16" s="13" t="s">
        <v>440</v>
      </c>
    </row>
    <row r="17" spans="1:10" ht="14.25">
      <c r="A17" s="8" t="s">
        <v>72</v>
      </c>
      <c r="B17" s="8" t="s">
        <v>435</v>
      </c>
      <c r="C17" s="8" t="s">
        <v>446</v>
      </c>
      <c r="D17" s="8" t="s">
        <v>437</v>
      </c>
      <c r="E17" s="8" t="s">
        <v>438</v>
      </c>
      <c r="F17" s="8" t="s">
        <v>447</v>
      </c>
      <c r="G17" s="14" t="s">
        <v>411</v>
      </c>
      <c r="H17" s="8" t="s">
        <v>411</v>
      </c>
      <c r="I17" s="8">
        <v>3</v>
      </c>
      <c r="J17" s="13" t="s">
        <v>448</v>
      </c>
    </row>
    <row r="18" spans="1:10" ht="28.5">
      <c r="A18" s="8" t="s">
        <v>73</v>
      </c>
      <c r="B18" s="8" t="s">
        <v>449</v>
      </c>
      <c r="C18" s="8" t="s">
        <v>450</v>
      </c>
      <c r="D18" s="8" t="s">
        <v>451</v>
      </c>
      <c r="E18" s="8" t="s">
        <v>452</v>
      </c>
      <c r="F18" s="8" t="s">
        <v>453</v>
      </c>
      <c r="G18" s="14" t="s">
        <v>411</v>
      </c>
      <c r="H18" s="8" t="s">
        <v>411</v>
      </c>
      <c r="I18" s="8">
        <v>3</v>
      </c>
      <c r="J18" s="13" t="s">
        <v>454</v>
      </c>
    </row>
    <row r="19" spans="1:10" ht="14.25">
      <c r="A19" s="8" t="s">
        <v>77</v>
      </c>
      <c r="B19" s="8" t="s">
        <v>449</v>
      </c>
      <c r="C19" s="8" t="s">
        <v>450</v>
      </c>
      <c r="D19" s="8" t="s">
        <v>451</v>
      </c>
      <c r="E19" s="8" t="s">
        <v>452</v>
      </c>
      <c r="F19" s="8" t="s">
        <v>455</v>
      </c>
      <c r="G19" s="14" t="s">
        <v>411</v>
      </c>
      <c r="H19" s="8" t="s">
        <v>411</v>
      </c>
      <c r="I19" s="8">
        <v>4</v>
      </c>
      <c r="J19" s="13" t="s">
        <v>456</v>
      </c>
    </row>
    <row r="20" spans="1:10" ht="28.5">
      <c r="A20" s="8" t="s">
        <v>77</v>
      </c>
      <c r="B20" s="8" t="s">
        <v>457</v>
      </c>
      <c r="C20" s="8" t="s">
        <v>458</v>
      </c>
      <c r="D20" s="8" t="s">
        <v>459</v>
      </c>
      <c r="E20" s="8" t="s">
        <v>438</v>
      </c>
      <c r="F20" s="8" t="s">
        <v>460</v>
      </c>
      <c r="G20" s="14" t="s">
        <v>411</v>
      </c>
      <c r="H20" s="8" t="s">
        <v>411</v>
      </c>
      <c r="I20" s="8">
        <v>5</v>
      </c>
      <c r="J20" s="13" t="s">
        <v>461</v>
      </c>
    </row>
    <row r="21" spans="1:10" ht="14.25">
      <c r="A21" s="8" t="s">
        <v>77</v>
      </c>
      <c r="B21" s="8" t="s">
        <v>413</v>
      </c>
      <c r="C21" s="8" t="s">
        <v>462</v>
      </c>
      <c r="D21" s="8" t="s">
        <v>415</v>
      </c>
      <c r="E21" s="8" t="s">
        <v>416</v>
      </c>
      <c r="F21" s="8" t="s">
        <v>463</v>
      </c>
      <c r="G21" s="14" t="s">
        <v>411</v>
      </c>
      <c r="H21" s="8" t="s">
        <v>411</v>
      </c>
      <c r="I21" s="8">
        <v>4</v>
      </c>
      <c r="J21" s="13" t="s">
        <v>464</v>
      </c>
    </row>
    <row r="22" spans="1:10" ht="28.5">
      <c r="A22" s="8" t="s">
        <v>77</v>
      </c>
      <c r="B22" s="8" t="s">
        <v>465</v>
      </c>
      <c r="C22" s="8" t="s">
        <v>466</v>
      </c>
      <c r="D22" s="8" t="s">
        <v>467</v>
      </c>
      <c r="E22" s="8" t="s">
        <v>468</v>
      </c>
      <c r="F22" s="8" t="s">
        <v>469</v>
      </c>
      <c r="G22" s="14" t="s">
        <v>411</v>
      </c>
      <c r="H22" s="8" t="s">
        <v>411</v>
      </c>
      <c r="I22" s="8">
        <v>4</v>
      </c>
      <c r="J22" s="13" t="s">
        <v>470</v>
      </c>
    </row>
    <row r="23" spans="1:10" ht="14.25">
      <c r="A23" s="8" t="s">
        <v>77</v>
      </c>
      <c r="B23" s="8" t="s">
        <v>471</v>
      </c>
      <c r="C23" s="8" t="s">
        <v>472</v>
      </c>
      <c r="D23" s="8" t="s">
        <v>437</v>
      </c>
      <c r="E23" s="8" t="s">
        <v>438</v>
      </c>
      <c r="F23" s="8" t="s">
        <v>473</v>
      </c>
      <c r="G23" s="14" t="s">
        <v>411</v>
      </c>
      <c r="H23" s="8" t="s">
        <v>411</v>
      </c>
      <c r="I23" s="8">
        <v>3</v>
      </c>
      <c r="J23" s="13" t="s">
        <v>474</v>
      </c>
    </row>
    <row r="24" spans="1:10" ht="14.25">
      <c r="A24" s="8" t="s">
        <v>76</v>
      </c>
      <c r="B24" s="8" t="s">
        <v>413</v>
      </c>
      <c r="C24" s="8" t="s">
        <v>475</v>
      </c>
      <c r="D24" s="8" t="s">
        <v>415</v>
      </c>
      <c r="E24" s="8" t="s">
        <v>416</v>
      </c>
      <c r="F24" s="8" t="s">
        <v>476</v>
      </c>
      <c r="G24" s="14" t="s">
        <v>411</v>
      </c>
      <c r="H24" s="8" t="s">
        <v>411</v>
      </c>
      <c r="I24" s="8">
        <v>4</v>
      </c>
      <c r="J24" s="13" t="s">
        <v>477</v>
      </c>
    </row>
    <row r="25" spans="1:10" ht="28.5">
      <c r="A25" s="8" t="s">
        <v>76</v>
      </c>
      <c r="B25" s="8" t="s">
        <v>478</v>
      </c>
      <c r="C25" s="8" t="s">
        <v>479</v>
      </c>
      <c r="D25" s="8" t="s">
        <v>459</v>
      </c>
      <c r="E25" s="8" t="s">
        <v>438</v>
      </c>
      <c r="F25" s="8" t="s">
        <v>480</v>
      </c>
      <c r="G25" s="14" t="s">
        <v>411</v>
      </c>
      <c r="H25" s="8" t="s">
        <v>411</v>
      </c>
      <c r="I25" s="8">
        <v>5</v>
      </c>
      <c r="J25" s="13" t="s">
        <v>481</v>
      </c>
    </row>
    <row r="26" spans="1:10" ht="28.5">
      <c r="A26" s="8" t="s">
        <v>76</v>
      </c>
      <c r="B26" s="8" t="s">
        <v>465</v>
      </c>
      <c r="C26" s="8" t="s">
        <v>482</v>
      </c>
      <c r="D26" s="8" t="s">
        <v>467</v>
      </c>
      <c r="E26" s="8" t="s">
        <v>468</v>
      </c>
      <c r="F26" s="8" t="s">
        <v>483</v>
      </c>
      <c r="G26" s="14" t="s">
        <v>411</v>
      </c>
      <c r="H26" s="8" t="s">
        <v>411</v>
      </c>
      <c r="I26" s="8">
        <v>4</v>
      </c>
      <c r="J26" s="13" t="s">
        <v>484</v>
      </c>
    </row>
    <row r="27" spans="1:10" ht="14.25">
      <c r="A27" s="8" t="s">
        <v>76</v>
      </c>
      <c r="B27" s="8" t="s">
        <v>471</v>
      </c>
      <c r="C27" s="8" t="s">
        <v>485</v>
      </c>
      <c r="D27" s="8" t="s">
        <v>437</v>
      </c>
      <c r="E27" s="8" t="s">
        <v>438</v>
      </c>
      <c r="F27" s="8" t="s">
        <v>486</v>
      </c>
      <c r="G27" s="14" t="s">
        <v>411</v>
      </c>
      <c r="H27" s="8" t="s">
        <v>411</v>
      </c>
      <c r="I27" s="8">
        <v>5</v>
      </c>
      <c r="J27" s="13" t="s">
        <v>474</v>
      </c>
    </row>
    <row r="28" spans="1:10" ht="28.5">
      <c r="A28" s="8" t="s">
        <v>72</v>
      </c>
      <c r="B28" s="8" t="s">
        <v>487</v>
      </c>
      <c r="C28" s="8" t="s">
        <v>488</v>
      </c>
      <c r="D28" s="8" t="s">
        <v>489</v>
      </c>
      <c r="E28" s="8" t="s">
        <v>416</v>
      </c>
      <c r="F28" s="8" t="s">
        <v>664</v>
      </c>
      <c r="G28" s="14" t="s">
        <v>411</v>
      </c>
      <c r="H28" s="8" t="s">
        <v>411</v>
      </c>
      <c r="I28" s="8">
        <v>5</v>
      </c>
      <c r="J28" s="13" t="s">
        <v>490</v>
      </c>
    </row>
    <row r="29" spans="1:10" ht="14.25">
      <c r="A29" s="8" t="s">
        <v>73</v>
      </c>
      <c r="B29" s="8" t="s">
        <v>491</v>
      </c>
      <c r="C29" s="8" t="s">
        <v>492</v>
      </c>
      <c r="D29" s="8" t="s">
        <v>415</v>
      </c>
      <c r="E29" s="8" t="s">
        <v>416</v>
      </c>
      <c r="F29" s="8" t="s">
        <v>665</v>
      </c>
      <c r="G29" s="14" t="s">
        <v>411</v>
      </c>
      <c r="H29" s="8" t="s">
        <v>411</v>
      </c>
      <c r="I29" s="8">
        <v>5</v>
      </c>
      <c r="J29" s="13" t="s">
        <v>493</v>
      </c>
    </row>
    <row r="30" spans="1:10" ht="28.5">
      <c r="A30" s="8" t="s">
        <v>74</v>
      </c>
      <c r="B30" s="8" t="s">
        <v>457</v>
      </c>
      <c r="C30" s="8" t="s">
        <v>494</v>
      </c>
      <c r="D30" s="8" t="s">
        <v>459</v>
      </c>
      <c r="E30" s="8" t="s">
        <v>438</v>
      </c>
      <c r="F30" s="8" t="s">
        <v>495</v>
      </c>
      <c r="G30" s="14" t="s">
        <v>411</v>
      </c>
      <c r="H30" s="8" t="s">
        <v>411</v>
      </c>
      <c r="I30" s="8">
        <v>5</v>
      </c>
      <c r="J30" s="13" t="s">
        <v>496</v>
      </c>
    </row>
    <row r="31" spans="1:10" ht="14.25">
      <c r="A31" s="8" t="s">
        <v>75</v>
      </c>
      <c r="B31" s="8" t="s">
        <v>497</v>
      </c>
      <c r="C31" s="8" t="s">
        <v>498</v>
      </c>
      <c r="D31" s="8" t="s">
        <v>415</v>
      </c>
      <c r="E31" s="8" t="s">
        <v>416</v>
      </c>
      <c r="F31" s="8" t="s">
        <v>666</v>
      </c>
      <c r="G31" s="14" t="s">
        <v>411</v>
      </c>
      <c r="H31" s="8" t="s">
        <v>411</v>
      </c>
      <c r="I31" s="8">
        <v>5</v>
      </c>
      <c r="J31" s="13" t="s">
        <v>499</v>
      </c>
    </row>
    <row r="32" spans="1:10" ht="28.5">
      <c r="A32" s="8" t="s">
        <v>75</v>
      </c>
      <c r="B32" s="8" t="s">
        <v>500</v>
      </c>
      <c r="C32" s="8" t="s">
        <v>498</v>
      </c>
      <c r="D32" s="8" t="s">
        <v>501</v>
      </c>
      <c r="E32" s="8" t="s">
        <v>438</v>
      </c>
      <c r="F32" s="8" t="s">
        <v>502</v>
      </c>
      <c r="G32" s="14" t="s">
        <v>411</v>
      </c>
      <c r="H32" s="8" t="s">
        <v>411</v>
      </c>
      <c r="I32" s="8">
        <v>4</v>
      </c>
      <c r="J32" s="13" t="s">
        <v>503</v>
      </c>
    </row>
    <row r="33" spans="1:10" ht="14.25">
      <c r="A33" s="8" t="s">
        <v>75</v>
      </c>
      <c r="B33" s="8" t="s">
        <v>504</v>
      </c>
      <c r="C33" s="8" t="s">
        <v>505</v>
      </c>
      <c r="D33" s="8" t="s">
        <v>437</v>
      </c>
      <c r="E33" s="8" t="s">
        <v>438</v>
      </c>
      <c r="F33" s="8" t="s">
        <v>506</v>
      </c>
      <c r="G33" s="14" t="s">
        <v>411</v>
      </c>
      <c r="H33" s="8" t="s">
        <v>411</v>
      </c>
      <c r="I33" s="8">
        <v>3</v>
      </c>
      <c r="J33" s="13" t="s">
        <v>507</v>
      </c>
    </row>
    <row r="34" spans="1:10" ht="28.5">
      <c r="A34" s="8" t="s">
        <v>71</v>
      </c>
      <c r="B34" s="8" t="s">
        <v>508</v>
      </c>
      <c r="C34" s="8" t="s">
        <v>509</v>
      </c>
      <c r="D34" s="8" t="s">
        <v>510</v>
      </c>
      <c r="E34" s="8" t="s">
        <v>511</v>
      </c>
      <c r="F34" s="8" t="s">
        <v>512</v>
      </c>
      <c r="G34" s="14" t="s">
        <v>411</v>
      </c>
      <c r="H34" s="8" t="s">
        <v>411</v>
      </c>
      <c r="I34" s="8">
        <v>5</v>
      </c>
      <c r="J34" s="13" t="s">
        <v>513</v>
      </c>
    </row>
    <row r="35" spans="1:10" ht="14.25">
      <c r="A35" s="9" t="s">
        <v>71</v>
      </c>
      <c r="B35" s="9" t="s">
        <v>514</v>
      </c>
      <c r="C35" s="9" t="s">
        <v>515</v>
      </c>
      <c r="D35" s="9" t="s">
        <v>501</v>
      </c>
      <c r="E35" s="9" t="s">
        <v>438</v>
      </c>
      <c r="F35" s="9" t="s">
        <v>516</v>
      </c>
      <c r="G35" s="15" t="s">
        <v>411</v>
      </c>
      <c r="H35" s="9" t="s">
        <v>411</v>
      </c>
      <c r="I35" s="9">
        <v>4</v>
      </c>
      <c r="J35" s="10" t="s">
        <v>503</v>
      </c>
    </row>
  </sheetData>
  <mergeCells count="2">
    <mergeCell ref="A1:J1"/>
    <mergeCell ref="A2:J2"/>
  </mergeCells>
  <dataValidations count="2">
    <dataValidation type="list" sqref="D4:D35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4:I35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81"/>
  <sheetViews>
    <sheetView topLeftCell="A71" zoomScale="42" workbookViewId="0">
      <selection activeCell="E122" sqref="E122"/>
    </sheetView>
  </sheetViews>
  <sheetFormatPr defaultRowHeight="13.5"/>
  <cols>
    <col min="1" max="1" width="17.1875" style="25" customWidth="1"/>
    <col min="2" max="2" width="52.5625" style="25" customWidth="1"/>
    <col min="3" max="3" width="32.9375" style="25" customWidth="1"/>
    <col min="4" max="4" width="29.8125" style="25" customWidth="1"/>
    <col min="5" max="5" width="52.5625" style="25" customWidth="1"/>
    <col min="6" max="6" width="37.1875" style="25" customWidth="1"/>
    <col min="7" max="7" width="18.25" style="25" customWidth="1"/>
    <col min="8" max="8" width="15.125" style="25" customWidth="1"/>
    <col min="9" max="9" width="23.5" style="25" customWidth="1"/>
    <col min="10" max="10" width="18.25" style="25" customWidth="1"/>
    <col min="11" max="11" width="27.6875" style="25" customWidth="1"/>
    <col min="12" max="13" width="19.3125" style="25" customWidth="1"/>
    <col min="14" max="14" width="14.0625" style="25" customWidth="1"/>
    <col min="15" max="16384" width="9" style="25"/>
  </cols>
  <sheetData>
    <row r="1" spans="1:14" ht="20" customHeight="1">
      <c r="A1" s="27" t="s">
        <v>687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4" ht="20" customHeight="1">
      <c r="A2" s="34" t="s">
        <v>679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5"/>
    </row>
    <row r="3" spans="1:14" ht="14.25">
      <c r="A3" s="2" t="s">
        <v>79</v>
      </c>
      <c r="B3" s="2" t="s">
        <v>89</v>
      </c>
      <c r="C3" s="2" t="s">
        <v>90</v>
      </c>
      <c r="D3" s="2" t="s">
        <v>91</v>
      </c>
      <c r="E3" s="2" t="s">
        <v>92</v>
      </c>
      <c r="F3" s="2" t="s">
        <v>93</v>
      </c>
      <c r="G3" s="2" t="s">
        <v>94</v>
      </c>
      <c r="H3" s="2" t="s">
        <v>95</v>
      </c>
      <c r="I3" s="2" t="s">
        <v>96</v>
      </c>
      <c r="J3" s="2" t="s">
        <v>97</v>
      </c>
      <c r="K3" s="2" t="s">
        <v>98</v>
      </c>
      <c r="L3" s="2" t="s">
        <v>99</v>
      </c>
      <c r="M3" s="2" t="s">
        <v>100</v>
      </c>
      <c r="N3" s="6" t="s">
        <v>101</v>
      </c>
    </row>
    <row r="4" spans="1:14" ht="28.5">
      <c r="A4" s="8" t="s">
        <v>71</v>
      </c>
      <c r="B4" s="8" t="s">
        <v>655</v>
      </c>
      <c r="C4" s="8" t="s">
        <v>367</v>
      </c>
      <c r="D4" s="8" t="s">
        <v>151</v>
      </c>
      <c r="E4" s="8" t="s">
        <v>517</v>
      </c>
      <c r="F4" s="8" t="s">
        <v>518</v>
      </c>
      <c r="G4" s="8" t="s">
        <v>519</v>
      </c>
      <c r="H4" s="8">
        <v>1</v>
      </c>
      <c r="I4" s="8">
        <v>2</v>
      </c>
      <c r="J4" s="8">
        <v>2</v>
      </c>
      <c r="K4" s="8">
        <v>5</v>
      </c>
      <c r="L4" s="8">
        <f t="shared" ref="L4:L67" si="0">IF(OR(H4="",I4="",J4="",K4=""),"",ROUND(H4*((I4+J4)/6)*K4,2))</f>
        <v>3.33</v>
      </c>
      <c r="M4" s="8" t="str">
        <f t="shared" ref="M4:M67" si="1">IF(L4="","",IF(AND(L4&gt;=3.5,H4=1),"Сильный признак",IF(AND(L4&gt;=2,H4=1),"Рабочий признак",IF(H4=1,"Слабый признак","Отсутствует"))))</f>
        <v>Рабочий признак</v>
      </c>
      <c r="N4" s="13" t="s">
        <v>411</v>
      </c>
    </row>
    <row r="5" spans="1:14" ht="28.5">
      <c r="A5" s="8" t="s">
        <v>71</v>
      </c>
      <c r="B5" s="8" t="s">
        <v>655</v>
      </c>
      <c r="C5" s="8" t="s">
        <v>367</v>
      </c>
      <c r="D5" s="8" t="s">
        <v>168</v>
      </c>
      <c r="E5" s="8" t="s">
        <v>520</v>
      </c>
      <c r="F5" s="8" t="s">
        <v>521</v>
      </c>
      <c r="G5" s="8" t="s">
        <v>519</v>
      </c>
      <c r="H5" s="8">
        <v>1</v>
      </c>
      <c r="I5" s="8">
        <v>3</v>
      </c>
      <c r="J5" s="8">
        <v>3</v>
      </c>
      <c r="K5" s="8">
        <v>4</v>
      </c>
      <c r="L5" s="8">
        <f t="shared" si="0"/>
        <v>4</v>
      </c>
      <c r="M5" s="8" t="str">
        <f t="shared" si="1"/>
        <v>Сильный признак</v>
      </c>
      <c r="N5" s="13" t="s">
        <v>411</v>
      </c>
    </row>
    <row r="6" spans="1:14" ht="28.5">
      <c r="A6" s="8" t="s">
        <v>71</v>
      </c>
      <c r="B6" s="8" t="s">
        <v>655</v>
      </c>
      <c r="C6" s="8" t="s">
        <v>367</v>
      </c>
      <c r="D6" s="8" t="s">
        <v>168</v>
      </c>
      <c r="E6" s="8" t="s">
        <v>522</v>
      </c>
      <c r="F6" s="8" t="s">
        <v>523</v>
      </c>
      <c r="G6" s="8" t="s">
        <v>519</v>
      </c>
      <c r="H6" s="8">
        <v>1</v>
      </c>
      <c r="I6" s="8">
        <v>2</v>
      </c>
      <c r="J6" s="8">
        <v>3</v>
      </c>
      <c r="K6" s="8">
        <v>4</v>
      </c>
      <c r="L6" s="8">
        <f t="shared" si="0"/>
        <v>3.33</v>
      </c>
      <c r="M6" s="8" t="str">
        <f t="shared" si="1"/>
        <v>Рабочий признак</v>
      </c>
      <c r="N6" s="13" t="s">
        <v>411</v>
      </c>
    </row>
    <row r="7" spans="1:14" ht="28.5">
      <c r="A7" s="8" t="s">
        <v>71</v>
      </c>
      <c r="B7" s="8" t="s">
        <v>655</v>
      </c>
      <c r="C7" s="8" t="s">
        <v>367</v>
      </c>
      <c r="D7" s="8" t="s">
        <v>161</v>
      </c>
      <c r="E7" s="8" t="s">
        <v>524</v>
      </c>
      <c r="F7" s="8" t="s">
        <v>525</v>
      </c>
      <c r="G7" s="8" t="s">
        <v>519</v>
      </c>
      <c r="H7" s="8">
        <v>1</v>
      </c>
      <c r="I7" s="8">
        <v>2</v>
      </c>
      <c r="J7" s="8">
        <v>3</v>
      </c>
      <c r="K7" s="8">
        <v>4</v>
      </c>
      <c r="L7" s="8">
        <f t="shared" si="0"/>
        <v>3.33</v>
      </c>
      <c r="M7" s="8" t="str">
        <f t="shared" si="1"/>
        <v>Рабочий признак</v>
      </c>
      <c r="N7" s="13" t="s">
        <v>411</v>
      </c>
    </row>
    <row r="8" spans="1:14" ht="28.5">
      <c r="A8" s="8" t="s">
        <v>71</v>
      </c>
      <c r="B8" s="8" t="s">
        <v>655</v>
      </c>
      <c r="C8" s="8" t="s">
        <v>367</v>
      </c>
      <c r="D8" s="8" t="s">
        <v>157</v>
      </c>
      <c r="E8" s="8" t="s">
        <v>526</v>
      </c>
      <c r="F8" s="8" t="s">
        <v>527</v>
      </c>
      <c r="G8" s="8" t="s">
        <v>519</v>
      </c>
      <c r="H8" s="8">
        <v>1</v>
      </c>
      <c r="I8" s="8">
        <v>3</v>
      </c>
      <c r="J8" s="8">
        <v>2</v>
      </c>
      <c r="K8" s="8">
        <v>5</v>
      </c>
      <c r="L8" s="8">
        <f t="shared" si="0"/>
        <v>4.17</v>
      </c>
      <c r="M8" s="8" t="str">
        <f t="shared" si="1"/>
        <v>Сильный признак</v>
      </c>
      <c r="N8" s="13" t="s">
        <v>411</v>
      </c>
    </row>
    <row r="9" spans="1:14" ht="28.5">
      <c r="A9" s="8" t="s">
        <v>71</v>
      </c>
      <c r="B9" s="8" t="s">
        <v>655</v>
      </c>
      <c r="C9" s="8" t="s">
        <v>367</v>
      </c>
      <c r="D9" s="8" t="s">
        <v>161</v>
      </c>
      <c r="E9" s="8" t="s">
        <v>528</v>
      </c>
      <c r="F9" s="8" t="s">
        <v>529</v>
      </c>
      <c r="G9" s="8" t="s">
        <v>519</v>
      </c>
      <c r="H9" s="8">
        <v>1</v>
      </c>
      <c r="I9" s="8">
        <v>1</v>
      </c>
      <c r="J9" s="8">
        <v>2</v>
      </c>
      <c r="K9" s="8">
        <v>4</v>
      </c>
      <c r="L9" s="8">
        <f t="shared" si="0"/>
        <v>2</v>
      </c>
      <c r="M9" s="8" t="str">
        <f t="shared" si="1"/>
        <v>Рабочий признак</v>
      </c>
      <c r="N9" s="13" t="s">
        <v>411</v>
      </c>
    </row>
    <row r="10" spans="1:14" ht="28.5">
      <c r="A10" s="8" t="s">
        <v>71</v>
      </c>
      <c r="B10" s="8" t="s">
        <v>655</v>
      </c>
      <c r="C10" s="8" t="s">
        <v>367</v>
      </c>
      <c r="D10" s="8" t="s">
        <v>161</v>
      </c>
      <c r="E10" s="8" t="s">
        <v>530</v>
      </c>
      <c r="F10" s="8" t="s">
        <v>531</v>
      </c>
      <c r="G10" s="8" t="s">
        <v>519</v>
      </c>
      <c r="H10" s="8">
        <v>1</v>
      </c>
      <c r="I10" s="8">
        <v>2</v>
      </c>
      <c r="J10" s="8">
        <v>2</v>
      </c>
      <c r="K10" s="8">
        <v>4</v>
      </c>
      <c r="L10" s="8">
        <f t="shared" si="0"/>
        <v>2.67</v>
      </c>
      <c r="M10" s="8" t="str">
        <f t="shared" si="1"/>
        <v>Рабочий признак</v>
      </c>
      <c r="N10" s="13" t="s">
        <v>411</v>
      </c>
    </row>
    <row r="11" spans="1:14" ht="28.5">
      <c r="A11" s="8" t="s">
        <v>71</v>
      </c>
      <c r="B11" s="8" t="s">
        <v>655</v>
      </c>
      <c r="C11" s="8" t="s">
        <v>367</v>
      </c>
      <c r="D11" s="8" t="s">
        <v>161</v>
      </c>
      <c r="E11" s="8" t="s">
        <v>532</v>
      </c>
      <c r="F11" s="8" t="s">
        <v>533</v>
      </c>
      <c r="G11" s="8" t="s">
        <v>519</v>
      </c>
      <c r="H11" s="8">
        <v>1</v>
      </c>
      <c r="I11" s="8">
        <v>2</v>
      </c>
      <c r="J11" s="8">
        <v>2</v>
      </c>
      <c r="K11" s="8">
        <v>4</v>
      </c>
      <c r="L11" s="8">
        <f t="shared" si="0"/>
        <v>2.67</v>
      </c>
      <c r="M11" s="8" t="str">
        <f t="shared" si="1"/>
        <v>Рабочий признак</v>
      </c>
      <c r="N11" s="13" t="s">
        <v>411</v>
      </c>
    </row>
    <row r="12" spans="1:14" ht="28.5">
      <c r="A12" s="8" t="s">
        <v>71</v>
      </c>
      <c r="B12" s="8" t="s">
        <v>655</v>
      </c>
      <c r="C12" s="8" t="s">
        <v>367</v>
      </c>
      <c r="D12" s="8" t="s">
        <v>168</v>
      </c>
      <c r="E12" s="8" t="s">
        <v>534</v>
      </c>
      <c r="F12" s="8" t="s">
        <v>535</v>
      </c>
      <c r="G12" s="8" t="s">
        <v>519</v>
      </c>
      <c r="H12" s="8">
        <v>1</v>
      </c>
      <c r="I12" s="8">
        <v>3</v>
      </c>
      <c r="J12" s="8">
        <v>3</v>
      </c>
      <c r="K12" s="8">
        <v>2</v>
      </c>
      <c r="L12" s="8">
        <f t="shared" si="0"/>
        <v>2</v>
      </c>
      <c r="M12" s="8" t="str">
        <f t="shared" si="1"/>
        <v>Рабочий признак</v>
      </c>
      <c r="N12" s="13" t="s">
        <v>411</v>
      </c>
    </row>
    <row r="13" spans="1:14" ht="28.5">
      <c r="A13" s="8" t="s">
        <v>71</v>
      </c>
      <c r="B13" s="8" t="s">
        <v>655</v>
      </c>
      <c r="C13" s="8" t="s">
        <v>367</v>
      </c>
      <c r="D13" s="8" t="s">
        <v>168</v>
      </c>
      <c r="E13" s="8" t="s">
        <v>536</v>
      </c>
      <c r="F13" s="8" t="s">
        <v>537</v>
      </c>
      <c r="G13" s="8" t="s">
        <v>519</v>
      </c>
      <c r="H13" s="8">
        <v>1</v>
      </c>
      <c r="I13" s="8">
        <v>2</v>
      </c>
      <c r="J13" s="8">
        <v>3</v>
      </c>
      <c r="K13" s="8">
        <v>3</v>
      </c>
      <c r="L13" s="8">
        <f t="shared" si="0"/>
        <v>2.5</v>
      </c>
      <c r="M13" s="8" t="str">
        <f t="shared" si="1"/>
        <v>Рабочий признак</v>
      </c>
      <c r="N13" s="13" t="s">
        <v>411</v>
      </c>
    </row>
    <row r="14" spans="1:14" ht="28.5">
      <c r="A14" s="8" t="s">
        <v>71</v>
      </c>
      <c r="B14" s="8" t="s">
        <v>655</v>
      </c>
      <c r="C14" s="8" t="s">
        <v>367</v>
      </c>
      <c r="D14" s="8" t="s">
        <v>168</v>
      </c>
      <c r="E14" s="8" t="s">
        <v>538</v>
      </c>
      <c r="F14" s="8" t="s">
        <v>539</v>
      </c>
      <c r="G14" s="8" t="s">
        <v>519</v>
      </c>
      <c r="H14" s="8">
        <v>1</v>
      </c>
      <c r="I14" s="8">
        <v>3</v>
      </c>
      <c r="J14" s="8">
        <v>2</v>
      </c>
      <c r="K14" s="8">
        <v>3</v>
      </c>
      <c r="L14" s="8">
        <f t="shared" si="0"/>
        <v>2.5</v>
      </c>
      <c r="M14" s="8" t="str">
        <f t="shared" si="1"/>
        <v>Рабочий признак</v>
      </c>
      <c r="N14" s="13" t="s">
        <v>411</v>
      </c>
    </row>
    <row r="15" spans="1:14" ht="28.5">
      <c r="A15" s="8" t="s">
        <v>71</v>
      </c>
      <c r="B15" s="8" t="s">
        <v>655</v>
      </c>
      <c r="C15" s="8" t="s">
        <v>367</v>
      </c>
      <c r="D15" s="8" t="s">
        <v>168</v>
      </c>
      <c r="E15" s="8" t="s">
        <v>540</v>
      </c>
      <c r="F15" s="8" t="s">
        <v>539</v>
      </c>
      <c r="G15" s="8" t="s">
        <v>519</v>
      </c>
      <c r="H15" s="8">
        <v>1</v>
      </c>
      <c r="I15" s="8">
        <v>2</v>
      </c>
      <c r="J15" s="8">
        <v>3</v>
      </c>
      <c r="K15" s="8">
        <v>3</v>
      </c>
      <c r="L15" s="8">
        <f t="shared" si="0"/>
        <v>2.5</v>
      </c>
      <c r="M15" s="8" t="str">
        <f t="shared" si="1"/>
        <v>Рабочий признак</v>
      </c>
      <c r="N15" s="13" t="s">
        <v>411</v>
      </c>
    </row>
    <row r="16" spans="1:14" ht="28.5">
      <c r="A16" s="8" t="s">
        <v>71</v>
      </c>
      <c r="B16" s="8" t="s">
        <v>655</v>
      </c>
      <c r="C16" s="8" t="s">
        <v>367</v>
      </c>
      <c r="D16" s="8" t="s">
        <v>168</v>
      </c>
      <c r="E16" s="8" t="s">
        <v>541</v>
      </c>
      <c r="F16" s="8" t="s">
        <v>542</v>
      </c>
      <c r="G16" s="8" t="s">
        <v>519</v>
      </c>
      <c r="H16" s="8">
        <v>1</v>
      </c>
      <c r="I16" s="8">
        <v>2</v>
      </c>
      <c r="J16" s="8">
        <v>3</v>
      </c>
      <c r="K16" s="8">
        <v>4</v>
      </c>
      <c r="L16" s="8">
        <f t="shared" si="0"/>
        <v>3.33</v>
      </c>
      <c r="M16" s="8" t="str">
        <f t="shared" si="1"/>
        <v>Рабочий признак</v>
      </c>
      <c r="N16" s="13" t="s">
        <v>411</v>
      </c>
    </row>
    <row r="17" spans="1:14" ht="28.5">
      <c r="A17" s="8" t="s">
        <v>72</v>
      </c>
      <c r="B17" s="8" t="s">
        <v>657</v>
      </c>
      <c r="C17" s="8" t="s">
        <v>376</v>
      </c>
      <c r="D17" s="8" t="s">
        <v>151</v>
      </c>
      <c r="E17" s="8" t="s">
        <v>517</v>
      </c>
      <c r="F17" s="8" t="s">
        <v>518</v>
      </c>
      <c r="G17" s="8" t="s">
        <v>519</v>
      </c>
      <c r="H17" s="8">
        <v>1</v>
      </c>
      <c r="I17" s="8">
        <v>1</v>
      </c>
      <c r="J17" s="8">
        <v>2</v>
      </c>
      <c r="K17" s="8">
        <v>5</v>
      </c>
      <c r="L17" s="8">
        <f t="shared" si="0"/>
        <v>2.5</v>
      </c>
      <c r="M17" s="8" t="str">
        <f t="shared" si="1"/>
        <v>Рабочий признак</v>
      </c>
      <c r="N17" s="13" t="s">
        <v>411</v>
      </c>
    </row>
    <row r="18" spans="1:14" ht="28.5">
      <c r="A18" s="8" t="s">
        <v>72</v>
      </c>
      <c r="B18" s="8" t="s">
        <v>657</v>
      </c>
      <c r="C18" s="8" t="s">
        <v>376</v>
      </c>
      <c r="D18" s="8" t="s">
        <v>168</v>
      </c>
      <c r="E18" s="8" t="s">
        <v>520</v>
      </c>
      <c r="F18" s="8" t="s">
        <v>521</v>
      </c>
      <c r="G18" s="8" t="s">
        <v>519</v>
      </c>
      <c r="H18" s="8">
        <v>1</v>
      </c>
      <c r="I18" s="8">
        <v>3</v>
      </c>
      <c r="J18" s="8">
        <v>2</v>
      </c>
      <c r="K18" s="8">
        <v>4</v>
      </c>
      <c r="L18" s="8">
        <f t="shared" si="0"/>
        <v>3.33</v>
      </c>
      <c r="M18" s="8" t="str">
        <f t="shared" si="1"/>
        <v>Рабочий признак</v>
      </c>
      <c r="N18" s="13" t="s">
        <v>411</v>
      </c>
    </row>
    <row r="19" spans="1:14" ht="28.5">
      <c r="A19" s="8" t="s">
        <v>72</v>
      </c>
      <c r="B19" s="8" t="s">
        <v>657</v>
      </c>
      <c r="C19" s="8" t="s">
        <v>376</v>
      </c>
      <c r="D19" s="8" t="s">
        <v>168</v>
      </c>
      <c r="E19" s="8" t="s">
        <v>522</v>
      </c>
      <c r="F19" s="8" t="s">
        <v>523</v>
      </c>
      <c r="G19" s="8" t="s">
        <v>519</v>
      </c>
      <c r="H19" s="8">
        <v>1</v>
      </c>
      <c r="I19" s="8">
        <v>2</v>
      </c>
      <c r="J19" s="8">
        <v>2</v>
      </c>
      <c r="K19" s="8">
        <v>4</v>
      </c>
      <c r="L19" s="8">
        <f t="shared" si="0"/>
        <v>2.67</v>
      </c>
      <c r="M19" s="8" t="str">
        <f t="shared" si="1"/>
        <v>Рабочий признак</v>
      </c>
      <c r="N19" s="13" t="s">
        <v>411</v>
      </c>
    </row>
    <row r="20" spans="1:14" ht="28.5">
      <c r="A20" s="8" t="s">
        <v>72</v>
      </c>
      <c r="B20" s="8" t="s">
        <v>657</v>
      </c>
      <c r="C20" s="8" t="s">
        <v>376</v>
      </c>
      <c r="D20" s="8" t="s">
        <v>157</v>
      </c>
      <c r="E20" s="8" t="s">
        <v>526</v>
      </c>
      <c r="F20" s="8" t="s">
        <v>527</v>
      </c>
      <c r="G20" s="8" t="s">
        <v>519</v>
      </c>
      <c r="H20" s="8">
        <v>1</v>
      </c>
      <c r="I20" s="8">
        <v>3</v>
      </c>
      <c r="J20" s="8">
        <v>3</v>
      </c>
      <c r="K20" s="8">
        <v>5</v>
      </c>
      <c r="L20" s="8">
        <f t="shared" si="0"/>
        <v>5</v>
      </c>
      <c r="M20" s="8" t="str">
        <f t="shared" si="1"/>
        <v>Сильный признак</v>
      </c>
      <c r="N20" s="13" t="s">
        <v>411</v>
      </c>
    </row>
    <row r="21" spans="1:14" ht="28.5">
      <c r="A21" s="8" t="s">
        <v>72</v>
      </c>
      <c r="B21" s="8" t="s">
        <v>657</v>
      </c>
      <c r="C21" s="8" t="s">
        <v>376</v>
      </c>
      <c r="D21" s="8" t="s">
        <v>168</v>
      </c>
      <c r="E21" s="8" t="s">
        <v>534</v>
      </c>
      <c r="F21" s="8" t="s">
        <v>535</v>
      </c>
      <c r="G21" s="8" t="s">
        <v>519</v>
      </c>
      <c r="H21" s="8">
        <v>1</v>
      </c>
      <c r="I21" s="8">
        <v>2</v>
      </c>
      <c r="J21" s="8">
        <v>1</v>
      </c>
      <c r="K21" s="8">
        <v>2</v>
      </c>
      <c r="L21" s="8">
        <f t="shared" si="0"/>
        <v>1</v>
      </c>
      <c r="M21" s="8" t="str">
        <f t="shared" si="1"/>
        <v>Слабый признак</v>
      </c>
      <c r="N21" s="13" t="s">
        <v>411</v>
      </c>
    </row>
    <row r="22" spans="1:14" ht="28.5">
      <c r="A22" s="8" t="s">
        <v>72</v>
      </c>
      <c r="B22" s="8" t="s">
        <v>657</v>
      </c>
      <c r="C22" s="8" t="s">
        <v>376</v>
      </c>
      <c r="D22" s="8" t="s">
        <v>168</v>
      </c>
      <c r="E22" s="8" t="s">
        <v>538</v>
      </c>
      <c r="F22" s="8" t="s">
        <v>539</v>
      </c>
      <c r="G22" s="8" t="s">
        <v>519</v>
      </c>
      <c r="H22" s="8">
        <v>1</v>
      </c>
      <c r="I22" s="8">
        <v>2</v>
      </c>
      <c r="J22" s="8">
        <v>2</v>
      </c>
      <c r="K22" s="8">
        <v>3</v>
      </c>
      <c r="L22" s="8">
        <f t="shared" si="0"/>
        <v>2</v>
      </c>
      <c r="M22" s="8" t="str">
        <f t="shared" si="1"/>
        <v>Рабочий признак</v>
      </c>
      <c r="N22" s="13" t="s">
        <v>411</v>
      </c>
    </row>
    <row r="23" spans="1:14" ht="28.5">
      <c r="A23" s="8" t="s">
        <v>73</v>
      </c>
      <c r="B23" s="8" t="s">
        <v>384</v>
      </c>
      <c r="C23" s="8" t="s">
        <v>380</v>
      </c>
      <c r="D23" s="8" t="s">
        <v>151</v>
      </c>
      <c r="E23" s="8" t="s">
        <v>517</v>
      </c>
      <c r="F23" s="8" t="s">
        <v>518</v>
      </c>
      <c r="G23" s="8" t="s">
        <v>519</v>
      </c>
      <c r="H23" s="8">
        <v>1</v>
      </c>
      <c r="I23" s="8">
        <v>1</v>
      </c>
      <c r="J23" s="8">
        <v>2</v>
      </c>
      <c r="K23" s="8">
        <v>5</v>
      </c>
      <c r="L23" s="8">
        <f t="shared" si="0"/>
        <v>2.5</v>
      </c>
      <c r="M23" s="8" t="str">
        <f t="shared" si="1"/>
        <v>Рабочий признак</v>
      </c>
      <c r="N23" s="13" t="s">
        <v>411</v>
      </c>
    </row>
    <row r="24" spans="1:14" ht="28.5">
      <c r="A24" s="8" t="s">
        <v>73</v>
      </c>
      <c r="B24" s="8" t="s">
        <v>384</v>
      </c>
      <c r="C24" s="8" t="s">
        <v>380</v>
      </c>
      <c r="D24" s="8" t="s">
        <v>168</v>
      </c>
      <c r="E24" s="8" t="s">
        <v>520</v>
      </c>
      <c r="F24" s="8" t="s">
        <v>521</v>
      </c>
      <c r="G24" s="8" t="s">
        <v>519</v>
      </c>
      <c r="H24" s="8">
        <v>1</v>
      </c>
      <c r="I24" s="8">
        <v>2</v>
      </c>
      <c r="J24" s="8">
        <v>3</v>
      </c>
      <c r="K24" s="8">
        <v>4</v>
      </c>
      <c r="L24" s="8">
        <f t="shared" si="0"/>
        <v>3.33</v>
      </c>
      <c r="M24" s="8" t="str">
        <f t="shared" si="1"/>
        <v>Рабочий признак</v>
      </c>
      <c r="N24" s="13" t="s">
        <v>411</v>
      </c>
    </row>
    <row r="25" spans="1:14" ht="28.5">
      <c r="A25" s="8" t="s">
        <v>73</v>
      </c>
      <c r="B25" s="8" t="s">
        <v>384</v>
      </c>
      <c r="C25" s="8" t="s">
        <v>380</v>
      </c>
      <c r="D25" s="8" t="s">
        <v>161</v>
      </c>
      <c r="E25" s="8" t="s">
        <v>524</v>
      </c>
      <c r="F25" s="8" t="s">
        <v>525</v>
      </c>
      <c r="G25" s="8" t="s">
        <v>519</v>
      </c>
      <c r="H25" s="8">
        <v>1</v>
      </c>
      <c r="I25" s="8">
        <v>1</v>
      </c>
      <c r="J25" s="8">
        <v>2</v>
      </c>
      <c r="K25" s="8">
        <v>4</v>
      </c>
      <c r="L25" s="8">
        <f t="shared" si="0"/>
        <v>2</v>
      </c>
      <c r="M25" s="8" t="str">
        <f t="shared" si="1"/>
        <v>Рабочий признак</v>
      </c>
      <c r="N25" s="13" t="s">
        <v>411</v>
      </c>
    </row>
    <row r="26" spans="1:14" ht="28.5">
      <c r="A26" s="8" t="s">
        <v>73</v>
      </c>
      <c r="B26" s="8" t="s">
        <v>384</v>
      </c>
      <c r="C26" s="8" t="s">
        <v>380</v>
      </c>
      <c r="D26" s="8" t="s">
        <v>157</v>
      </c>
      <c r="E26" s="8" t="s">
        <v>526</v>
      </c>
      <c r="F26" s="8" t="s">
        <v>527</v>
      </c>
      <c r="G26" s="8" t="s">
        <v>519</v>
      </c>
      <c r="H26" s="8">
        <v>1</v>
      </c>
      <c r="I26" s="8">
        <v>3</v>
      </c>
      <c r="J26" s="8">
        <v>3</v>
      </c>
      <c r="K26" s="8">
        <v>5</v>
      </c>
      <c r="L26" s="8">
        <f t="shared" si="0"/>
        <v>5</v>
      </c>
      <c r="M26" s="8" t="str">
        <f t="shared" si="1"/>
        <v>Сильный признак</v>
      </c>
      <c r="N26" s="13" t="s">
        <v>411</v>
      </c>
    </row>
    <row r="27" spans="1:14" ht="28.5">
      <c r="A27" s="8" t="s">
        <v>73</v>
      </c>
      <c r="B27" s="8" t="s">
        <v>384</v>
      </c>
      <c r="C27" s="8" t="s">
        <v>380</v>
      </c>
      <c r="D27" s="8" t="s">
        <v>161</v>
      </c>
      <c r="E27" s="8" t="s">
        <v>532</v>
      </c>
      <c r="F27" s="8" t="s">
        <v>533</v>
      </c>
      <c r="G27" s="8" t="s">
        <v>519</v>
      </c>
      <c r="H27" s="8">
        <v>1</v>
      </c>
      <c r="I27" s="8">
        <v>1</v>
      </c>
      <c r="J27" s="8">
        <v>2</v>
      </c>
      <c r="K27" s="8">
        <v>4</v>
      </c>
      <c r="L27" s="8">
        <f t="shared" si="0"/>
        <v>2</v>
      </c>
      <c r="M27" s="8" t="str">
        <f t="shared" si="1"/>
        <v>Рабочий признак</v>
      </c>
      <c r="N27" s="13" t="s">
        <v>411</v>
      </c>
    </row>
    <row r="28" spans="1:14" ht="28.5">
      <c r="A28" s="8" t="s">
        <v>73</v>
      </c>
      <c r="B28" s="8" t="s">
        <v>384</v>
      </c>
      <c r="C28" s="8" t="s">
        <v>380</v>
      </c>
      <c r="D28" s="8" t="s">
        <v>168</v>
      </c>
      <c r="E28" s="8" t="s">
        <v>534</v>
      </c>
      <c r="F28" s="8" t="s">
        <v>535</v>
      </c>
      <c r="G28" s="8" t="s">
        <v>519</v>
      </c>
      <c r="H28" s="8">
        <v>1</v>
      </c>
      <c r="I28" s="8">
        <v>3</v>
      </c>
      <c r="J28" s="8">
        <v>3</v>
      </c>
      <c r="K28" s="8">
        <v>2</v>
      </c>
      <c r="L28" s="8">
        <f t="shared" si="0"/>
        <v>2</v>
      </c>
      <c r="M28" s="8" t="str">
        <f t="shared" si="1"/>
        <v>Рабочий признак</v>
      </c>
      <c r="N28" s="13" t="s">
        <v>411</v>
      </c>
    </row>
    <row r="29" spans="1:14" ht="28.5">
      <c r="A29" s="8" t="s">
        <v>73</v>
      </c>
      <c r="B29" s="8" t="s">
        <v>384</v>
      </c>
      <c r="C29" s="8" t="s">
        <v>380</v>
      </c>
      <c r="D29" s="8" t="s">
        <v>168</v>
      </c>
      <c r="E29" s="8" t="s">
        <v>540</v>
      </c>
      <c r="F29" s="8" t="s">
        <v>539</v>
      </c>
      <c r="G29" s="8" t="s">
        <v>519</v>
      </c>
      <c r="H29" s="8">
        <v>1</v>
      </c>
      <c r="I29" s="8">
        <v>2</v>
      </c>
      <c r="J29" s="8">
        <v>2</v>
      </c>
      <c r="K29" s="8">
        <v>3</v>
      </c>
      <c r="L29" s="8">
        <f t="shared" si="0"/>
        <v>2</v>
      </c>
      <c r="M29" s="8" t="str">
        <f t="shared" si="1"/>
        <v>Рабочий признак</v>
      </c>
      <c r="N29" s="13" t="s">
        <v>411</v>
      </c>
    </row>
    <row r="30" spans="1:14" ht="28.5">
      <c r="A30" s="8" t="s">
        <v>73</v>
      </c>
      <c r="B30" s="8" t="s">
        <v>384</v>
      </c>
      <c r="C30" s="8" t="s">
        <v>380</v>
      </c>
      <c r="D30" s="8" t="s">
        <v>168</v>
      </c>
      <c r="E30" s="8" t="s">
        <v>541</v>
      </c>
      <c r="F30" s="8" t="s">
        <v>542</v>
      </c>
      <c r="G30" s="8" t="s">
        <v>519</v>
      </c>
      <c r="H30" s="8">
        <v>1</v>
      </c>
      <c r="I30" s="8">
        <v>1</v>
      </c>
      <c r="J30" s="8">
        <v>1</v>
      </c>
      <c r="K30" s="8">
        <v>4</v>
      </c>
      <c r="L30" s="8">
        <f t="shared" si="0"/>
        <v>1.33</v>
      </c>
      <c r="M30" s="8" t="str">
        <f t="shared" si="1"/>
        <v>Слабый признак</v>
      </c>
      <c r="N30" s="13" t="s">
        <v>411</v>
      </c>
    </row>
    <row r="31" spans="1:14" ht="14.25">
      <c r="A31" s="8" t="s">
        <v>74</v>
      </c>
      <c r="B31" s="8" t="s">
        <v>391</v>
      </c>
      <c r="C31" s="8" t="s">
        <v>386</v>
      </c>
      <c r="D31" s="8" t="s">
        <v>168</v>
      </c>
      <c r="E31" s="8" t="s">
        <v>520</v>
      </c>
      <c r="F31" s="8" t="s">
        <v>521</v>
      </c>
      <c r="G31" s="8" t="s">
        <v>519</v>
      </c>
      <c r="H31" s="8">
        <v>1</v>
      </c>
      <c r="I31" s="8">
        <v>2</v>
      </c>
      <c r="J31" s="8">
        <v>2</v>
      </c>
      <c r="K31" s="8">
        <v>4</v>
      </c>
      <c r="L31" s="8">
        <f t="shared" si="0"/>
        <v>2.67</v>
      </c>
      <c r="M31" s="8" t="str">
        <f t="shared" si="1"/>
        <v>Рабочий признак</v>
      </c>
      <c r="N31" s="13" t="s">
        <v>411</v>
      </c>
    </row>
    <row r="32" spans="1:14" ht="14.25">
      <c r="A32" s="8" t="s">
        <v>74</v>
      </c>
      <c r="B32" s="8" t="s">
        <v>391</v>
      </c>
      <c r="C32" s="8" t="s">
        <v>386</v>
      </c>
      <c r="D32" s="8" t="s">
        <v>157</v>
      </c>
      <c r="E32" s="8" t="s">
        <v>526</v>
      </c>
      <c r="F32" s="8" t="s">
        <v>527</v>
      </c>
      <c r="G32" s="8" t="s">
        <v>519</v>
      </c>
      <c r="H32" s="8">
        <v>1</v>
      </c>
      <c r="I32" s="8">
        <v>3</v>
      </c>
      <c r="J32" s="8">
        <v>3</v>
      </c>
      <c r="K32" s="8">
        <v>5</v>
      </c>
      <c r="L32" s="8">
        <f t="shared" si="0"/>
        <v>5</v>
      </c>
      <c r="M32" s="8" t="str">
        <f t="shared" si="1"/>
        <v>Сильный признак</v>
      </c>
      <c r="N32" s="13" t="s">
        <v>411</v>
      </c>
    </row>
    <row r="33" spans="1:14" ht="14.25">
      <c r="A33" s="8" t="s">
        <v>74</v>
      </c>
      <c r="B33" s="8" t="s">
        <v>391</v>
      </c>
      <c r="C33" s="8" t="s">
        <v>386</v>
      </c>
      <c r="D33" s="8" t="s">
        <v>157</v>
      </c>
      <c r="E33" s="8" t="s">
        <v>543</v>
      </c>
      <c r="F33" s="8" t="s">
        <v>408</v>
      </c>
      <c r="G33" s="8" t="s">
        <v>519</v>
      </c>
      <c r="H33" s="8">
        <v>1</v>
      </c>
      <c r="I33" s="8">
        <v>2</v>
      </c>
      <c r="J33" s="8">
        <v>3</v>
      </c>
      <c r="K33" s="8">
        <v>3</v>
      </c>
      <c r="L33" s="8">
        <f t="shared" si="0"/>
        <v>2.5</v>
      </c>
      <c r="M33" s="8" t="str">
        <f t="shared" si="1"/>
        <v>Рабочий признак</v>
      </c>
      <c r="N33" s="13" t="s">
        <v>411</v>
      </c>
    </row>
    <row r="34" spans="1:14" ht="14.25">
      <c r="A34" s="8" t="s">
        <v>74</v>
      </c>
      <c r="B34" s="8" t="s">
        <v>391</v>
      </c>
      <c r="C34" s="8" t="s">
        <v>386</v>
      </c>
      <c r="D34" s="8" t="s">
        <v>168</v>
      </c>
      <c r="E34" s="8" t="s">
        <v>544</v>
      </c>
      <c r="F34" s="8" t="s">
        <v>545</v>
      </c>
      <c r="G34" s="8" t="s">
        <v>519</v>
      </c>
      <c r="H34" s="8">
        <v>1</v>
      </c>
      <c r="I34" s="8">
        <v>2</v>
      </c>
      <c r="J34" s="8">
        <v>3</v>
      </c>
      <c r="K34" s="8">
        <v>4</v>
      </c>
      <c r="L34" s="8">
        <f t="shared" si="0"/>
        <v>3.33</v>
      </c>
      <c r="M34" s="8" t="str">
        <f t="shared" si="1"/>
        <v>Рабочий признак</v>
      </c>
      <c r="N34" s="13" t="s">
        <v>411</v>
      </c>
    </row>
    <row r="35" spans="1:14" ht="14.25">
      <c r="A35" s="8" t="s">
        <v>74</v>
      </c>
      <c r="B35" s="8" t="s">
        <v>391</v>
      </c>
      <c r="C35" s="8" t="s">
        <v>386</v>
      </c>
      <c r="D35" s="8" t="s">
        <v>161</v>
      </c>
      <c r="E35" s="8" t="s">
        <v>546</v>
      </c>
      <c r="F35" s="8" t="s">
        <v>547</v>
      </c>
      <c r="G35" s="8" t="s">
        <v>519</v>
      </c>
      <c r="H35" s="8">
        <v>1</v>
      </c>
      <c r="I35" s="8">
        <v>3</v>
      </c>
      <c r="J35" s="8">
        <v>3</v>
      </c>
      <c r="K35" s="8">
        <v>5</v>
      </c>
      <c r="L35" s="8">
        <f t="shared" si="0"/>
        <v>5</v>
      </c>
      <c r="M35" s="8" t="str">
        <f t="shared" si="1"/>
        <v>Сильный признак</v>
      </c>
      <c r="N35" s="13" t="s">
        <v>411</v>
      </c>
    </row>
    <row r="36" spans="1:14" ht="14.25">
      <c r="A36" s="8" t="s">
        <v>74</v>
      </c>
      <c r="B36" s="8" t="s">
        <v>391</v>
      </c>
      <c r="C36" s="8" t="s">
        <v>386</v>
      </c>
      <c r="D36" s="8" t="s">
        <v>161</v>
      </c>
      <c r="E36" s="8" t="s">
        <v>528</v>
      </c>
      <c r="F36" s="8" t="s">
        <v>529</v>
      </c>
      <c r="G36" s="8" t="s">
        <v>519</v>
      </c>
      <c r="H36" s="8">
        <v>1</v>
      </c>
      <c r="I36" s="8">
        <v>2</v>
      </c>
      <c r="J36" s="8">
        <v>3</v>
      </c>
      <c r="K36" s="8">
        <v>4</v>
      </c>
      <c r="L36" s="8">
        <f t="shared" si="0"/>
        <v>3.33</v>
      </c>
      <c r="M36" s="8" t="str">
        <f t="shared" si="1"/>
        <v>Рабочий признак</v>
      </c>
      <c r="N36" s="13" t="s">
        <v>411</v>
      </c>
    </row>
    <row r="37" spans="1:14" ht="14.25">
      <c r="A37" s="8" t="s">
        <v>74</v>
      </c>
      <c r="B37" s="8" t="s">
        <v>391</v>
      </c>
      <c r="C37" s="8" t="s">
        <v>386</v>
      </c>
      <c r="D37" s="8" t="s">
        <v>161</v>
      </c>
      <c r="E37" s="8" t="s">
        <v>530</v>
      </c>
      <c r="F37" s="8" t="s">
        <v>531</v>
      </c>
      <c r="G37" s="8" t="s">
        <v>519</v>
      </c>
      <c r="H37" s="8">
        <v>1</v>
      </c>
      <c r="I37" s="8">
        <v>3</v>
      </c>
      <c r="J37" s="8">
        <v>3</v>
      </c>
      <c r="K37" s="8">
        <v>4</v>
      </c>
      <c r="L37" s="8">
        <f t="shared" si="0"/>
        <v>4</v>
      </c>
      <c r="M37" s="8" t="str">
        <f t="shared" si="1"/>
        <v>Сильный признак</v>
      </c>
      <c r="N37" s="13" t="s">
        <v>411</v>
      </c>
    </row>
    <row r="38" spans="1:14" ht="14.25">
      <c r="A38" s="8" t="s">
        <v>74</v>
      </c>
      <c r="B38" s="8" t="s">
        <v>391</v>
      </c>
      <c r="C38" s="8" t="s">
        <v>386</v>
      </c>
      <c r="D38" s="8" t="s">
        <v>168</v>
      </c>
      <c r="E38" s="8" t="s">
        <v>548</v>
      </c>
      <c r="F38" s="8" t="s">
        <v>467</v>
      </c>
      <c r="G38" s="8" t="s">
        <v>519</v>
      </c>
      <c r="H38" s="8">
        <v>1</v>
      </c>
      <c r="I38" s="8">
        <v>2</v>
      </c>
      <c r="J38" s="8">
        <v>2</v>
      </c>
      <c r="K38" s="8">
        <v>3</v>
      </c>
      <c r="L38" s="8">
        <f t="shared" si="0"/>
        <v>2</v>
      </c>
      <c r="M38" s="8" t="str">
        <f t="shared" si="1"/>
        <v>Рабочий признак</v>
      </c>
      <c r="N38" s="13" t="s">
        <v>411</v>
      </c>
    </row>
    <row r="39" spans="1:14" ht="14.25">
      <c r="A39" s="8" t="s">
        <v>74</v>
      </c>
      <c r="B39" s="8" t="s">
        <v>391</v>
      </c>
      <c r="C39" s="8" t="s">
        <v>386</v>
      </c>
      <c r="D39" s="8" t="s">
        <v>161</v>
      </c>
      <c r="E39" s="8" t="s">
        <v>532</v>
      </c>
      <c r="F39" s="8" t="s">
        <v>533</v>
      </c>
      <c r="G39" s="8" t="s">
        <v>519</v>
      </c>
      <c r="H39" s="8">
        <v>1</v>
      </c>
      <c r="I39" s="8">
        <v>2</v>
      </c>
      <c r="J39" s="8">
        <v>3</v>
      </c>
      <c r="K39" s="8">
        <v>4</v>
      </c>
      <c r="L39" s="8">
        <f t="shared" si="0"/>
        <v>3.33</v>
      </c>
      <c r="M39" s="8" t="str">
        <f t="shared" si="1"/>
        <v>Рабочий признак</v>
      </c>
      <c r="N39" s="13" t="s">
        <v>411</v>
      </c>
    </row>
    <row r="40" spans="1:14" ht="14.25">
      <c r="A40" s="8" t="s">
        <v>74</v>
      </c>
      <c r="B40" s="8" t="s">
        <v>391</v>
      </c>
      <c r="C40" s="8" t="s">
        <v>386</v>
      </c>
      <c r="D40" s="8" t="s">
        <v>168</v>
      </c>
      <c r="E40" s="8" t="s">
        <v>536</v>
      </c>
      <c r="F40" s="8" t="s">
        <v>537</v>
      </c>
      <c r="G40" s="8" t="s">
        <v>519</v>
      </c>
      <c r="H40" s="8">
        <v>1</v>
      </c>
      <c r="I40" s="8">
        <v>2</v>
      </c>
      <c r="J40" s="8">
        <v>3</v>
      </c>
      <c r="K40" s="8">
        <v>3</v>
      </c>
      <c r="L40" s="8">
        <f t="shared" si="0"/>
        <v>2.5</v>
      </c>
      <c r="M40" s="8" t="str">
        <f t="shared" si="1"/>
        <v>Рабочий признак</v>
      </c>
      <c r="N40" s="13" t="s">
        <v>411</v>
      </c>
    </row>
    <row r="41" spans="1:14" ht="14.25">
      <c r="A41" s="8" t="s">
        <v>74</v>
      </c>
      <c r="B41" s="8" t="s">
        <v>391</v>
      </c>
      <c r="C41" s="8" t="s">
        <v>386</v>
      </c>
      <c r="D41" s="8" t="s">
        <v>173</v>
      </c>
      <c r="E41" s="8" t="s">
        <v>549</v>
      </c>
      <c r="F41" s="8" t="s">
        <v>550</v>
      </c>
      <c r="G41" s="8" t="s">
        <v>519</v>
      </c>
      <c r="H41" s="8">
        <v>1</v>
      </c>
      <c r="I41" s="8">
        <v>1</v>
      </c>
      <c r="J41" s="8">
        <v>1</v>
      </c>
      <c r="K41" s="8">
        <v>4</v>
      </c>
      <c r="L41" s="8">
        <f t="shared" si="0"/>
        <v>1.33</v>
      </c>
      <c r="M41" s="8" t="str">
        <f t="shared" si="1"/>
        <v>Слабый признак</v>
      </c>
      <c r="N41" s="13" t="s">
        <v>411</v>
      </c>
    </row>
    <row r="42" spans="1:14" ht="14.25">
      <c r="A42" s="8" t="s">
        <v>74</v>
      </c>
      <c r="B42" s="8" t="s">
        <v>391</v>
      </c>
      <c r="C42" s="8" t="s">
        <v>386</v>
      </c>
      <c r="D42" s="8" t="s">
        <v>168</v>
      </c>
      <c r="E42" s="8" t="s">
        <v>551</v>
      </c>
      <c r="F42" s="8" t="s">
        <v>552</v>
      </c>
      <c r="G42" s="8" t="s">
        <v>519</v>
      </c>
      <c r="H42" s="8">
        <v>1</v>
      </c>
      <c r="I42" s="8">
        <v>2</v>
      </c>
      <c r="J42" s="8">
        <v>1</v>
      </c>
      <c r="K42" s="8">
        <v>2</v>
      </c>
      <c r="L42" s="8">
        <f t="shared" si="0"/>
        <v>1</v>
      </c>
      <c r="M42" s="8" t="str">
        <f t="shared" si="1"/>
        <v>Слабый признак</v>
      </c>
      <c r="N42" s="13" t="s">
        <v>411</v>
      </c>
    </row>
    <row r="43" spans="1:14" ht="14.25">
      <c r="A43" s="8" t="s">
        <v>74</v>
      </c>
      <c r="B43" s="8" t="s">
        <v>391</v>
      </c>
      <c r="C43" s="8" t="s">
        <v>386</v>
      </c>
      <c r="D43" s="8" t="s">
        <v>161</v>
      </c>
      <c r="E43" s="8" t="s">
        <v>553</v>
      </c>
      <c r="F43" s="8" t="s">
        <v>547</v>
      </c>
      <c r="G43" s="8" t="s">
        <v>519</v>
      </c>
      <c r="H43" s="8">
        <v>1</v>
      </c>
      <c r="I43" s="8">
        <v>2</v>
      </c>
      <c r="J43" s="8">
        <v>3</v>
      </c>
      <c r="K43" s="8">
        <v>4</v>
      </c>
      <c r="L43" s="8">
        <f t="shared" si="0"/>
        <v>3.33</v>
      </c>
      <c r="M43" s="8" t="str">
        <f t="shared" si="1"/>
        <v>Рабочий признак</v>
      </c>
      <c r="N43" s="13" t="s">
        <v>411</v>
      </c>
    </row>
    <row r="44" spans="1:14" ht="14.25">
      <c r="A44" s="8" t="s">
        <v>74</v>
      </c>
      <c r="B44" s="8" t="s">
        <v>391</v>
      </c>
      <c r="C44" s="8" t="s">
        <v>386</v>
      </c>
      <c r="D44" s="8" t="s">
        <v>168</v>
      </c>
      <c r="E44" s="8" t="s">
        <v>554</v>
      </c>
      <c r="F44" s="8" t="s">
        <v>555</v>
      </c>
      <c r="G44" s="8" t="s">
        <v>519</v>
      </c>
      <c r="H44" s="8">
        <v>1</v>
      </c>
      <c r="I44" s="8">
        <v>3</v>
      </c>
      <c r="J44" s="8">
        <v>3</v>
      </c>
      <c r="K44" s="8">
        <v>3</v>
      </c>
      <c r="L44" s="8">
        <f t="shared" si="0"/>
        <v>3</v>
      </c>
      <c r="M44" s="8" t="str">
        <f t="shared" si="1"/>
        <v>Рабочий признак</v>
      </c>
      <c r="N44" s="13" t="s">
        <v>411</v>
      </c>
    </row>
    <row r="45" spans="1:14" ht="14.25">
      <c r="A45" s="8" t="s">
        <v>74</v>
      </c>
      <c r="B45" s="8" t="s">
        <v>391</v>
      </c>
      <c r="C45" s="8" t="s">
        <v>386</v>
      </c>
      <c r="D45" s="8" t="s">
        <v>173</v>
      </c>
      <c r="E45" s="8" t="s">
        <v>556</v>
      </c>
      <c r="F45" s="8" t="s">
        <v>557</v>
      </c>
      <c r="G45" s="8" t="s">
        <v>519</v>
      </c>
      <c r="H45" s="8">
        <v>1</v>
      </c>
      <c r="I45" s="8">
        <v>2</v>
      </c>
      <c r="J45" s="8">
        <v>2</v>
      </c>
      <c r="K45" s="8">
        <v>4</v>
      </c>
      <c r="L45" s="8">
        <f t="shared" si="0"/>
        <v>2.67</v>
      </c>
      <c r="M45" s="8" t="str">
        <f t="shared" si="1"/>
        <v>Рабочий признак</v>
      </c>
      <c r="N45" s="13" t="s">
        <v>411</v>
      </c>
    </row>
    <row r="46" spans="1:14" ht="14.25">
      <c r="A46" s="8" t="s">
        <v>75</v>
      </c>
      <c r="B46" s="8" t="s">
        <v>396</v>
      </c>
      <c r="C46" s="8" t="s">
        <v>393</v>
      </c>
      <c r="D46" s="8" t="s">
        <v>157</v>
      </c>
      <c r="E46" s="8" t="s">
        <v>526</v>
      </c>
      <c r="F46" s="8" t="s">
        <v>527</v>
      </c>
      <c r="G46" s="8" t="s">
        <v>519</v>
      </c>
      <c r="H46" s="8">
        <v>1</v>
      </c>
      <c r="I46" s="8">
        <v>3</v>
      </c>
      <c r="J46" s="8">
        <v>2</v>
      </c>
      <c r="K46" s="8">
        <v>5</v>
      </c>
      <c r="L46" s="8">
        <f t="shared" si="0"/>
        <v>4.17</v>
      </c>
      <c r="M46" s="8" t="str">
        <f t="shared" si="1"/>
        <v>Сильный признак</v>
      </c>
      <c r="N46" s="13" t="s">
        <v>411</v>
      </c>
    </row>
    <row r="47" spans="1:14" ht="14.25">
      <c r="A47" s="8" t="s">
        <v>75</v>
      </c>
      <c r="B47" s="8" t="s">
        <v>396</v>
      </c>
      <c r="C47" s="8" t="s">
        <v>393</v>
      </c>
      <c r="D47" s="8" t="s">
        <v>157</v>
      </c>
      <c r="E47" s="8" t="s">
        <v>543</v>
      </c>
      <c r="F47" s="8" t="s">
        <v>408</v>
      </c>
      <c r="G47" s="8" t="s">
        <v>519</v>
      </c>
      <c r="H47" s="8">
        <v>1</v>
      </c>
      <c r="I47" s="8">
        <v>2</v>
      </c>
      <c r="J47" s="8">
        <v>3</v>
      </c>
      <c r="K47" s="8">
        <v>3</v>
      </c>
      <c r="L47" s="8">
        <f t="shared" si="0"/>
        <v>2.5</v>
      </c>
      <c r="M47" s="8" t="str">
        <f t="shared" si="1"/>
        <v>Рабочий признак</v>
      </c>
      <c r="N47" s="13" t="s">
        <v>411</v>
      </c>
    </row>
    <row r="48" spans="1:14" ht="14.25">
      <c r="A48" s="8" t="s">
        <v>75</v>
      </c>
      <c r="B48" s="8" t="s">
        <v>396</v>
      </c>
      <c r="C48" s="8" t="s">
        <v>393</v>
      </c>
      <c r="D48" s="8" t="s">
        <v>168</v>
      </c>
      <c r="E48" s="8" t="s">
        <v>544</v>
      </c>
      <c r="F48" s="8" t="s">
        <v>545</v>
      </c>
      <c r="G48" s="8" t="s">
        <v>519</v>
      </c>
      <c r="H48" s="8">
        <v>1</v>
      </c>
      <c r="I48" s="8">
        <v>1</v>
      </c>
      <c r="J48" s="8">
        <v>2</v>
      </c>
      <c r="K48" s="8">
        <v>4</v>
      </c>
      <c r="L48" s="8">
        <f t="shared" si="0"/>
        <v>2</v>
      </c>
      <c r="M48" s="8" t="str">
        <f t="shared" si="1"/>
        <v>Рабочий признак</v>
      </c>
      <c r="N48" s="13" t="s">
        <v>411</v>
      </c>
    </row>
    <row r="49" spans="1:14" ht="14.25">
      <c r="A49" s="8" t="s">
        <v>75</v>
      </c>
      <c r="B49" s="8" t="s">
        <v>396</v>
      </c>
      <c r="C49" s="8" t="s">
        <v>393</v>
      </c>
      <c r="D49" s="8" t="s">
        <v>161</v>
      </c>
      <c r="E49" s="8" t="s">
        <v>528</v>
      </c>
      <c r="F49" s="8" t="s">
        <v>529</v>
      </c>
      <c r="G49" s="8" t="s">
        <v>519</v>
      </c>
      <c r="H49" s="8">
        <v>1</v>
      </c>
      <c r="I49" s="8">
        <v>1</v>
      </c>
      <c r="J49" s="8">
        <v>3</v>
      </c>
      <c r="K49" s="8">
        <v>4</v>
      </c>
      <c r="L49" s="8">
        <f t="shared" si="0"/>
        <v>2.67</v>
      </c>
      <c r="M49" s="8" t="str">
        <f t="shared" si="1"/>
        <v>Рабочий признак</v>
      </c>
      <c r="N49" s="13" t="s">
        <v>411</v>
      </c>
    </row>
    <row r="50" spans="1:14" ht="14.25">
      <c r="A50" s="8" t="s">
        <v>75</v>
      </c>
      <c r="B50" s="8" t="s">
        <v>396</v>
      </c>
      <c r="C50" s="8" t="s">
        <v>393</v>
      </c>
      <c r="D50" s="8" t="s">
        <v>161</v>
      </c>
      <c r="E50" s="8" t="s">
        <v>530</v>
      </c>
      <c r="F50" s="8" t="s">
        <v>531</v>
      </c>
      <c r="G50" s="8" t="s">
        <v>519</v>
      </c>
      <c r="H50" s="8">
        <v>1</v>
      </c>
      <c r="I50" s="8">
        <v>3</v>
      </c>
      <c r="J50" s="8">
        <v>3</v>
      </c>
      <c r="K50" s="8">
        <v>4</v>
      </c>
      <c r="L50" s="8">
        <f t="shared" si="0"/>
        <v>4</v>
      </c>
      <c r="M50" s="8" t="str">
        <f t="shared" si="1"/>
        <v>Сильный признак</v>
      </c>
      <c r="N50" s="13" t="s">
        <v>411</v>
      </c>
    </row>
    <row r="51" spans="1:14" ht="14.25">
      <c r="A51" s="8" t="s">
        <v>75</v>
      </c>
      <c r="B51" s="8" t="s">
        <v>396</v>
      </c>
      <c r="C51" s="8" t="s">
        <v>393</v>
      </c>
      <c r="D51" s="8" t="s">
        <v>168</v>
      </c>
      <c r="E51" s="8" t="s">
        <v>534</v>
      </c>
      <c r="F51" s="8" t="s">
        <v>535</v>
      </c>
      <c r="G51" s="8" t="s">
        <v>519</v>
      </c>
      <c r="H51" s="8">
        <v>1</v>
      </c>
      <c r="I51" s="8">
        <v>2</v>
      </c>
      <c r="J51" s="8">
        <v>2</v>
      </c>
      <c r="K51" s="8">
        <v>2</v>
      </c>
      <c r="L51" s="8">
        <f t="shared" si="0"/>
        <v>1.33</v>
      </c>
      <c r="M51" s="8" t="str">
        <f t="shared" si="1"/>
        <v>Слабый признак</v>
      </c>
      <c r="N51" s="13" t="s">
        <v>411</v>
      </c>
    </row>
    <row r="52" spans="1:14" ht="14.25">
      <c r="A52" s="8" t="s">
        <v>75</v>
      </c>
      <c r="B52" s="8" t="s">
        <v>396</v>
      </c>
      <c r="C52" s="8" t="s">
        <v>393</v>
      </c>
      <c r="D52" s="8" t="s">
        <v>168</v>
      </c>
      <c r="E52" s="8" t="s">
        <v>536</v>
      </c>
      <c r="F52" s="8" t="s">
        <v>537</v>
      </c>
      <c r="G52" s="8" t="s">
        <v>519</v>
      </c>
      <c r="H52" s="8">
        <v>1</v>
      </c>
      <c r="I52" s="8">
        <v>2</v>
      </c>
      <c r="J52" s="8">
        <v>2</v>
      </c>
      <c r="K52" s="8">
        <v>3</v>
      </c>
      <c r="L52" s="8">
        <f t="shared" si="0"/>
        <v>2</v>
      </c>
      <c r="M52" s="8" t="str">
        <f t="shared" si="1"/>
        <v>Рабочий признак</v>
      </c>
      <c r="N52" s="13" t="s">
        <v>411</v>
      </c>
    </row>
    <row r="53" spans="1:14" ht="14.25">
      <c r="A53" s="8" t="s">
        <v>75</v>
      </c>
      <c r="B53" s="8" t="s">
        <v>396</v>
      </c>
      <c r="C53" s="8" t="s">
        <v>393</v>
      </c>
      <c r="D53" s="8" t="s">
        <v>168</v>
      </c>
      <c r="E53" s="8" t="s">
        <v>551</v>
      </c>
      <c r="F53" s="8" t="s">
        <v>552</v>
      </c>
      <c r="G53" s="8" t="s">
        <v>519</v>
      </c>
      <c r="H53" s="8">
        <v>1</v>
      </c>
      <c r="I53" s="8">
        <v>3</v>
      </c>
      <c r="J53" s="8">
        <v>3</v>
      </c>
      <c r="K53" s="8">
        <v>2</v>
      </c>
      <c r="L53" s="8">
        <f t="shared" si="0"/>
        <v>2</v>
      </c>
      <c r="M53" s="8" t="str">
        <f t="shared" si="1"/>
        <v>Рабочий признак</v>
      </c>
      <c r="N53" s="13" t="s">
        <v>411</v>
      </c>
    </row>
    <row r="54" spans="1:14" ht="28.5">
      <c r="A54" s="8" t="s">
        <v>76</v>
      </c>
      <c r="B54" s="8" t="s">
        <v>659</v>
      </c>
      <c r="C54" s="8" t="s">
        <v>398</v>
      </c>
      <c r="D54" s="8" t="s">
        <v>161</v>
      </c>
      <c r="E54" s="8" t="s">
        <v>524</v>
      </c>
      <c r="F54" s="8" t="s">
        <v>525</v>
      </c>
      <c r="G54" s="8" t="s">
        <v>519</v>
      </c>
      <c r="H54" s="8">
        <v>1</v>
      </c>
      <c r="I54" s="8">
        <v>1</v>
      </c>
      <c r="J54" s="8">
        <v>2</v>
      </c>
      <c r="K54" s="8">
        <v>4</v>
      </c>
      <c r="L54" s="8">
        <f t="shared" si="0"/>
        <v>2</v>
      </c>
      <c r="M54" s="8" t="str">
        <f t="shared" si="1"/>
        <v>Рабочий признак</v>
      </c>
      <c r="N54" s="13" t="s">
        <v>411</v>
      </c>
    </row>
    <row r="55" spans="1:14" ht="28.5">
      <c r="A55" s="8" t="s">
        <v>76</v>
      </c>
      <c r="B55" s="8" t="s">
        <v>659</v>
      </c>
      <c r="C55" s="8" t="s">
        <v>398</v>
      </c>
      <c r="D55" s="8" t="s">
        <v>157</v>
      </c>
      <c r="E55" s="8" t="s">
        <v>526</v>
      </c>
      <c r="F55" s="8" t="s">
        <v>527</v>
      </c>
      <c r="G55" s="8" t="s">
        <v>519</v>
      </c>
      <c r="H55" s="8">
        <v>1</v>
      </c>
      <c r="I55" s="8">
        <v>3</v>
      </c>
      <c r="J55" s="8">
        <v>3</v>
      </c>
      <c r="K55" s="8">
        <v>5</v>
      </c>
      <c r="L55" s="8">
        <f t="shared" si="0"/>
        <v>5</v>
      </c>
      <c r="M55" s="8" t="str">
        <f t="shared" si="1"/>
        <v>Сильный признак</v>
      </c>
      <c r="N55" s="13" t="s">
        <v>411</v>
      </c>
    </row>
    <row r="56" spans="1:14" ht="28.5">
      <c r="A56" s="8" t="s">
        <v>76</v>
      </c>
      <c r="B56" s="8" t="s">
        <v>659</v>
      </c>
      <c r="C56" s="8" t="s">
        <v>398</v>
      </c>
      <c r="D56" s="8" t="s">
        <v>157</v>
      </c>
      <c r="E56" s="8" t="s">
        <v>543</v>
      </c>
      <c r="F56" s="8" t="s">
        <v>408</v>
      </c>
      <c r="G56" s="8" t="s">
        <v>519</v>
      </c>
      <c r="H56" s="8">
        <v>1</v>
      </c>
      <c r="I56" s="8">
        <v>2</v>
      </c>
      <c r="J56" s="8">
        <v>1</v>
      </c>
      <c r="K56" s="8">
        <v>3</v>
      </c>
      <c r="L56" s="8">
        <f t="shared" si="0"/>
        <v>1.5</v>
      </c>
      <c r="M56" s="8" t="str">
        <f t="shared" si="1"/>
        <v>Слабый признак</v>
      </c>
      <c r="N56" s="13" t="s">
        <v>411</v>
      </c>
    </row>
    <row r="57" spans="1:14" ht="28.5">
      <c r="A57" s="8" t="s">
        <v>76</v>
      </c>
      <c r="B57" s="8" t="s">
        <v>659</v>
      </c>
      <c r="C57" s="8" t="s">
        <v>398</v>
      </c>
      <c r="D57" s="8" t="s">
        <v>168</v>
      </c>
      <c r="E57" s="8" t="s">
        <v>544</v>
      </c>
      <c r="F57" s="8" t="s">
        <v>545</v>
      </c>
      <c r="G57" s="8" t="s">
        <v>519</v>
      </c>
      <c r="H57" s="8">
        <v>1</v>
      </c>
      <c r="I57" s="8">
        <v>1</v>
      </c>
      <c r="J57" s="8">
        <v>3</v>
      </c>
      <c r="K57" s="8">
        <v>4</v>
      </c>
      <c r="L57" s="8">
        <f t="shared" si="0"/>
        <v>2.67</v>
      </c>
      <c r="M57" s="8" t="str">
        <f t="shared" si="1"/>
        <v>Рабочий признак</v>
      </c>
      <c r="N57" s="13" t="s">
        <v>411</v>
      </c>
    </row>
    <row r="58" spans="1:14" ht="28.5">
      <c r="A58" s="8" t="s">
        <v>76</v>
      </c>
      <c r="B58" s="8" t="s">
        <v>659</v>
      </c>
      <c r="C58" s="8" t="s">
        <v>398</v>
      </c>
      <c r="D58" s="8" t="s">
        <v>173</v>
      </c>
      <c r="E58" s="8" t="s">
        <v>558</v>
      </c>
      <c r="F58" s="8" t="s">
        <v>559</v>
      </c>
      <c r="G58" s="8" t="s">
        <v>519</v>
      </c>
      <c r="H58" s="8">
        <v>1</v>
      </c>
      <c r="I58" s="8">
        <v>2</v>
      </c>
      <c r="J58" s="8">
        <v>1</v>
      </c>
      <c r="K58" s="8">
        <v>5</v>
      </c>
      <c r="L58" s="8">
        <f t="shared" si="0"/>
        <v>2.5</v>
      </c>
      <c r="M58" s="8" t="str">
        <f t="shared" si="1"/>
        <v>Рабочий признак</v>
      </c>
      <c r="N58" s="13" t="s">
        <v>411</v>
      </c>
    </row>
    <row r="59" spans="1:14" ht="28.5">
      <c r="A59" s="8" t="s">
        <v>76</v>
      </c>
      <c r="B59" s="8" t="s">
        <v>659</v>
      </c>
      <c r="C59" s="8" t="s">
        <v>398</v>
      </c>
      <c r="D59" s="8" t="s">
        <v>161</v>
      </c>
      <c r="E59" s="8" t="s">
        <v>546</v>
      </c>
      <c r="F59" s="8" t="s">
        <v>547</v>
      </c>
      <c r="G59" s="8" t="s">
        <v>519</v>
      </c>
      <c r="H59" s="8">
        <v>1</v>
      </c>
      <c r="I59" s="8">
        <v>2</v>
      </c>
      <c r="J59" s="8">
        <v>3</v>
      </c>
      <c r="K59" s="8">
        <v>5</v>
      </c>
      <c r="L59" s="8">
        <f t="shared" si="0"/>
        <v>4.17</v>
      </c>
      <c r="M59" s="8" t="str">
        <f t="shared" si="1"/>
        <v>Сильный признак</v>
      </c>
      <c r="N59" s="13" t="s">
        <v>411</v>
      </c>
    </row>
    <row r="60" spans="1:14" ht="28.5">
      <c r="A60" s="8" t="s">
        <v>76</v>
      </c>
      <c r="B60" s="8" t="s">
        <v>659</v>
      </c>
      <c r="C60" s="8" t="s">
        <v>398</v>
      </c>
      <c r="D60" s="8" t="s">
        <v>168</v>
      </c>
      <c r="E60" s="8" t="s">
        <v>548</v>
      </c>
      <c r="F60" s="8" t="s">
        <v>467</v>
      </c>
      <c r="G60" s="8" t="s">
        <v>519</v>
      </c>
      <c r="H60" s="8">
        <v>1</v>
      </c>
      <c r="I60" s="8">
        <v>3</v>
      </c>
      <c r="J60" s="8">
        <v>3</v>
      </c>
      <c r="K60" s="8">
        <v>3</v>
      </c>
      <c r="L60" s="8">
        <f t="shared" si="0"/>
        <v>3</v>
      </c>
      <c r="M60" s="8" t="str">
        <f t="shared" si="1"/>
        <v>Рабочий признак</v>
      </c>
      <c r="N60" s="13" t="s">
        <v>411</v>
      </c>
    </row>
    <row r="61" spans="1:14" ht="28.5">
      <c r="A61" s="8" t="s">
        <v>76</v>
      </c>
      <c r="B61" s="8" t="s">
        <v>659</v>
      </c>
      <c r="C61" s="8" t="s">
        <v>398</v>
      </c>
      <c r="D61" s="8" t="s">
        <v>161</v>
      </c>
      <c r="E61" s="8" t="s">
        <v>532</v>
      </c>
      <c r="F61" s="8" t="s">
        <v>533</v>
      </c>
      <c r="G61" s="8" t="s">
        <v>519</v>
      </c>
      <c r="H61" s="8">
        <v>1</v>
      </c>
      <c r="I61" s="8">
        <v>3</v>
      </c>
      <c r="J61" s="8">
        <v>3</v>
      </c>
      <c r="K61" s="8">
        <v>4</v>
      </c>
      <c r="L61" s="8">
        <f t="shared" si="0"/>
        <v>4</v>
      </c>
      <c r="M61" s="8" t="str">
        <f t="shared" si="1"/>
        <v>Сильный признак</v>
      </c>
      <c r="N61" s="13" t="s">
        <v>411</v>
      </c>
    </row>
    <row r="62" spans="1:14" ht="28.5">
      <c r="A62" s="8" t="s">
        <v>76</v>
      </c>
      <c r="B62" s="8" t="s">
        <v>659</v>
      </c>
      <c r="C62" s="8" t="s">
        <v>398</v>
      </c>
      <c r="D62" s="8" t="s">
        <v>168</v>
      </c>
      <c r="E62" s="8" t="s">
        <v>534</v>
      </c>
      <c r="F62" s="8" t="s">
        <v>535</v>
      </c>
      <c r="G62" s="8" t="s">
        <v>519</v>
      </c>
      <c r="H62" s="8">
        <v>1</v>
      </c>
      <c r="I62" s="8">
        <v>3</v>
      </c>
      <c r="J62" s="8">
        <v>2</v>
      </c>
      <c r="K62" s="8">
        <v>2</v>
      </c>
      <c r="L62" s="8">
        <f t="shared" si="0"/>
        <v>1.67</v>
      </c>
      <c r="M62" s="8" t="str">
        <f t="shared" si="1"/>
        <v>Слабый признак</v>
      </c>
      <c r="N62" s="13" t="s">
        <v>411</v>
      </c>
    </row>
    <row r="63" spans="1:14" ht="28.5">
      <c r="A63" s="8" t="s">
        <v>76</v>
      </c>
      <c r="B63" s="8" t="s">
        <v>659</v>
      </c>
      <c r="C63" s="8" t="s">
        <v>398</v>
      </c>
      <c r="D63" s="8" t="s">
        <v>168</v>
      </c>
      <c r="E63" s="8" t="s">
        <v>536</v>
      </c>
      <c r="F63" s="8" t="s">
        <v>537</v>
      </c>
      <c r="G63" s="8" t="s">
        <v>519</v>
      </c>
      <c r="H63" s="8">
        <v>1</v>
      </c>
      <c r="I63" s="8">
        <v>2</v>
      </c>
      <c r="J63" s="8">
        <v>3</v>
      </c>
      <c r="K63" s="8">
        <v>3</v>
      </c>
      <c r="L63" s="8">
        <f t="shared" si="0"/>
        <v>2.5</v>
      </c>
      <c r="M63" s="8" t="str">
        <f t="shared" si="1"/>
        <v>Рабочий признак</v>
      </c>
      <c r="N63" s="13" t="s">
        <v>411</v>
      </c>
    </row>
    <row r="64" spans="1:14" ht="28.5">
      <c r="A64" s="8" t="s">
        <v>76</v>
      </c>
      <c r="B64" s="8" t="s">
        <v>659</v>
      </c>
      <c r="C64" s="8" t="s">
        <v>398</v>
      </c>
      <c r="D64" s="8" t="s">
        <v>168</v>
      </c>
      <c r="E64" s="8" t="s">
        <v>551</v>
      </c>
      <c r="F64" s="8" t="s">
        <v>552</v>
      </c>
      <c r="G64" s="8" t="s">
        <v>519</v>
      </c>
      <c r="H64" s="8">
        <v>1</v>
      </c>
      <c r="I64" s="8">
        <v>2</v>
      </c>
      <c r="J64" s="8">
        <v>2</v>
      </c>
      <c r="K64" s="8">
        <v>2</v>
      </c>
      <c r="L64" s="8">
        <f t="shared" si="0"/>
        <v>1.33</v>
      </c>
      <c r="M64" s="8" t="str">
        <f t="shared" si="1"/>
        <v>Слабый признак</v>
      </c>
      <c r="N64" s="13" t="s">
        <v>411</v>
      </c>
    </row>
    <row r="65" spans="1:14" ht="28.5">
      <c r="A65" s="8" t="s">
        <v>76</v>
      </c>
      <c r="B65" s="8" t="s">
        <v>659</v>
      </c>
      <c r="C65" s="8" t="s">
        <v>398</v>
      </c>
      <c r="D65" s="8" t="s">
        <v>173</v>
      </c>
      <c r="E65" s="8" t="s">
        <v>560</v>
      </c>
      <c r="F65" s="8" t="s">
        <v>561</v>
      </c>
      <c r="G65" s="8" t="s">
        <v>519</v>
      </c>
      <c r="H65" s="8">
        <v>1</v>
      </c>
      <c r="I65" s="8">
        <v>3</v>
      </c>
      <c r="J65" s="8">
        <v>3</v>
      </c>
      <c r="K65" s="8">
        <v>2</v>
      </c>
      <c r="L65" s="8">
        <f t="shared" si="0"/>
        <v>2</v>
      </c>
      <c r="M65" s="8" t="str">
        <f t="shared" si="1"/>
        <v>Рабочий признак</v>
      </c>
      <c r="N65" s="13" t="s">
        <v>411</v>
      </c>
    </row>
    <row r="66" spans="1:14" ht="28.5">
      <c r="A66" s="8" t="s">
        <v>76</v>
      </c>
      <c r="B66" s="8" t="s">
        <v>659</v>
      </c>
      <c r="C66" s="8" t="s">
        <v>398</v>
      </c>
      <c r="D66" s="8" t="s">
        <v>161</v>
      </c>
      <c r="E66" s="8" t="s">
        <v>553</v>
      </c>
      <c r="F66" s="8" t="s">
        <v>547</v>
      </c>
      <c r="G66" s="8" t="s">
        <v>519</v>
      </c>
      <c r="H66" s="8">
        <v>1</v>
      </c>
      <c r="I66" s="8">
        <v>2</v>
      </c>
      <c r="J66" s="8">
        <v>2</v>
      </c>
      <c r="K66" s="8">
        <v>4</v>
      </c>
      <c r="L66" s="8">
        <f t="shared" si="0"/>
        <v>2.67</v>
      </c>
      <c r="M66" s="8" t="str">
        <f t="shared" si="1"/>
        <v>Рабочий признак</v>
      </c>
      <c r="N66" s="13" t="s">
        <v>411</v>
      </c>
    </row>
    <row r="67" spans="1:14" ht="28.5">
      <c r="A67" s="8" t="s">
        <v>76</v>
      </c>
      <c r="B67" s="8" t="s">
        <v>659</v>
      </c>
      <c r="C67" s="8" t="s">
        <v>398</v>
      </c>
      <c r="D67" s="8" t="s">
        <v>168</v>
      </c>
      <c r="E67" s="8" t="s">
        <v>554</v>
      </c>
      <c r="F67" s="8" t="s">
        <v>555</v>
      </c>
      <c r="G67" s="8" t="s">
        <v>519</v>
      </c>
      <c r="H67" s="8">
        <v>1</v>
      </c>
      <c r="I67" s="8">
        <v>3</v>
      </c>
      <c r="J67" s="8">
        <v>3</v>
      </c>
      <c r="K67" s="8">
        <v>3</v>
      </c>
      <c r="L67" s="8">
        <f t="shared" si="0"/>
        <v>3</v>
      </c>
      <c r="M67" s="8" t="str">
        <f t="shared" si="1"/>
        <v>Рабочий признак</v>
      </c>
      <c r="N67" s="13" t="s">
        <v>411</v>
      </c>
    </row>
    <row r="68" spans="1:14" ht="28.5">
      <c r="A68" s="8" t="s">
        <v>77</v>
      </c>
      <c r="B68" s="8" t="s">
        <v>406</v>
      </c>
      <c r="C68" s="8" t="s">
        <v>403</v>
      </c>
      <c r="D68" s="8" t="s">
        <v>161</v>
      </c>
      <c r="E68" s="8" t="s">
        <v>524</v>
      </c>
      <c r="F68" s="8" t="s">
        <v>525</v>
      </c>
      <c r="G68" s="8" t="s">
        <v>519</v>
      </c>
      <c r="H68" s="8">
        <v>1</v>
      </c>
      <c r="I68" s="8">
        <v>2</v>
      </c>
      <c r="J68" s="8">
        <v>3</v>
      </c>
      <c r="K68" s="8">
        <v>4</v>
      </c>
      <c r="L68" s="8">
        <f t="shared" ref="L68:L81" si="2">IF(OR(H68="",I68="",J68="",K68=""),"",ROUND(H68*((I68+J68)/6)*K68,2))</f>
        <v>3.33</v>
      </c>
      <c r="M68" s="8" t="str">
        <f t="shared" ref="M68:M81" si="3">IF(L68="","",IF(AND(L68&gt;=3.5,H68=1),"Сильный признак",IF(AND(L68&gt;=2,H68=1),"Рабочий признак",IF(H68=1,"Слабый признак","Отсутствует"))))</f>
        <v>Рабочий признак</v>
      </c>
      <c r="N68" s="13" t="s">
        <v>411</v>
      </c>
    </row>
    <row r="69" spans="1:14" ht="28.5">
      <c r="A69" s="8" t="s">
        <v>77</v>
      </c>
      <c r="B69" s="8" t="s">
        <v>406</v>
      </c>
      <c r="C69" s="8" t="s">
        <v>403</v>
      </c>
      <c r="D69" s="8" t="s">
        <v>157</v>
      </c>
      <c r="E69" s="8" t="s">
        <v>526</v>
      </c>
      <c r="F69" s="8" t="s">
        <v>527</v>
      </c>
      <c r="G69" s="8" t="s">
        <v>519</v>
      </c>
      <c r="H69" s="8">
        <v>1</v>
      </c>
      <c r="I69" s="8">
        <v>3</v>
      </c>
      <c r="J69" s="8">
        <v>3</v>
      </c>
      <c r="K69" s="8">
        <v>5</v>
      </c>
      <c r="L69" s="8">
        <f t="shared" si="2"/>
        <v>5</v>
      </c>
      <c r="M69" s="8" t="str">
        <f t="shared" si="3"/>
        <v>Сильный признак</v>
      </c>
      <c r="N69" s="13" t="s">
        <v>411</v>
      </c>
    </row>
    <row r="70" spans="1:14" ht="28.5">
      <c r="A70" s="8" t="s">
        <v>77</v>
      </c>
      <c r="B70" s="8" t="s">
        <v>406</v>
      </c>
      <c r="C70" s="8" t="s">
        <v>403</v>
      </c>
      <c r="D70" s="8" t="s">
        <v>157</v>
      </c>
      <c r="E70" s="8" t="s">
        <v>543</v>
      </c>
      <c r="F70" s="8" t="s">
        <v>408</v>
      </c>
      <c r="G70" s="8" t="s">
        <v>519</v>
      </c>
      <c r="H70" s="8">
        <v>1</v>
      </c>
      <c r="I70" s="8">
        <v>2</v>
      </c>
      <c r="J70" s="8">
        <v>2</v>
      </c>
      <c r="K70" s="8">
        <v>3</v>
      </c>
      <c r="L70" s="8">
        <f t="shared" si="2"/>
        <v>2</v>
      </c>
      <c r="M70" s="8" t="str">
        <f t="shared" si="3"/>
        <v>Рабочий признак</v>
      </c>
      <c r="N70" s="13" t="s">
        <v>411</v>
      </c>
    </row>
    <row r="71" spans="1:14" ht="28.5">
      <c r="A71" s="8" t="s">
        <v>77</v>
      </c>
      <c r="B71" s="8" t="s">
        <v>406</v>
      </c>
      <c r="C71" s="8" t="s">
        <v>403</v>
      </c>
      <c r="D71" s="8" t="s">
        <v>168</v>
      </c>
      <c r="E71" s="8" t="s">
        <v>544</v>
      </c>
      <c r="F71" s="8" t="s">
        <v>545</v>
      </c>
      <c r="G71" s="8" t="s">
        <v>519</v>
      </c>
      <c r="H71" s="8">
        <v>1</v>
      </c>
      <c r="I71" s="8">
        <v>2</v>
      </c>
      <c r="J71" s="8">
        <v>2</v>
      </c>
      <c r="K71" s="8">
        <v>4</v>
      </c>
      <c r="L71" s="8">
        <f t="shared" si="2"/>
        <v>2.67</v>
      </c>
      <c r="M71" s="8" t="str">
        <f t="shared" si="3"/>
        <v>Рабочий признак</v>
      </c>
      <c r="N71" s="13" t="s">
        <v>411</v>
      </c>
    </row>
    <row r="72" spans="1:14" ht="28.5">
      <c r="A72" s="8" t="s">
        <v>77</v>
      </c>
      <c r="B72" s="8" t="s">
        <v>406</v>
      </c>
      <c r="C72" s="8" t="s">
        <v>403</v>
      </c>
      <c r="D72" s="8" t="s">
        <v>173</v>
      </c>
      <c r="E72" s="8" t="s">
        <v>558</v>
      </c>
      <c r="F72" s="8" t="s">
        <v>559</v>
      </c>
      <c r="G72" s="8" t="s">
        <v>519</v>
      </c>
      <c r="H72" s="8">
        <v>1</v>
      </c>
      <c r="I72" s="8">
        <v>2</v>
      </c>
      <c r="J72" s="8">
        <v>2</v>
      </c>
      <c r="K72" s="8">
        <v>5</v>
      </c>
      <c r="L72" s="8">
        <f t="shared" si="2"/>
        <v>3.33</v>
      </c>
      <c r="M72" s="8" t="str">
        <f t="shared" si="3"/>
        <v>Рабочий признак</v>
      </c>
      <c r="N72" s="13" t="s">
        <v>411</v>
      </c>
    </row>
    <row r="73" spans="1:14" ht="28.5">
      <c r="A73" s="8" t="s">
        <v>77</v>
      </c>
      <c r="B73" s="8" t="s">
        <v>406</v>
      </c>
      <c r="C73" s="8" t="s">
        <v>403</v>
      </c>
      <c r="D73" s="8" t="s">
        <v>161</v>
      </c>
      <c r="E73" s="8" t="s">
        <v>546</v>
      </c>
      <c r="F73" s="8" t="s">
        <v>547</v>
      </c>
      <c r="G73" s="8" t="s">
        <v>519</v>
      </c>
      <c r="H73" s="8">
        <v>1</v>
      </c>
      <c r="I73" s="8">
        <v>3</v>
      </c>
      <c r="J73" s="8">
        <v>3</v>
      </c>
      <c r="K73" s="8">
        <v>5</v>
      </c>
      <c r="L73" s="8">
        <f t="shared" si="2"/>
        <v>5</v>
      </c>
      <c r="M73" s="8" t="str">
        <f t="shared" si="3"/>
        <v>Сильный признак</v>
      </c>
      <c r="N73" s="13" t="s">
        <v>411</v>
      </c>
    </row>
    <row r="74" spans="1:14" ht="28.5">
      <c r="A74" s="8" t="s">
        <v>77</v>
      </c>
      <c r="B74" s="8" t="s">
        <v>406</v>
      </c>
      <c r="C74" s="8" t="s">
        <v>403</v>
      </c>
      <c r="D74" s="8" t="s">
        <v>168</v>
      </c>
      <c r="E74" s="8" t="s">
        <v>548</v>
      </c>
      <c r="F74" s="8" t="s">
        <v>467</v>
      </c>
      <c r="G74" s="8" t="s">
        <v>519</v>
      </c>
      <c r="H74" s="8">
        <v>1</v>
      </c>
      <c r="I74" s="8">
        <v>2</v>
      </c>
      <c r="J74" s="8">
        <v>3</v>
      </c>
      <c r="K74" s="8">
        <v>3</v>
      </c>
      <c r="L74" s="8">
        <f t="shared" si="2"/>
        <v>2.5</v>
      </c>
      <c r="M74" s="8" t="str">
        <f t="shared" si="3"/>
        <v>Рабочий признак</v>
      </c>
      <c r="N74" s="13" t="s">
        <v>411</v>
      </c>
    </row>
    <row r="75" spans="1:14" ht="28.5">
      <c r="A75" s="8" t="s">
        <v>77</v>
      </c>
      <c r="B75" s="8" t="s">
        <v>406</v>
      </c>
      <c r="C75" s="8" t="s">
        <v>403</v>
      </c>
      <c r="D75" s="8" t="s">
        <v>161</v>
      </c>
      <c r="E75" s="8" t="s">
        <v>532</v>
      </c>
      <c r="F75" s="8" t="s">
        <v>533</v>
      </c>
      <c r="G75" s="8" t="s">
        <v>519</v>
      </c>
      <c r="H75" s="8">
        <v>1</v>
      </c>
      <c r="I75" s="8">
        <v>3</v>
      </c>
      <c r="J75" s="8">
        <v>3</v>
      </c>
      <c r="K75" s="8">
        <v>4</v>
      </c>
      <c r="L75" s="8">
        <f t="shared" si="2"/>
        <v>4</v>
      </c>
      <c r="M75" s="8" t="str">
        <f t="shared" si="3"/>
        <v>Сильный признак</v>
      </c>
      <c r="N75" s="13" t="s">
        <v>411</v>
      </c>
    </row>
    <row r="76" spans="1:14" ht="28.5">
      <c r="A76" s="8" t="s">
        <v>77</v>
      </c>
      <c r="B76" s="8" t="s">
        <v>406</v>
      </c>
      <c r="C76" s="8" t="s">
        <v>403</v>
      </c>
      <c r="D76" s="8" t="s">
        <v>168</v>
      </c>
      <c r="E76" s="8" t="s">
        <v>534</v>
      </c>
      <c r="F76" s="8" t="s">
        <v>535</v>
      </c>
      <c r="G76" s="8" t="s">
        <v>519</v>
      </c>
      <c r="H76" s="8">
        <v>1</v>
      </c>
      <c r="I76" s="8">
        <v>3</v>
      </c>
      <c r="J76" s="8">
        <v>3</v>
      </c>
      <c r="K76" s="8">
        <v>2</v>
      </c>
      <c r="L76" s="8">
        <f t="shared" si="2"/>
        <v>2</v>
      </c>
      <c r="M76" s="8" t="str">
        <f t="shared" si="3"/>
        <v>Рабочий признак</v>
      </c>
      <c r="N76" s="13" t="s">
        <v>411</v>
      </c>
    </row>
    <row r="77" spans="1:14" ht="28.5">
      <c r="A77" s="8" t="s">
        <v>77</v>
      </c>
      <c r="B77" s="8" t="s">
        <v>406</v>
      </c>
      <c r="C77" s="8" t="s">
        <v>403</v>
      </c>
      <c r="D77" s="8" t="s">
        <v>168</v>
      </c>
      <c r="E77" s="8" t="s">
        <v>536</v>
      </c>
      <c r="F77" s="8" t="s">
        <v>537</v>
      </c>
      <c r="G77" s="8" t="s">
        <v>519</v>
      </c>
      <c r="H77" s="8">
        <v>1</v>
      </c>
      <c r="I77" s="8">
        <v>2</v>
      </c>
      <c r="J77" s="8">
        <v>2</v>
      </c>
      <c r="K77" s="8">
        <v>3</v>
      </c>
      <c r="L77" s="8">
        <f t="shared" si="2"/>
        <v>2</v>
      </c>
      <c r="M77" s="8" t="str">
        <f t="shared" si="3"/>
        <v>Рабочий признак</v>
      </c>
      <c r="N77" s="13" t="s">
        <v>411</v>
      </c>
    </row>
    <row r="78" spans="1:14" ht="28.5">
      <c r="A78" s="8" t="s">
        <v>77</v>
      </c>
      <c r="B78" s="8" t="s">
        <v>406</v>
      </c>
      <c r="C78" s="8" t="s">
        <v>403</v>
      </c>
      <c r="D78" s="8" t="s">
        <v>173</v>
      </c>
      <c r="E78" s="8" t="s">
        <v>560</v>
      </c>
      <c r="F78" s="8" t="s">
        <v>561</v>
      </c>
      <c r="G78" s="8" t="s">
        <v>519</v>
      </c>
      <c r="H78" s="8">
        <v>1</v>
      </c>
      <c r="I78" s="8">
        <v>2</v>
      </c>
      <c r="J78" s="8">
        <v>2</v>
      </c>
      <c r="K78" s="8">
        <v>2</v>
      </c>
      <c r="L78" s="8">
        <f t="shared" si="2"/>
        <v>1.33</v>
      </c>
      <c r="M78" s="8" t="str">
        <f t="shared" si="3"/>
        <v>Слабый признак</v>
      </c>
      <c r="N78" s="13" t="s">
        <v>411</v>
      </c>
    </row>
    <row r="79" spans="1:14" ht="28.5">
      <c r="A79" s="8" t="s">
        <v>77</v>
      </c>
      <c r="B79" s="8" t="s">
        <v>406</v>
      </c>
      <c r="C79" s="8" t="s">
        <v>403</v>
      </c>
      <c r="D79" s="8" t="s">
        <v>161</v>
      </c>
      <c r="E79" s="8" t="s">
        <v>553</v>
      </c>
      <c r="F79" s="8" t="s">
        <v>547</v>
      </c>
      <c r="G79" s="8" t="s">
        <v>519</v>
      </c>
      <c r="H79" s="8">
        <v>1</v>
      </c>
      <c r="I79" s="8">
        <v>3</v>
      </c>
      <c r="J79" s="8">
        <v>3</v>
      </c>
      <c r="K79" s="8">
        <v>4</v>
      </c>
      <c r="L79" s="8">
        <f t="shared" si="2"/>
        <v>4</v>
      </c>
      <c r="M79" s="8" t="str">
        <f t="shared" si="3"/>
        <v>Сильный признак</v>
      </c>
      <c r="N79" s="13" t="s">
        <v>411</v>
      </c>
    </row>
    <row r="80" spans="1:14" ht="28.5">
      <c r="A80" s="8" t="s">
        <v>77</v>
      </c>
      <c r="B80" s="8" t="s">
        <v>406</v>
      </c>
      <c r="C80" s="8" t="s">
        <v>403</v>
      </c>
      <c r="D80" s="8" t="s">
        <v>173</v>
      </c>
      <c r="E80" s="8" t="s">
        <v>556</v>
      </c>
      <c r="F80" s="8" t="s">
        <v>557</v>
      </c>
      <c r="G80" s="8" t="s">
        <v>519</v>
      </c>
      <c r="H80" s="8">
        <v>1</v>
      </c>
      <c r="I80" s="8">
        <v>2</v>
      </c>
      <c r="J80" s="8">
        <v>3</v>
      </c>
      <c r="K80" s="8">
        <v>4</v>
      </c>
      <c r="L80" s="8">
        <f t="shared" si="2"/>
        <v>3.33</v>
      </c>
      <c r="M80" s="8" t="str">
        <f t="shared" si="3"/>
        <v>Рабочий признак</v>
      </c>
      <c r="N80" s="13" t="s">
        <v>411</v>
      </c>
    </row>
    <row r="81" spans="1:14" ht="28.5">
      <c r="A81" s="9" t="s">
        <v>77</v>
      </c>
      <c r="B81" s="9" t="s">
        <v>406</v>
      </c>
      <c r="C81" s="9" t="s">
        <v>403</v>
      </c>
      <c r="D81" s="9" t="s">
        <v>173</v>
      </c>
      <c r="E81" s="9" t="s">
        <v>562</v>
      </c>
      <c r="F81" s="9" t="s">
        <v>521</v>
      </c>
      <c r="G81" s="9" t="s">
        <v>519</v>
      </c>
      <c r="H81" s="9">
        <v>1</v>
      </c>
      <c r="I81" s="9">
        <v>3</v>
      </c>
      <c r="J81" s="9">
        <v>3</v>
      </c>
      <c r="K81" s="9">
        <v>2</v>
      </c>
      <c r="L81" s="9">
        <f t="shared" si="2"/>
        <v>2</v>
      </c>
      <c r="M81" s="9" t="str">
        <f t="shared" si="3"/>
        <v>Рабочий признак</v>
      </c>
      <c r="N81" s="10" t="s">
        <v>411</v>
      </c>
    </row>
  </sheetData>
  <mergeCells count="2">
    <mergeCell ref="A1:N1"/>
    <mergeCell ref="A2:N2"/>
  </mergeCells>
  <dataValidations count="4">
    <dataValidation type="list" sqref="D4:D81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4:H81" xr:uid="{00000000-0002-0000-0300-000001000000}">
      <formula1>"0,1"</formula1>
    </dataValidation>
    <dataValidation type="list" sqref="I4:J81" xr:uid="{00000000-0002-0000-0300-000002000000}">
      <formula1>"0,1,2,3"</formula1>
    </dataValidation>
    <dataValidation type="list" sqref="K4:K81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8"/>
  <sheetViews>
    <sheetView topLeftCell="C1" zoomScale="55" workbookViewId="0">
      <selection activeCell="E39" sqref="E39"/>
    </sheetView>
  </sheetViews>
  <sheetFormatPr defaultRowHeight="13.5"/>
  <cols>
    <col min="1" max="1" width="17.1875" style="25" customWidth="1"/>
    <col min="2" max="2" width="52.5625" style="25" customWidth="1"/>
    <col min="3" max="3" width="51.875" style="25" customWidth="1"/>
    <col min="4" max="4" width="37.1875" style="25" customWidth="1"/>
    <col min="5" max="5" width="19.3125" style="25" customWidth="1"/>
    <col min="6" max="6" width="10.9375" style="25" customWidth="1"/>
    <col min="7" max="7" width="35.0625" style="25" customWidth="1"/>
    <col min="8" max="8" width="20.375" style="25" customWidth="1"/>
    <col min="9" max="9" width="31.9375" style="25" customWidth="1"/>
    <col min="10" max="10" width="43.4375" style="25" customWidth="1"/>
    <col min="11" max="11" width="52.5625" style="25" customWidth="1"/>
    <col min="12" max="12" width="17.1875" style="25" customWidth="1"/>
    <col min="13" max="13" width="14.0625" style="25" customWidth="1"/>
    <col min="14" max="16384" width="9" style="25"/>
  </cols>
  <sheetData>
    <row r="1" spans="1:13" ht="20" customHeight="1">
      <c r="A1" s="27" t="s">
        <v>688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 spans="1:13" ht="20" customHeight="1">
      <c r="A2" s="29" t="s">
        <v>680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6"/>
    </row>
    <row r="3" spans="1:13" ht="14.25">
      <c r="A3" s="2" t="s">
        <v>102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31</v>
      </c>
      <c r="K3" s="2" t="s">
        <v>111</v>
      </c>
      <c r="L3" s="2" t="s">
        <v>112</v>
      </c>
      <c r="M3" s="6" t="s">
        <v>101</v>
      </c>
    </row>
    <row r="4" spans="1:13" ht="14.25">
      <c r="A4" s="8" t="s">
        <v>113</v>
      </c>
      <c r="B4" s="8" t="s">
        <v>517</v>
      </c>
      <c r="C4" s="8" t="s">
        <v>563</v>
      </c>
      <c r="D4" s="8" t="s">
        <v>518</v>
      </c>
      <c r="E4" s="8" t="s">
        <v>158</v>
      </c>
      <c r="F4" s="8">
        <v>5</v>
      </c>
      <c r="G4" s="8">
        <v>3</v>
      </c>
      <c r="H4" s="16">
        <f>IF(G4="","",IFERROR(G4/MAX(1,COUNTIF('1_Конкуренты'!$B$4:$B$10,"?*")),""))</f>
        <v>0.42857142857142855</v>
      </c>
      <c r="I4" s="8">
        <v>3.33</v>
      </c>
      <c r="J4" s="8" t="str">
        <f t="shared" ref="J4:J28" si="0">IF(B4="","",IF(E4="Обязательное",IF(H4&gt;=0.6,"Минимальный рыночный стандарт","Потенциальный обязательный разрыв"),IF(E4="Линейное",IF(H4&gt;=0.5,"Конкурентная норма с влиянием на выбор","Зона усиления ценности"),IF(E4="Привлекательное",IF(H4&lt;0.5,"Зона дифференциации","Переходит в ожидаемую норму"),IF(E4="Безразличное","Не делать при дефиците ресурсов",IF(E4="Обратное","Исключить из первого релиза при риске отторжения","Подтверждено частично"))))))</f>
        <v>Потенциальный обязательный разрыв</v>
      </c>
      <c r="K4" s="8" t="s">
        <v>564</v>
      </c>
      <c r="L4" s="8" t="s">
        <v>411</v>
      </c>
      <c r="M4" s="13" t="s">
        <v>411</v>
      </c>
    </row>
    <row r="5" spans="1:13" ht="14.25">
      <c r="A5" s="8" t="s">
        <v>114</v>
      </c>
      <c r="B5" s="8" t="s">
        <v>520</v>
      </c>
      <c r="C5" s="8" t="s">
        <v>565</v>
      </c>
      <c r="D5" s="8" t="s">
        <v>521</v>
      </c>
      <c r="E5" s="8" t="s">
        <v>155</v>
      </c>
      <c r="F5" s="8">
        <v>4</v>
      </c>
      <c r="G5" s="8">
        <v>4</v>
      </c>
      <c r="H5" s="16">
        <f>IF(G5="","",IFERROR(G5/MAX(1,COUNTIF('1_Конкуренты'!$B$4:$B$10,"?*")),""))</f>
        <v>0.5714285714285714</v>
      </c>
      <c r="I5" s="8">
        <v>3.5</v>
      </c>
      <c r="J5" s="8" t="str">
        <f t="shared" si="0"/>
        <v>Конкурентная норма с влиянием на выбор</v>
      </c>
      <c r="K5" s="8" t="s">
        <v>566</v>
      </c>
      <c r="L5" s="8" t="s">
        <v>411</v>
      </c>
      <c r="M5" s="13" t="s">
        <v>411</v>
      </c>
    </row>
    <row r="6" spans="1:13" ht="14.25">
      <c r="A6" s="8" t="s">
        <v>115</v>
      </c>
      <c r="B6" s="8" t="s">
        <v>522</v>
      </c>
      <c r="C6" s="8" t="s">
        <v>567</v>
      </c>
      <c r="D6" s="8" t="s">
        <v>523</v>
      </c>
      <c r="E6" s="8" t="s">
        <v>155</v>
      </c>
      <c r="F6" s="8">
        <v>4</v>
      </c>
      <c r="G6" s="8">
        <v>2</v>
      </c>
      <c r="H6" s="16">
        <f>IF(G6="","",IFERROR(G6/MAX(1,COUNTIF('1_Конкуренты'!$B$4:$B$10,"?*")),""))</f>
        <v>0.2857142857142857</v>
      </c>
      <c r="I6" s="8">
        <v>3.5</v>
      </c>
      <c r="J6" s="8" t="str">
        <f t="shared" si="0"/>
        <v>Зона усиления ценности</v>
      </c>
      <c r="K6" s="8" t="s">
        <v>568</v>
      </c>
      <c r="L6" s="8" t="s">
        <v>411</v>
      </c>
      <c r="M6" s="13" t="s">
        <v>411</v>
      </c>
    </row>
    <row r="7" spans="1:13" ht="14.25">
      <c r="A7" s="8" t="s">
        <v>116</v>
      </c>
      <c r="B7" s="8" t="s">
        <v>524</v>
      </c>
      <c r="C7" s="8" t="s">
        <v>569</v>
      </c>
      <c r="D7" s="8" t="s">
        <v>525</v>
      </c>
      <c r="E7" s="8" t="s">
        <v>155</v>
      </c>
      <c r="F7" s="8">
        <v>4</v>
      </c>
      <c r="G7" s="8">
        <v>4</v>
      </c>
      <c r="H7" s="16">
        <f>IF(G7="","",IFERROR(G7/MAX(1,COUNTIF('1_Конкуренты'!$B$4:$B$10,"?*")),""))</f>
        <v>0.5714285714285714</v>
      </c>
      <c r="I7" s="8">
        <v>3.5</v>
      </c>
      <c r="J7" s="8" t="str">
        <f t="shared" si="0"/>
        <v>Конкурентная норма с влиянием на выбор</v>
      </c>
      <c r="K7" s="8" t="s">
        <v>570</v>
      </c>
      <c r="L7" s="8" t="s">
        <v>411</v>
      </c>
      <c r="M7" s="13" t="s">
        <v>411</v>
      </c>
    </row>
    <row r="8" spans="1:13" ht="14.25">
      <c r="A8" s="8" t="s">
        <v>117</v>
      </c>
      <c r="B8" s="8" t="s">
        <v>526</v>
      </c>
      <c r="C8" s="8" t="s">
        <v>571</v>
      </c>
      <c r="D8" s="8" t="s">
        <v>527</v>
      </c>
      <c r="E8" s="8" t="s">
        <v>158</v>
      </c>
      <c r="F8" s="8">
        <v>5</v>
      </c>
      <c r="G8" s="8">
        <v>7</v>
      </c>
      <c r="H8" s="16">
        <f>IF(G8="","",IFERROR(G8/MAX(1,COUNTIF('1_Конкуренты'!$B$4:$B$10,"?*")),""))</f>
        <v>1</v>
      </c>
      <c r="I8" s="8">
        <v>4</v>
      </c>
      <c r="J8" s="8" t="str">
        <f t="shared" si="0"/>
        <v>Минимальный рыночный стандарт</v>
      </c>
      <c r="K8" s="8" t="s">
        <v>572</v>
      </c>
      <c r="L8" s="8" t="s">
        <v>411</v>
      </c>
      <c r="M8" s="13" t="s">
        <v>411</v>
      </c>
    </row>
    <row r="9" spans="1:13" ht="14.25">
      <c r="A9" s="8" t="s">
        <v>118</v>
      </c>
      <c r="B9" s="8" t="s">
        <v>543</v>
      </c>
      <c r="C9" s="8" t="s">
        <v>573</v>
      </c>
      <c r="D9" s="8" t="s">
        <v>408</v>
      </c>
      <c r="E9" s="8" t="s">
        <v>174</v>
      </c>
      <c r="F9" s="8">
        <v>3</v>
      </c>
      <c r="G9" s="8">
        <v>4</v>
      </c>
      <c r="H9" s="16">
        <f>IF(G9="","",IFERROR(G9/MAX(1,COUNTIF('1_Конкуренты'!$B$4:$B$10,"?*")),""))</f>
        <v>0.5714285714285714</v>
      </c>
      <c r="I9" s="8">
        <v>3.5</v>
      </c>
      <c r="J9" s="8" t="str">
        <f t="shared" si="0"/>
        <v>Переходит в ожидаемую норму</v>
      </c>
      <c r="K9" s="8" t="s">
        <v>667</v>
      </c>
      <c r="L9" s="8" t="s">
        <v>411</v>
      </c>
      <c r="M9" s="13" t="s">
        <v>411</v>
      </c>
    </row>
    <row r="10" spans="1:13" ht="14.25">
      <c r="A10" s="8" t="s">
        <v>119</v>
      </c>
      <c r="B10" s="8" t="s">
        <v>544</v>
      </c>
      <c r="C10" s="8" t="s">
        <v>574</v>
      </c>
      <c r="D10" s="8" t="s">
        <v>545</v>
      </c>
      <c r="E10" s="8" t="s">
        <v>174</v>
      </c>
      <c r="F10" s="8">
        <v>4</v>
      </c>
      <c r="G10" s="8">
        <v>4</v>
      </c>
      <c r="H10" s="16">
        <f>IF(G10="","",IFERROR(G10/MAX(1,COUNTIF('1_Конкуренты'!$B$4:$B$10,"?*")),""))</f>
        <v>0.5714285714285714</v>
      </c>
      <c r="I10" s="8">
        <v>3.5</v>
      </c>
      <c r="J10" s="8" t="str">
        <f t="shared" si="0"/>
        <v>Переходит в ожидаемую норму</v>
      </c>
      <c r="K10" s="8" t="s">
        <v>575</v>
      </c>
      <c r="L10" s="8" t="s">
        <v>411</v>
      </c>
      <c r="M10" s="13" t="s">
        <v>411</v>
      </c>
    </row>
    <row r="11" spans="1:13" ht="14.25">
      <c r="A11" s="8" t="s">
        <v>120</v>
      </c>
      <c r="B11" s="8" t="s">
        <v>558</v>
      </c>
      <c r="C11" s="8" t="s">
        <v>576</v>
      </c>
      <c r="D11" s="8" t="s">
        <v>559</v>
      </c>
      <c r="E11" s="8" t="s">
        <v>174</v>
      </c>
      <c r="F11" s="8">
        <v>5</v>
      </c>
      <c r="G11" s="8">
        <v>2</v>
      </c>
      <c r="H11" s="16">
        <f>IF(G11="","",IFERROR(G11/MAX(1,COUNTIF('1_Конкуренты'!$B$4:$B$10,"?*")),""))</f>
        <v>0.2857142857142857</v>
      </c>
      <c r="I11" s="8">
        <v>2.5</v>
      </c>
      <c r="J11" s="8" t="str">
        <f t="shared" si="0"/>
        <v>Зона дифференциации</v>
      </c>
      <c r="K11" s="8" t="s">
        <v>577</v>
      </c>
      <c r="L11" s="8" t="s">
        <v>411</v>
      </c>
      <c r="M11" s="13" t="s">
        <v>411</v>
      </c>
    </row>
    <row r="12" spans="1:13" ht="14.25">
      <c r="A12" s="8" t="s">
        <v>121</v>
      </c>
      <c r="B12" s="8" t="s">
        <v>546</v>
      </c>
      <c r="C12" s="8" t="s">
        <v>578</v>
      </c>
      <c r="D12" s="8" t="s">
        <v>547</v>
      </c>
      <c r="E12" s="8" t="s">
        <v>158</v>
      </c>
      <c r="F12" s="8">
        <v>5</v>
      </c>
      <c r="G12" s="8">
        <v>3</v>
      </c>
      <c r="H12" s="16">
        <f>IF(G12="","",IFERROR(G12/MAX(1,COUNTIF('1_Конкуренты'!$B$4:$B$10,"?*")),""))</f>
        <v>0.42857142857142855</v>
      </c>
      <c r="I12" s="8">
        <v>4.67</v>
      </c>
      <c r="J12" s="8" t="str">
        <f t="shared" si="0"/>
        <v>Потенциальный обязательный разрыв</v>
      </c>
      <c r="K12" s="8" t="s">
        <v>579</v>
      </c>
      <c r="L12" s="8" t="s">
        <v>411</v>
      </c>
      <c r="M12" s="13" t="s">
        <v>411</v>
      </c>
    </row>
    <row r="13" spans="1:13" ht="14.25">
      <c r="A13" s="8" t="s">
        <v>122</v>
      </c>
      <c r="B13" s="8" t="s">
        <v>528</v>
      </c>
      <c r="C13" s="8" t="s">
        <v>580</v>
      </c>
      <c r="D13" s="8" t="s">
        <v>529</v>
      </c>
      <c r="E13" s="8" t="s">
        <v>158</v>
      </c>
      <c r="F13" s="8">
        <v>4</v>
      </c>
      <c r="G13" s="8">
        <v>3</v>
      </c>
      <c r="H13" s="16">
        <f>IF(G13="","",IFERROR(G13/MAX(1,COUNTIF('1_Конкуренты'!$B$4:$B$10,"?*")),""))</f>
        <v>0.42857142857142855</v>
      </c>
      <c r="I13" s="8">
        <v>3.33</v>
      </c>
      <c r="J13" s="8" t="str">
        <f t="shared" si="0"/>
        <v>Потенциальный обязательный разрыв</v>
      </c>
      <c r="K13" s="8" t="s">
        <v>581</v>
      </c>
      <c r="L13" s="8" t="s">
        <v>411</v>
      </c>
      <c r="M13" s="13" t="s">
        <v>411</v>
      </c>
    </row>
    <row r="14" spans="1:13" ht="14.25">
      <c r="A14" s="8" t="s">
        <v>123</v>
      </c>
      <c r="B14" s="8" t="s">
        <v>530</v>
      </c>
      <c r="C14" s="8" t="s">
        <v>582</v>
      </c>
      <c r="D14" s="8" t="s">
        <v>531</v>
      </c>
      <c r="E14" s="8" t="s">
        <v>155</v>
      </c>
      <c r="F14" s="8">
        <v>4</v>
      </c>
      <c r="G14" s="8">
        <v>3</v>
      </c>
      <c r="H14" s="16">
        <f>IF(G14="","",IFERROR(G14/MAX(1,COUNTIF('1_Конкуренты'!$B$4:$B$10,"?*")),""))</f>
        <v>0.42857142857142855</v>
      </c>
      <c r="I14" s="8">
        <v>4.33</v>
      </c>
      <c r="J14" s="8" t="str">
        <f t="shared" si="0"/>
        <v>Зона усиления ценности</v>
      </c>
      <c r="K14" s="8" t="s">
        <v>583</v>
      </c>
      <c r="L14" s="8" t="s">
        <v>411</v>
      </c>
      <c r="M14" s="13" t="s">
        <v>411</v>
      </c>
    </row>
    <row r="15" spans="1:13" ht="14.25">
      <c r="A15" s="8" t="s">
        <v>124</v>
      </c>
      <c r="B15" s="8" t="s">
        <v>548</v>
      </c>
      <c r="C15" s="8" t="s">
        <v>584</v>
      </c>
      <c r="D15" s="8" t="s">
        <v>467</v>
      </c>
      <c r="E15" s="8" t="s">
        <v>155</v>
      </c>
      <c r="F15" s="8">
        <v>3</v>
      </c>
      <c r="G15" s="8">
        <v>3</v>
      </c>
      <c r="H15" s="16">
        <f>IF(G15="","",IFERROR(G15/MAX(1,COUNTIF('1_Конкуренты'!$B$4:$B$10,"?*")),""))</f>
        <v>0.42857142857142855</v>
      </c>
      <c r="I15" s="8">
        <v>4.33</v>
      </c>
      <c r="J15" s="8" t="str">
        <f t="shared" si="0"/>
        <v>Зона усиления ценности</v>
      </c>
      <c r="K15" s="8" t="s">
        <v>585</v>
      </c>
      <c r="L15" s="8" t="s">
        <v>411</v>
      </c>
      <c r="M15" s="13" t="s">
        <v>411</v>
      </c>
    </row>
    <row r="16" spans="1:13" ht="14.25">
      <c r="A16" s="8" t="s">
        <v>125</v>
      </c>
      <c r="B16" s="8" t="s">
        <v>532</v>
      </c>
      <c r="C16" s="8" t="s">
        <v>586</v>
      </c>
      <c r="D16" s="8" t="s">
        <v>533</v>
      </c>
      <c r="E16" s="8" t="s">
        <v>155</v>
      </c>
      <c r="F16" s="8">
        <v>4</v>
      </c>
      <c r="G16" s="8">
        <v>5</v>
      </c>
      <c r="H16" s="16">
        <f>IF(G16="","",IFERROR(G16/MAX(1,COUNTIF('1_Конкуренты'!$B$4:$B$10,"?*")),""))</f>
        <v>0.7142857142857143</v>
      </c>
      <c r="I16" s="8">
        <v>4.2</v>
      </c>
      <c r="J16" s="8" t="str">
        <f t="shared" si="0"/>
        <v>Конкурентная норма с влиянием на выбор</v>
      </c>
      <c r="K16" s="8" t="s">
        <v>587</v>
      </c>
      <c r="L16" s="8" t="s">
        <v>411</v>
      </c>
      <c r="M16" s="13" t="s">
        <v>411</v>
      </c>
    </row>
    <row r="17" spans="1:13" ht="14.25">
      <c r="A17" s="8" t="s">
        <v>126</v>
      </c>
      <c r="B17" s="8" t="s">
        <v>534</v>
      </c>
      <c r="C17" s="8" t="s">
        <v>588</v>
      </c>
      <c r="D17" s="8" t="s">
        <v>535</v>
      </c>
      <c r="E17" s="8" t="s">
        <v>315</v>
      </c>
      <c r="F17" s="8">
        <v>2</v>
      </c>
      <c r="G17" s="8">
        <v>6</v>
      </c>
      <c r="H17" s="16">
        <f>IF(G17="","",IFERROR(G17/MAX(1,COUNTIF('1_Конкуренты'!$B$4:$B$10,"?*")),""))</f>
        <v>0.8571428571428571</v>
      </c>
      <c r="I17" s="8">
        <v>3.5</v>
      </c>
      <c r="J17" s="8" t="str">
        <f t="shared" si="0"/>
        <v>Не делать при дефиците ресурсов</v>
      </c>
      <c r="K17" s="8" t="s">
        <v>589</v>
      </c>
      <c r="L17" s="8" t="s">
        <v>411</v>
      </c>
      <c r="M17" s="13" t="s">
        <v>411</v>
      </c>
    </row>
    <row r="18" spans="1:13" ht="14.25">
      <c r="A18" s="8" t="s">
        <v>127</v>
      </c>
      <c r="B18" s="8" t="s">
        <v>536</v>
      </c>
      <c r="C18" s="8" t="s">
        <v>590</v>
      </c>
      <c r="D18" s="8" t="s">
        <v>537</v>
      </c>
      <c r="E18" s="8" t="s">
        <v>155</v>
      </c>
      <c r="F18" s="8">
        <v>3</v>
      </c>
      <c r="G18" s="8">
        <v>5</v>
      </c>
      <c r="H18" s="16">
        <f>IF(G18="","",IFERROR(G18/MAX(1,COUNTIF('1_Конкуренты'!$B$4:$B$10,"?*")),""))</f>
        <v>0.7142857142857143</v>
      </c>
      <c r="I18" s="8">
        <v>3.6</v>
      </c>
      <c r="J18" s="8" t="str">
        <f t="shared" si="0"/>
        <v>Конкурентная норма с влиянием на выбор</v>
      </c>
      <c r="K18" s="8" t="s">
        <v>591</v>
      </c>
      <c r="L18" s="8" t="s">
        <v>411</v>
      </c>
      <c r="M18" s="13" t="s">
        <v>411</v>
      </c>
    </row>
    <row r="19" spans="1:13" ht="14.25">
      <c r="A19" s="8" t="s">
        <v>128</v>
      </c>
      <c r="B19" s="8" t="s">
        <v>549</v>
      </c>
      <c r="C19" s="8" t="s">
        <v>681</v>
      </c>
      <c r="D19" s="8" t="s">
        <v>550</v>
      </c>
      <c r="E19" s="8" t="s">
        <v>174</v>
      </c>
      <c r="F19" s="8">
        <v>4</v>
      </c>
      <c r="G19" s="8">
        <v>1</v>
      </c>
      <c r="H19" s="16">
        <f>IF(G19="","",IFERROR(G19/MAX(1,COUNTIF('1_Конкуренты'!$B$4:$B$10,"?*")),""))</f>
        <v>0.14285714285714285</v>
      </c>
      <c r="I19" s="8">
        <v>3</v>
      </c>
      <c r="J19" s="8" t="str">
        <f t="shared" si="0"/>
        <v>Зона дифференциации</v>
      </c>
      <c r="K19" s="8" t="s">
        <v>568</v>
      </c>
      <c r="L19" s="8" t="s">
        <v>411</v>
      </c>
      <c r="M19" s="13" t="s">
        <v>411</v>
      </c>
    </row>
    <row r="20" spans="1:13" ht="14.25">
      <c r="A20" s="8" t="s">
        <v>129</v>
      </c>
      <c r="B20" s="8" t="s">
        <v>538</v>
      </c>
      <c r="C20" s="8" t="s">
        <v>592</v>
      </c>
      <c r="D20" s="8" t="s">
        <v>539</v>
      </c>
      <c r="E20" s="8" t="s">
        <v>155</v>
      </c>
      <c r="F20" s="8">
        <v>3</v>
      </c>
      <c r="G20" s="8">
        <v>2</v>
      </c>
      <c r="H20" s="16">
        <f>IF(G20="","",IFERROR(G20/MAX(1,COUNTIF('1_Конкуренты'!$B$4:$B$10,"?*")),""))</f>
        <v>0.2857142857142857</v>
      </c>
      <c r="I20" s="8">
        <v>3.5</v>
      </c>
      <c r="J20" s="8" t="str">
        <f t="shared" si="0"/>
        <v>Зона усиления ценности</v>
      </c>
      <c r="K20" s="8" t="s">
        <v>593</v>
      </c>
      <c r="L20" s="8" t="s">
        <v>411</v>
      </c>
      <c r="M20" s="13" t="s">
        <v>411</v>
      </c>
    </row>
    <row r="21" spans="1:13" ht="14.25">
      <c r="A21" s="8" t="s">
        <v>130</v>
      </c>
      <c r="B21" s="8" t="s">
        <v>540</v>
      </c>
      <c r="C21" s="8" t="s">
        <v>594</v>
      </c>
      <c r="D21" s="8" t="s">
        <v>539</v>
      </c>
      <c r="E21" s="8" t="s">
        <v>174</v>
      </c>
      <c r="F21" s="8">
        <v>3</v>
      </c>
      <c r="G21" s="8">
        <v>2</v>
      </c>
      <c r="H21" s="16">
        <f>IF(G21="","",IFERROR(G21/MAX(1,COUNTIF('1_Конкуренты'!$B$4:$B$10,"?*")),""))</f>
        <v>0.2857142857142857</v>
      </c>
      <c r="I21" s="8">
        <v>3.5</v>
      </c>
      <c r="J21" s="8" t="str">
        <f t="shared" si="0"/>
        <v>Зона дифференциации</v>
      </c>
      <c r="K21" s="8" t="s">
        <v>593</v>
      </c>
      <c r="L21" s="8" t="s">
        <v>411</v>
      </c>
      <c r="M21" s="13" t="s">
        <v>411</v>
      </c>
    </row>
    <row r="22" spans="1:13" ht="14.25">
      <c r="A22" s="8" t="s">
        <v>131</v>
      </c>
      <c r="B22" s="8" t="s">
        <v>541</v>
      </c>
      <c r="C22" s="8" t="s">
        <v>595</v>
      </c>
      <c r="D22" s="8" t="s">
        <v>542</v>
      </c>
      <c r="E22" s="8" t="s">
        <v>155</v>
      </c>
      <c r="F22" s="8">
        <v>4</v>
      </c>
      <c r="G22" s="8">
        <v>2</v>
      </c>
      <c r="H22" s="16">
        <f>IF(G22="","",IFERROR(G22/MAX(1,COUNTIF('1_Конкуренты'!$B$4:$B$10,"?*")),""))</f>
        <v>0.2857142857142857</v>
      </c>
      <c r="I22" s="8">
        <v>3.5</v>
      </c>
      <c r="J22" s="8" t="str">
        <f t="shared" si="0"/>
        <v>Зона усиления ценности</v>
      </c>
      <c r="K22" s="8" t="s">
        <v>596</v>
      </c>
      <c r="L22" s="8" t="s">
        <v>411</v>
      </c>
      <c r="M22" s="13" t="s">
        <v>411</v>
      </c>
    </row>
    <row r="23" spans="1:13" ht="14.25">
      <c r="A23" s="8" t="s">
        <v>132</v>
      </c>
      <c r="B23" s="8" t="s">
        <v>551</v>
      </c>
      <c r="C23" s="8" t="s">
        <v>597</v>
      </c>
      <c r="D23" s="8" t="s">
        <v>552</v>
      </c>
      <c r="E23" s="8" t="s">
        <v>315</v>
      </c>
      <c r="F23" s="8">
        <v>2</v>
      </c>
      <c r="G23" s="8">
        <v>3</v>
      </c>
      <c r="H23" s="16">
        <f>IF(G23="","",IFERROR(G23/MAX(1,COUNTIF('1_Конкуренты'!$B$4:$B$10,"?*")),""))</f>
        <v>0.42857142857142855</v>
      </c>
      <c r="I23" s="8">
        <v>3.33</v>
      </c>
      <c r="J23" s="8" t="str">
        <f t="shared" si="0"/>
        <v>Не делать при дефиците ресурсов</v>
      </c>
      <c r="K23" s="8" t="s">
        <v>598</v>
      </c>
      <c r="L23" s="8" t="s">
        <v>411</v>
      </c>
      <c r="M23" s="13" t="s">
        <v>411</v>
      </c>
    </row>
    <row r="24" spans="1:13" ht="14.25">
      <c r="A24" s="8" t="s">
        <v>133</v>
      </c>
      <c r="B24" s="8" t="s">
        <v>560</v>
      </c>
      <c r="C24" s="8" t="s">
        <v>599</v>
      </c>
      <c r="D24" s="8" t="s">
        <v>561</v>
      </c>
      <c r="E24" s="8" t="s">
        <v>315</v>
      </c>
      <c r="F24" s="8">
        <v>2</v>
      </c>
      <c r="G24" s="8">
        <v>2</v>
      </c>
      <c r="H24" s="16">
        <f>IF(G24="","",IFERROR(G24/MAX(1,COUNTIF('1_Конкуренты'!$B$4:$B$10,"?*")),""))</f>
        <v>0.2857142857142857</v>
      </c>
      <c r="I24" s="8">
        <v>4</v>
      </c>
      <c r="J24" s="8" t="str">
        <f t="shared" si="0"/>
        <v>Не делать при дефиците ресурсов</v>
      </c>
      <c r="K24" s="8" t="s">
        <v>600</v>
      </c>
      <c r="L24" s="8" t="s">
        <v>411</v>
      </c>
      <c r="M24" s="13" t="s">
        <v>411</v>
      </c>
    </row>
    <row r="25" spans="1:13" ht="14.25">
      <c r="A25" s="8" t="s">
        <v>134</v>
      </c>
      <c r="B25" s="8" t="s">
        <v>553</v>
      </c>
      <c r="C25" s="8" t="s">
        <v>601</v>
      </c>
      <c r="D25" s="8" t="s">
        <v>547</v>
      </c>
      <c r="E25" s="8" t="s">
        <v>158</v>
      </c>
      <c r="F25" s="8">
        <v>4</v>
      </c>
      <c r="G25" s="8">
        <v>3</v>
      </c>
      <c r="H25" s="16">
        <f>IF(G25="","",IFERROR(G25/MAX(1,COUNTIF('1_Конкуренты'!$B$4:$B$10,"?*")),""))</f>
        <v>0.42857142857142855</v>
      </c>
      <c r="I25" s="8">
        <v>4.33</v>
      </c>
      <c r="J25" s="8" t="str">
        <f t="shared" si="0"/>
        <v>Потенциальный обязательный разрыв</v>
      </c>
      <c r="K25" s="8" t="s">
        <v>579</v>
      </c>
      <c r="L25" s="8" t="s">
        <v>411</v>
      </c>
      <c r="M25" s="13" t="s">
        <v>411</v>
      </c>
    </row>
    <row r="26" spans="1:13" ht="14.25">
      <c r="A26" s="8" t="s">
        <v>135</v>
      </c>
      <c r="B26" s="8" t="s">
        <v>554</v>
      </c>
      <c r="C26" s="8" t="s">
        <v>602</v>
      </c>
      <c r="D26" s="8" t="s">
        <v>555</v>
      </c>
      <c r="E26" s="8" t="s">
        <v>155</v>
      </c>
      <c r="F26" s="8">
        <v>3</v>
      </c>
      <c r="G26" s="8">
        <v>2</v>
      </c>
      <c r="H26" s="16">
        <f>IF(G26="","",IFERROR(G26/MAX(1,COUNTIF('1_Конкуренты'!$B$4:$B$10,"?*")),""))</f>
        <v>0.2857142857142857</v>
      </c>
      <c r="I26" s="8">
        <v>4</v>
      </c>
      <c r="J26" s="8" t="str">
        <f t="shared" si="0"/>
        <v>Зона усиления ценности</v>
      </c>
      <c r="K26" s="8" t="s">
        <v>603</v>
      </c>
      <c r="L26" s="8" t="s">
        <v>411</v>
      </c>
      <c r="M26" s="13" t="s">
        <v>411</v>
      </c>
    </row>
    <row r="27" spans="1:13" ht="14.25">
      <c r="A27" s="8" t="s">
        <v>136</v>
      </c>
      <c r="B27" s="8" t="s">
        <v>556</v>
      </c>
      <c r="C27" s="8" t="s">
        <v>604</v>
      </c>
      <c r="D27" s="8" t="s">
        <v>557</v>
      </c>
      <c r="E27" s="8" t="s">
        <v>155</v>
      </c>
      <c r="F27" s="8">
        <v>4</v>
      </c>
      <c r="G27" s="8">
        <v>2</v>
      </c>
      <c r="H27" s="16">
        <f>IF(G27="","",IFERROR(G27/MAX(1,COUNTIF('1_Конкуренты'!$B$4:$B$10,"?*")),""))</f>
        <v>0.2857142857142857</v>
      </c>
      <c r="I27" s="8">
        <v>4</v>
      </c>
      <c r="J27" s="8" t="str">
        <f t="shared" si="0"/>
        <v>Зона усиления ценности</v>
      </c>
      <c r="K27" s="8" t="s">
        <v>593</v>
      </c>
      <c r="L27" s="8" t="s">
        <v>411</v>
      </c>
      <c r="M27" s="13" t="s">
        <v>411</v>
      </c>
    </row>
    <row r="28" spans="1:13" ht="14.25">
      <c r="A28" s="9" t="s">
        <v>137</v>
      </c>
      <c r="B28" s="9" t="s">
        <v>562</v>
      </c>
      <c r="C28" s="9" t="s">
        <v>605</v>
      </c>
      <c r="D28" s="9" t="s">
        <v>521</v>
      </c>
      <c r="E28" s="9" t="s">
        <v>315</v>
      </c>
      <c r="F28" s="9">
        <v>2</v>
      </c>
      <c r="G28" s="9">
        <v>1</v>
      </c>
      <c r="H28" s="17">
        <f>IF(G28="","",IFERROR(G28/MAX(1,COUNTIF('1_Конкуренты'!$B$4:$B$10,"?*")),""))</f>
        <v>0.14285714285714285</v>
      </c>
      <c r="I28" s="9">
        <v>5</v>
      </c>
      <c r="J28" s="9" t="str">
        <f t="shared" si="0"/>
        <v>Не делать при дефиците ресурсов</v>
      </c>
      <c r="K28" s="9" t="s">
        <v>600</v>
      </c>
      <c r="L28" s="9" t="s">
        <v>411</v>
      </c>
      <c r="M28" s="10" t="s">
        <v>411</v>
      </c>
    </row>
  </sheetData>
  <mergeCells count="2">
    <mergeCell ref="A1:M1"/>
    <mergeCell ref="A2:M2"/>
  </mergeCells>
  <conditionalFormatting sqref="H4:H28">
    <cfRule type="dataBar" priority="4">
      <dataBar>
        <cfvo type="min"/>
        <cfvo type="max"/>
        <color rgb="FF5B9BD5"/>
      </dataBar>
    </cfRule>
  </conditionalFormatting>
  <conditionalFormatting sqref="H4:H28">
    <cfRule type="dataBar" priority="5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4:E28" xr:uid="{00000000-0002-0000-0400-000000000000}">
      <formula1>"Обязательное,Линейное,Привлекательное,Безразличное,Обратное,Неясное"</formula1>
    </dataValidation>
    <dataValidation type="list" sqref="F4:F28" xr:uid="{00000000-0002-0000-0400-000001000000}">
      <formula1>"1,2,3,4,5"</formula1>
    </dataValidation>
    <dataValidation type="list" sqref="I4:I28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H4:H28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zoomScale="72" workbookViewId="0">
      <selection sqref="A1:L1"/>
    </sheetView>
  </sheetViews>
  <sheetFormatPr defaultRowHeight="13.5"/>
  <cols>
    <col min="1" max="1" width="36.125" style="25" customWidth="1"/>
    <col min="2" max="2" width="61.375" style="25" customWidth="1"/>
    <col min="3" max="3" width="52.5625" style="25" customWidth="1"/>
    <col min="4" max="4" width="41.375" style="25" customWidth="1"/>
    <col min="5" max="5" width="26.6875" style="25" customWidth="1"/>
    <col min="6" max="6" width="30.875" style="25" customWidth="1"/>
    <col min="7" max="7" width="28.75" style="25" customWidth="1"/>
    <col min="8" max="9" width="26.6875" style="25" customWidth="1"/>
    <col min="10" max="10" width="19.3125" style="25" customWidth="1"/>
    <col min="11" max="11" width="10.9375" style="25" customWidth="1"/>
    <col min="12" max="12" width="15.125" style="25" customWidth="1"/>
    <col min="13" max="16384" width="9" style="25"/>
  </cols>
  <sheetData>
    <row r="1" spans="1:12" ht="20" customHeight="1">
      <c r="A1" s="27" t="s">
        <v>690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8"/>
    </row>
    <row r="2" spans="1:12" ht="20" customHeight="1">
      <c r="A2" s="29" t="s">
        <v>689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36"/>
    </row>
    <row r="3" spans="1:12" ht="14.25">
      <c r="A3" s="2" t="s">
        <v>138</v>
      </c>
      <c r="B3" s="2" t="s">
        <v>139</v>
      </c>
      <c r="C3" s="2" t="s">
        <v>140</v>
      </c>
      <c r="D3" s="2" t="s">
        <v>141</v>
      </c>
      <c r="E3" s="2" t="s">
        <v>142</v>
      </c>
      <c r="F3" s="2" t="s">
        <v>143</v>
      </c>
      <c r="G3" s="2" t="s">
        <v>144</v>
      </c>
      <c r="H3" s="2" t="s">
        <v>145</v>
      </c>
      <c r="I3" s="2" t="s">
        <v>146</v>
      </c>
      <c r="J3" s="2" t="s">
        <v>147</v>
      </c>
      <c r="K3" s="2" t="s">
        <v>148</v>
      </c>
      <c r="L3" s="6" t="s">
        <v>70</v>
      </c>
    </row>
    <row r="4" spans="1:12" ht="14.25">
      <c r="A4" s="8" t="s">
        <v>149</v>
      </c>
      <c r="B4" s="8" t="s">
        <v>150</v>
      </c>
      <c r="C4" s="8" t="s">
        <v>627</v>
      </c>
      <c r="D4" s="8" t="s">
        <v>628</v>
      </c>
      <c r="E4" s="8" t="s">
        <v>151</v>
      </c>
      <c r="F4" s="8" t="s">
        <v>152</v>
      </c>
      <c r="G4" s="8" t="s">
        <v>411</v>
      </c>
      <c r="H4" s="8" t="s">
        <v>411</v>
      </c>
      <c r="I4" s="8" t="s">
        <v>411</v>
      </c>
      <c r="J4" s="8" t="s">
        <v>411</v>
      </c>
      <c r="K4" s="8" t="s">
        <v>411</v>
      </c>
      <c r="L4" s="13" t="s">
        <v>411</v>
      </c>
    </row>
    <row r="5" spans="1:12" ht="14.25">
      <c r="A5" s="8" t="s">
        <v>153</v>
      </c>
      <c r="B5" s="8" t="s">
        <v>154</v>
      </c>
      <c r="C5" s="8" t="s">
        <v>629</v>
      </c>
      <c r="D5" s="8" t="s">
        <v>630</v>
      </c>
      <c r="E5" s="8" t="s">
        <v>151</v>
      </c>
      <c r="F5" s="8" t="s">
        <v>155</v>
      </c>
      <c r="G5" s="8" t="s">
        <v>411</v>
      </c>
      <c r="H5" s="8" t="s">
        <v>411</v>
      </c>
      <c r="I5" s="8" t="s">
        <v>411</v>
      </c>
      <c r="J5" s="8" t="s">
        <v>411</v>
      </c>
      <c r="K5" s="8" t="s">
        <v>411</v>
      </c>
      <c r="L5" s="13" t="s">
        <v>411</v>
      </c>
    </row>
    <row r="6" spans="1:12" ht="28.5">
      <c r="A6" s="8" t="s">
        <v>156</v>
      </c>
      <c r="B6" s="8" t="s">
        <v>668</v>
      </c>
      <c r="C6" s="8" t="s">
        <v>631</v>
      </c>
      <c r="D6" s="8" t="s">
        <v>632</v>
      </c>
      <c r="E6" s="8" t="s">
        <v>157</v>
      </c>
      <c r="F6" s="8" t="s">
        <v>158</v>
      </c>
      <c r="G6" s="8" t="s">
        <v>411</v>
      </c>
      <c r="H6" s="8" t="s">
        <v>411</v>
      </c>
      <c r="I6" s="8" t="s">
        <v>411</v>
      </c>
      <c r="J6" s="8" t="s">
        <v>411</v>
      </c>
      <c r="K6" s="8" t="s">
        <v>411</v>
      </c>
      <c r="L6" s="13" t="s">
        <v>411</v>
      </c>
    </row>
    <row r="7" spans="1:12" ht="14.25">
      <c r="A7" s="8" t="s">
        <v>159</v>
      </c>
      <c r="B7" s="8" t="s">
        <v>160</v>
      </c>
      <c r="C7" s="8" t="s">
        <v>633</v>
      </c>
      <c r="D7" s="8" t="s">
        <v>634</v>
      </c>
      <c r="E7" s="8" t="s">
        <v>161</v>
      </c>
      <c r="F7" s="8" t="s">
        <v>158</v>
      </c>
      <c r="G7" s="8" t="s">
        <v>411</v>
      </c>
      <c r="H7" s="8" t="s">
        <v>411</v>
      </c>
      <c r="I7" s="8" t="s">
        <v>411</v>
      </c>
      <c r="J7" s="8" t="s">
        <v>411</v>
      </c>
      <c r="K7" s="8" t="s">
        <v>411</v>
      </c>
      <c r="L7" s="13" t="s">
        <v>411</v>
      </c>
    </row>
    <row r="8" spans="1:12" ht="28.5">
      <c r="A8" s="8" t="s">
        <v>162</v>
      </c>
      <c r="B8" s="8" t="s">
        <v>669</v>
      </c>
      <c r="C8" s="8" t="s">
        <v>635</v>
      </c>
      <c r="D8" s="8" t="s">
        <v>632</v>
      </c>
      <c r="E8" s="8" t="s">
        <v>161</v>
      </c>
      <c r="F8" s="8" t="s">
        <v>152</v>
      </c>
      <c r="G8" s="8" t="s">
        <v>411</v>
      </c>
      <c r="H8" s="8" t="s">
        <v>411</v>
      </c>
      <c r="I8" s="8" t="s">
        <v>411</v>
      </c>
      <c r="J8" s="8" t="s">
        <v>411</v>
      </c>
      <c r="K8" s="8" t="s">
        <v>411</v>
      </c>
      <c r="L8" s="13" t="s">
        <v>411</v>
      </c>
    </row>
    <row r="9" spans="1:12" ht="14.25">
      <c r="A9" s="8" t="s">
        <v>163</v>
      </c>
      <c r="B9" s="8" t="s">
        <v>164</v>
      </c>
      <c r="C9" s="8" t="s">
        <v>636</v>
      </c>
      <c r="D9" s="8" t="s">
        <v>637</v>
      </c>
      <c r="E9" s="8" t="s">
        <v>161</v>
      </c>
      <c r="F9" s="8" t="s">
        <v>158</v>
      </c>
      <c r="G9" s="8" t="s">
        <v>411</v>
      </c>
      <c r="H9" s="8" t="s">
        <v>411</v>
      </c>
      <c r="I9" s="8" t="s">
        <v>411</v>
      </c>
      <c r="J9" s="8" t="s">
        <v>411</v>
      </c>
      <c r="K9" s="8" t="s">
        <v>411</v>
      </c>
      <c r="L9" s="13" t="s">
        <v>411</v>
      </c>
    </row>
    <row r="10" spans="1:12" ht="14.25">
      <c r="A10" s="8" t="s">
        <v>165</v>
      </c>
      <c r="B10" s="8" t="s">
        <v>166</v>
      </c>
      <c r="C10" s="8" t="s">
        <v>638</v>
      </c>
      <c r="D10" s="8" t="s">
        <v>126</v>
      </c>
      <c r="E10" s="8" t="s">
        <v>161</v>
      </c>
      <c r="F10" s="8" t="s">
        <v>155</v>
      </c>
      <c r="G10" s="8" t="s">
        <v>411</v>
      </c>
      <c r="H10" s="8" t="s">
        <v>411</v>
      </c>
      <c r="I10" s="8" t="s">
        <v>411</v>
      </c>
      <c r="J10" s="8" t="s">
        <v>411</v>
      </c>
      <c r="K10" s="8" t="s">
        <v>411</v>
      </c>
      <c r="L10" s="13" t="s">
        <v>411</v>
      </c>
    </row>
    <row r="11" spans="1:12" ht="28.5">
      <c r="A11" s="8" t="s">
        <v>167</v>
      </c>
      <c r="B11" s="8" t="s">
        <v>670</v>
      </c>
      <c r="C11" s="8" t="s">
        <v>639</v>
      </c>
      <c r="D11" s="8" t="s">
        <v>640</v>
      </c>
      <c r="E11" s="8" t="s">
        <v>168</v>
      </c>
      <c r="F11" s="8" t="s">
        <v>169</v>
      </c>
      <c r="G11" s="8" t="s">
        <v>411</v>
      </c>
      <c r="H11" s="8" t="s">
        <v>411</v>
      </c>
      <c r="I11" s="8" t="s">
        <v>411</v>
      </c>
      <c r="J11" s="8" t="s">
        <v>411</v>
      </c>
      <c r="K11" s="8" t="s">
        <v>411</v>
      </c>
      <c r="L11" s="13" t="s">
        <v>411</v>
      </c>
    </row>
    <row r="12" spans="1:12" ht="28.5">
      <c r="A12" s="8" t="s">
        <v>170</v>
      </c>
      <c r="B12" s="8" t="s">
        <v>671</v>
      </c>
      <c r="C12" s="8" t="s">
        <v>641</v>
      </c>
      <c r="D12" s="8" t="s">
        <v>642</v>
      </c>
      <c r="E12" s="8" t="s">
        <v>168</v>
      </c>
      <c r="F12" s="8" t="s">
        <v>155</v>
      </c>
      <c r="G12" s="8" t="s">
        <v>411</v>
      </c>
      <c r="H12" s="8" t="s">
        <v>411</v>
      </c>
      <c r="I12" s="8" t="s">
        <v>411</v>
      </c>
      <c r="J12" s="8" t="s">
        <v>411</v>
      </c>
      <c r="K12" s="8" t="s">
        <v>411</v>
      </c>
      <c r="L12" s="13" t="s">
        <v>411</v>
      </c>
    </row>
    <row r="13" spans="1:12" ht="28.5">
      <c r="A13" s="8" t="s">
        <v>171</v>
      </c>
      <c r="B13" s="8" t="s">
        <v>172</v>
      </c>
      <c r="C13" s="8" t="s">
        <v>643</v>
      </c>
      <c r="D13" s="8" t="s">
        <v>644</v>
      </c>
      <c r="E13" s="8" t="s">
        <v>173</v>
      </c>
      <c r="F13" s="8" t="s">
        <v>174</v>
      </c>
      <c r="G13" s="8" t="s">
        <v>411</v>
      </c>
      <c r="H13" s="8" t="s">
        <v>411</v>
      </c>
      <c r="I13" s="8" t="s">
        <v>411</v>
      </c>
      <c r="J13" s="8" t="s">
        <v>411</v>
      </c>
      <c r="K13" s="8" t="s">
        <v>411</v>
      </c>
      <c r="L13" s="13" t="s">
        <v>411</v>
      </c>
    </row>
    <row r="14" spans="1:12" ht="28.5">
      <c r="A14" s="8" t="s">
        <v>175</v>
      </c>
      <c r="B14" s="8" t="s">
        <v>176</v>
      </c>
      <c r="C14" s="8" t="s">
        <v>645</v>
      </c>
      <c r="D14" s="8" t="s">
        <v>646</v>
      </c>
      <c r="E14" s="8" t="s">
        <v>177</v>
      </c>
      <c r="F14" s="8" t="s">
        <v>178</v>
      </c>
      <c r="G14" s="8" t="s">
        <v>411</v>
      </c>
      <c r="H14" s="8" t="s">
        <v>411</v>
      </c>
      <c r="I14" s="8" t="s">
        <v>411</v>
      </c>
      <c r="J14" s="8" t="s">
        <v>411</v>
      </c>
      <c r="K14" s="8" t="s">
        <v>411</v>
      </c>
      <c r="L14" s="13" t="s">
        <v>411</v>
      </c>
    </row>
    <row r="15" spans="1:12" ht="57">
      <c r="A15" s="9" t="s">
        <v>179</v>
      </c>
      <c r="B15" s="9" t="s">
        <v>672</v>
      </c>
      <c r="C15" s="9" t="s">
        <v>647</v>
      </c>
      <c r="D15" s="9" t="s">
        <v>648</v>
      </c>
      <c r="E15" s="9" t="s">
        <v>180</v>
      </c>
      <c r="F15" s="9" t="s">
        <v>180</v>
      </c>
      <c r="G15" s="9" t="s">
        <v>411</v>
      </c>
      <c r="H15" s="9" t="s">
        <v>411</v>
      </c>
      <c r="I15" s="9" t="s">
        <v>411</v>
      </c>
      <c r="J15" s="9" t="s">
        <v>411</v>
      </c>
      <c r="K15" s="9" t="s">
        <v>411</v>
      </c>
      <c r="L15" s="10" t="s">
        <v>411</v>
      </c>
    </row>
  </sheetData>
  <mergeCells count="2">
    <mergeCell ref="A1:L1"/>
    <mergeCell ref="A2:L2"/>
  </mergeCells>
  <dataValidations count="2">
    <dataValidation type="list" sqref="G4:G15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4:K15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topLeftCell="A13" zoomScale="69" workbookViewId="0">
      <selection activeCell="C34" sqref="C34"/>
    </sheetView>
  </sheetViews>
  <sheetFormatPr defaultRowHeight="13.5"/>
  <cols>
    <col min="1" max="1" width="28.75" style="25" customWidth="1"/>
    <col min="2" max="2" width="21.4375" style="25" customWidth="1"/>
    <col min="3" max="3" width="64.8125" style="25" customWidth="1"/>
    <col min="4" max="4" width="10.5625" style="25" customWidth="1"/>
    <col min="5" max="12" width="19.3125" style="25" customWidth="1"/>
    <col min="13" max="14" width="15.125" style="25" customWidth="1"/>
    <col min="15" max="15" width="10.5625" style="25" customWidth="1"/>
    <col min="16" max="16384" width="9" style="25"/>
  </cols>
  <sheetData>
    <row r="1" spans="1:15" ht="20" customHeight="1">
      <c r="A1" s="27" t="s">
        <v>691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8"/>
    </row>
    <row r="2" spans="1:15" ht="20" customHeight="1">
      <c r="A2" s="29" t="s">
        <v>692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36"/>
    </row>
    <row r="3" spans="1:15" ht="14.25">
      <c r="A3" s="2" t="s">
        <v>181</v>
      </c>
      <c r="B3" s="2" t="s">
        <v>182</v>
      </c>
      <c r="C3" s="2" t="s">
        <v>183</v>
      </c>
      <c r="D3" s="2" t="s">
        <v>184</v>
      </c>
      <c r="E3" s="2" t="s">
        <v>71</v>
      </c>
      <c r="F3" s="2" t="s">
        <v>72</v>
      </c>
      <c r="G3" s="2" t="s">
        <v>73</v>
      </c>
      <c r="H3" s="2" t="s">
        <v>74</v>
      </c>
      <c r="I3" s="2" t="s">
        <v>75</v>
      </c>
      <c r="J3" s="2" t="s">
        <v>76</v>
      </c>
      <c r="K3" s="2" t="s">
        <v>77</v>
      </c>
      <c r="L3" s="2" t="s">
        <v>78</v>
      </c>
      <c r="M3" s="2" t="s">
        <v>185</v>
      </c>
      <c r="N3" s="2" t="s">
        <v>186</v>
      </c>
      <c r="O3" s="6" t="s">
        <v>187</v>
      </c>
    </row>
    <row r="4" spans="1:15" ht="14.25">
      <c r="A4" s="8" t="s">
        <v>188</v>
      </c>
      <c r="B4" s="8" t="s">
        <v>189</v>
      </c>
      <c r="C4" s="8" t="s">
        <v>190</v>
      </c>
      <c r="D4" s="8">
        <v>5</v>
      </c>
      <c r="E4" s="8">
        <v>5</v>
      </c>
      <c r="F4" s="8">
        <v>4</v>
      </c>
      <c r="G4" s="8">
        <v>3</v>
      </c>
      <c r="H4" s="8">
        <v>5</v>
      </c>
      <c r="I4" s="8">
        <v>5</v>
      </c>
      <c r="J4" s="8">
        <v>4</v>
      </c>
      <c r="K4" s="8">
        <v>4</v>
      </c>
      <c r="L4" s="8" t="s">
        <v>411</v>
      </c>
      <c r="M4" s="8">
        <f t="shared" ref="M4:M28" si="0">IFERROR(AVERAGE(E4:L4),"")</f>
        <v>4.2857142857142856</v>
      </c>
      <c r="N4" s="8">
        <f t="shared" ref="N4:N28" si="1">IFERROR(MAX(E4:L4),"")</f>
        <v>5</v>
      </c>
      <c r="O4" s="13" t="str">
        <f t="shared" ref="O4:O28" si="2">IFERROR(IF(N4="","",INDEX($E$3:$L$3,1,MATCH(N4,E4:L4,0))),"")</f>
        <v>C01</v>
      </c>
    </row>
    <row r="5" spans="1:15" ht="14.25">
      <c r="A5" s="8" t="s">
        <v>191</v>
      </c>
      <c r="B5" s="8" t="s">
        <v>189</v>
      </c>
      <c r="C5" s="8" t="s">
        <v>192</v>
      </c>
      <c r="D5" s="8">
        <v>5</v>
      </c>
      <c r="E5" s="8">
        <v>4</v>
      </c>
      <c r="F5" s="8">
        <v>3</v>
      </c>
      <c r="G5" s="8">
        <v>3</v>
      </c>
      <c r="H5" s="8">
        <v>5</v>
      </c>
      <c r="I5" s="8">
        <v>3</v>
      </c>
      <c r="J5" s="8">
        <v>4</v>
      </c>
      <c r="K5" s="8">
        <v>5</v>
      </c>
      <c r="L5" s="8" t="s">
        <v>411</v>
      </c>
      <c r="M5" s="8">
        <f t="shared" si="0"/>
        <v>3.8571428571428572</v>
      </c>
      <c r="N5" s="8">
        <f t="shared" si="1"/>
        <v>5</v>
      </c>
      <c r="O5" s="13" t="str">
        <f t="shared" si="2"/>
        <v>C04</v>
      </c>
    </row>
    <row r="6" spans="1:15" ht="28.5">
      <c r="A6" s="8" t="s">
        <v>193</v>
      </c>
      <c r="B6" s="8" t="s">
        <v>189</v>
      </c>
      <c r="C6" s="8" t="s">
        <v>194</v>
      </c>
      <c r="D6" s="8">
        <v>4</v>
      </c>
      <c r="E6" s="8">
        <v>4</v>
      </c>
      <c r="F6" s="8">
        <v>5</v>
      </c>
      <c r="G6" s="8">
        <v>2</v>
      </c>
      <c r="H6" s="8">
        <v>4</v>
      </c>
      <c r="I6" s="8">
        <v>5</v>
      </c>
      <c r="J6" s="8">
        <v>3</v>
      </c>
      <c r="K6" s="8">
        <v>4</v>
      </c>
      <c r="L6" s="8" t="s">
        <v>411</v>
      </c>
      <c r="M6" s="8">
        <f t="shared" si="0"/>
        <v>3.8571428571428572</v>
      </c>
      <c r="N6" s="8">
        <f t="shared" si="1"/>
        <v>5</v>
      </c>
      <c r="O6" s="13" t="str">
        <f t="shared" si="2"/>
        <v>C02</v>
      </c>
    </row>
    <row r="7" spans="1:15" ht="14.25">
      <c r="A7" s="8" t="s">
        <v>195</v>
      </c>
      <c r="B7" s="8" t="s">
        <v>196</v>
      </c>
      <c r="C7" s="8" t="s">
        <v>197</v>
      </c>
      <c r="D7" s="8">
        <v>5</v>
      </c>
      <c r="E7" s="8">
        <v>4</v>
      </c>
      <c r="F7" s="8">
        <v>3</v>
      </c>
      <c r="G7" s="8">
        <v>2</v>
      </c>
      <c r="H7" s="8">
        <v>5</v>
      </c>
      <c r="I7" s="8">
        <v>4</v>
      </c>
      <c r="J7" s="8">
        <v>4</v>
      </c>
      <c r="K7" s="8">
        <v>5</v>
      </c>
      <c r="L7" s="8" t="s">
        <v>411</v>
      </c>
      <c r="M7" s="8">
        <f t="shared" si="0"/>
        <v>3.8571428571428572</v>
      </c>
      <c r="N7" s="8">
        <f t="shared" si="1"/>
        <v>5</v>
      </c>
      <c r="O7" s="13" t="str">
        <f t="shared" si="2"/>
        <v>C04</v>
      </c>
    </row>
    <row r="8" spans="1:15" ht="14.25">
      <c r="A8" s="8" t="s">
        <v>198</v>
      </c>
      <c r="B8" s="8" t="s">
        <v>196</v>
      </c>
      <c r="C8" s="8" t="s">
        <v>199</v>
      </c>
      <c r="D8" s="8">
        <v>4</v>
      </c>
      <c r="E8" s="8">
        <v>3</v>
      </c>
      <c r="F8" s="8">
        <v>3</v>
      </c>
      <c r="G8" s="8">
        <v>2</v>
      </c>
      <c r="H8" s="8">
        <v>4</v>
      </c>
      <c r="I8" s="8">
        <v>3</v>
      </c>
      <c r="J8" s="8">
        <v>3</v>
      </c>
      <c r="K8" s="8">
        <v>4</v>
      </c>
      <c r="L8" s="8" t="s">
        <v>411</v>
      </c>
      <c r="M8" s="8">
        <f t="shared" si="0"/>
        <v>3.1428571428571428</v>
      </c>
      <c r="N8" s="8">
        <f t="shared" si="1"/>
        <v>4</v>
      </c>
      <c r="O8" s="13" t="str">
        <f t="shared" si="2"/>
        <v>C04</v>
      </c>
    </row>
    <row r="9" spans="1:15" ht="28.5">
      <c r="A9" s="8" t="s">
        <v>200</v>
      </c>
      <c r="B9" s="8" t="s">
        <v>196</v>
      </c>
      <c r="C9" s="8" t="s">
        <v>201</v>
      </c>
      <c r="D9" s="8">
        <v>4</v>
      </c>
      <c r="E9" s="8">
        <v>4</v>
      </c>
      <c r="F9" s="8">
        <v>2</v>
      </c>
      <c r="G9" s="8">
        <v>1</v>
      </c>
      <c r="H9" s="8">
        <v>4</v>
      </c>
      <c r="I9" s="8">
        <v>4</v>
      </c>
      <c r="J9" s="8">
        <v>3</v>
      </c>
      <c r="K9" s="8">
        <v>3</v>
      </c>
      <c r="L9" s="8" t="s">
        <v>411</v>
      </c>
      <c r="M9" s="8">
        <f t="shared" si="0"/>
        <v>3</v>
      </c>
      <c r="N9" s="8">
        <f t="shared" si="1"/>
        <v>4</v>
      </c>
      <c r="O9" s="13" t="str">
        <f t="shared" si="2"/>
        <v>C01</v>
      </c>
    </row>
    <row r="10" spans="1:15" ht="28.5">
      <c r="A10" s="8" t="s">
        <v>202</v>
      </c>
      <c r="B10" s="8" t="s">
        <v>203</v>
      </c>
      <c r="C10" s="8" t="s">
        <v>673</v>
      </c>
      <c r="D10" s="8">
        <v>5</v>
      </c>
      <c r="E10" s="8">
        <v>3</v>
      </c>
      <c r="F10" s="8">
        <v>2</v>
      </c>
      <c r="G10" s="8">
        <v>2</v>
      </c>
      <c r="H10" s="8">
        <v>4</v>
      </c>
      <c r="I10" s="8">
        <v>2</v>
      </c>
      <c r="J10" s="8">
        <v>4</v>
      </c>
      <c r="K10" s="8">
        <v>5</v>
      </c>
      <c r="L10" s="8" t="s">
        <v>411</v>
      </c>
      <c r="M10" s="8">
        <f t="shared" si="0"/>
        <v>3.1428571428571428</v>
      </c>
      <c r="N10" s="8">
        <f t="shared" si="1"/>
        <v>5</v>
      </c>
      <c r="O10" s="13" t="str">
        <f t="shared" si="2"/>
        <v>C07</v>
      </c>
    </row>
    <row r="11" spans="1:15" ht="28.5">
      <c r="A11" s="8" t="s">
        <v>204</v>
      </c>
      <c r="B11" s="8" t="s">
        <v>203</v>
      </c>
      <c r="C11" s="8" t="s">
        <v>205</v>
      </c>
      <c r="D11" s="8">
        <v>5</v>
      </c>
      <c r="E11" s="8">
        <v>4</v>
      </c>
      <c r="F11" s="8">
        <v>4</v>
      </c>
      <c r="G11" s="8">
        <v>2</v>
      </c>
      <c r="H11" s="8">
        <v>4</v>
      </c>
      <c r="I11" s="8">
        <v>3</v>
      </c>
      <c r="J11" s="8">
        <v>4</v>
      </c>
      <c r="K11" s="8">
        <v>4</v>
      </c>
      <c r="L11" s="8" t="s">
        <v>411</v>
      </c>
      <c r="M11" s="8">
        <f t="shared" si="0"/>
        <v>3.5714285714285716</v>
      </c>
      <c r="N11" s="8">
        <f t="shared" si="1"/>
        <v>4</v>
      </c>
      <c r="O11" s="13" t="str">
        <f t="shared" si="2"/>
        <v>C01</v>
      </c>
    </row>
    <row r="12" spans="1:15" ht="14.25">
      <c r="A12" s="8" t="s">
        <v>206</v>
      </c>
      <c r="B12" s="8" t="s">
        <v>203</v>
      </c>
      <c r="C12" s="8" t="s">
        <v>207</v>
      </c>
      <c r="D12" s="8">
        <v>4</v>
      </c>
      <c r="E12" s="8">
        <v>3</v>
      </c>
      <c r="F12" s="8">
        <v>1</v>
      </c>
      <c r="G12" s="8">
        <v>1</v>
      </c>
      <c r="H12" s="8">
        <v>4</v>
      </c>
      <c r="I12" s="8">
        <v>4</v>
      </c>
      <c r="J12" s="8">
        <v>1</v>
      </c>
      <c r="K12" s="8">
        <v>1</v>
      </c>
      <c r="L12" s="8" t="s">
        <v>411</v>
      </c>
      <c r="M12" s="8">
        <f t="shared" si="0"/>
        <v>2.1428571428571428</v>
      </c>
      <c r="N12" s="8">
        <f t="shared" si="1"/>
        <v>4</v>
      </c>
      <c r="O12" s="13" t="str">
        <f t="shared" si="2"/>
        <v>C04</v>
      </c>
    </row>
    <row r="13" spans="1:15" ht="14.25">
      <c r="A13" s="8" t="s">
        <v>208</v>
      </c>
      <c r="B13" s="8" t="s">
        <v>209</v>
      </c>
      <c r="C13" s="8" t="s">
        <v>210</v>
      </c>
      <c r="D13" s="8">
        <v>4</v>
      </c>
      <c r="E13" s="8">
        <v>4</v>
      </c>
      <c r="F13" s="8">
        <v>1</v>
      </c>
      <c r="G13" s="8">
        <v>3</v>
      </c>
      <c r="H13" s="8">
        <v>4</v>
      </c>
      <c r="I13" s="8">
        <v>2</v>
      </c>
      <c r="J13" s="8">
        <v>5</v>
      </c>
      <c r="K13" s="8">
        <v>5</v>
      </c>
      <c r="L13" s="8" t="s">
        <v>411</v>
      </c>
      <c r="M13" s="8">
        <f t="shared" si="0"/>
        <v>3.4285714285714284</v>
      </c>
      <c r="N13" s="8">
        <f t="shared" si="1"/>
        <v>5</v>
      </c>
      <c r="O13" s="13" t="str">
        <f t="shared" si="2"/>
        <v>C06</v>
      </c>
    </row>
    <row r="14" spans="1:15" ht="14.25">
      <c r="A14" s="8" t="s">
        <v>211</v>
      </c>
      <c r="B14" s="8" t="s">
        <v>209</v>
      </c>
      <c r="C14" s="8" t="s">
        <v>212</v>
      </c>
      <c r="D14" s="8">
        <v>4</v>
      </c>
      <c r="E14" s="8">
        <v>1</v>
      </c>
      <c r="F14" s="8">
        <v>1</v>
      </c>
      <c r="G14" s="8">
        <v>1</v>
      </c>
      <c r="H14" s="8">
        <v>5</v>
      </c>
      <c r="I14" s="8">
        <v>1</v>
      </c>
      <c r="J14" s="8">
        <v>5</v>
      </c>
      <c r="K14" s="8">
        <v>5</v>
      </c>
      <c r="L14" s="8" t="s">
        <v>411</v>
      </c>
      <c r="M14" s="8">
        <f t="shared" si="0"/>
        <v>2.7142857142857144</v>
      </c>
      <c r="N14" s="8">
        <f t="shared" si="1"/>
        <v>5</v>
      </c>
      <c r="O14" s="13" t="str">
        <f t="shared" si="2"/>
        <v>C04</v>
      </c>
    </row>
    <row r="15" spans="1:15" ht="14.25">
      <c r="A15" s="8" t="s">
        <v>213</v>
      </c>
      <c r="B15" s="8" t="s">
        <v>209</v>
      </c>
      <c r="C15" s="8" t="s">
        <v>214</v>
      </c>
      <c r="D15" s="8">
        <v>3</v>
      </c>
      <c r="E15" s="8">
        <v>4</v>
      </c>
      <c r="F15" s="8">
        <v>3</v>
      </c>
      <c r="G15" s="8">
        <v>4</v>
      </c>
      <c r="H15" s="8">
        <v>3</v>
      </c>
      <c r="I15" s="8">
        <v>3</v>
      </c>
      <c r="J15" s="8">
        <v>4</v>
      </c>
      <c r="K15" s="8">
        <v>4</v>
      </c>
      <c r="L15" s="8" t="s">
        <v>411</v>
      </c>
      <c r="M15" s="8">
        <f t="shared" si="0"/>
        <v>3.5714285714285716</v>
      </c>
      <c r="N15" s="8">
        <f t="shared" si="1"/>
        <v>4</v>
      </c>
      <c r="O15" s="13" t="str">
        <f t="shared" si="2"/>
        <v>C01</v>
      </c>
    </row>
    <row r="16" spans="1:15" ht="14.25">
      <c r="A16" s="8" t="s">
        <v>215</v>
      </c>
      <c r="B16" s="8" t="s">
        <v>216</v>
      </c>
      <c r="C16" s="8" t="s">
        <v>217</v>
      </c>
      <c r="D16" s="8">
        <v>5</v>
      </c>
      <c r="E16" s="8">
        <v>3</v>
      </c>
      <c r="F16" s="8">
        <v>2</v>
      </c>
      <c r="G16" s="8">
        <v>2</v>
      </c>
      <c r="H16" s="8">
        <v>4</v>
      </c>
      <c r="I16" s="8">
        <v>4</v>
      </c>
      <c r="J16" s="8">
        <v>3</v>
      </c>
      <c r="K16" s="8">
        <v>3</v>
      </c>
      <c r="L16" s="8" t="s">
        <v>411</v>
      </c>
      <c r="M16" s="8">
        <f t="shared" si="0"/>
        <v>3</v>
      </c>
      <c r="N16" s="8">
        <f t="shared" si="1"/>
        <v>4</v>
      </c>
      <c r="O16" s="13" t="str">
        <f t="shared" si="2"/>
        <v>C04</v>
      </c>
    </row>
    <row r="17" spans="1:15" ht="28.5">
      <c r="A17" s="8" t="s">
        <v>218</v>
      </c>
      <c r="B17" s="8" t="s">
        <v>216</v>
      </c>
      <c r="C17" s="8" t="s">
        <v>674</v>
      </c>
      <c r="D17" s="8">
        <v>4</v>
      </c>
      <c r="E17" s="8">
        <v>4</v>
      </c>
      <c r="F17" s="8">
        <v>3</v>
      </c>
      <c r="G17" s="8">
        <v>3</v>
      </c>
      <c r="H17" s="8">
        <v>4</v>
      </c>
      <c r="I17" s="8">
        <v>4</v>
      </c>
      <c r="J17" s="8">
        <v>4</v>
      </c>
      <c r="K17" s="8">
        <v>4</v>
      </c>
      <c r="L17" s="8" t="s">
        <v>411</v>
      </c>
      <c r="M17" s="8">
        <f t="shared" si="0"/>
        <v>3.7142857142857144</v>
      </c>
      <c r="N17" s="8">
        <f t="shared" si="1"/>
        <v>4</v>
      </c>
      <c r="O17" s="13" t="str">
        <f t="shared" si="2"/>
        <v>C01</v>
      </c>
    </row>
    <row r="18" spans="1:15" ht="14.25">
      <c r="A18" s="8" t="s">
        <v>219</v>
      </c>
      <c r="B18" s="8" t="s">
        <v>216</v>
      </c>
      <c r="C18" s="8" t="s">
        <v>220</v>
      </c>
      <c r="D18" s="8">
        <v>4</v>
      </c>
      <c r="E18" s="8">
        <v>4</v>
      </c>
      <c r="F18" s="8">
        <v>3</v>
      </c>
      <c r="G18" s="8">
        <v>3</v>
      </c>
      <c r="H18" s="8">
        <v>4</v>
      </c>
      <c r="I18" s="8">
        <v>4</v>
      </c>
      <c r="J18" s="8">
        <v>4</v>
      </c>
      <c r="K18" s="8">
        <v>4</v>
      </c>
      <c r="L18" s="8" t="s">
        <v>411</v>
      </c>
      <c r="M18" s="8">
        <f t="shared" si="0"/>
        <v>3.7142857142857144</v>
      </c>
      <c r="N18" s="8">
        <f t="shared" si="1"/>
        <v>4</v>
      </c>
      <c r="O18" s="13" t="str">
        <f t="shared" si="2"/>
        <v>C01</v>
      </c>
    </row>
    <row r="19" spans="1:15" ht="14.25">
      <c r="A19" s="8" t="s">
        <v>221</v>
      </c>
      <c r="B19" s="8" t="s">
        <v>222</v>
      </c>
      <c r="C19" s="8" t="s">
        <v>223</v>
      </c>
      <c r="D19" s="8">
        <v>5</v>
      </c>
      <c r="E19" s="8">
        <v>3</v>
      </c>
      <c r="F19" s="8">
        <v>1</v>
      </c>
      <c r="G19" s="8">
        <v>1</v>
      </c>
      <c r="H19" s="8">
        <v>5</v>
      </c>
      <c r="I19" s="8">
        <v>5</v>
      </c>
      <c r="J19" s="8">
        <v>1</v>
      </c>
      <c r="K19" s="8">
        <v>1</v>
      </c>
      <c r="L19" s="8" t="s">
        <v>411</v>
      </c>
      <c r="M19" s="8">
        <f t="shared" si="0"/>
        <v>2.4285714285714284</v>
      </c>
      <c r="N19" s="8">
        <f t="shared" si="1"/>
        <v>5</v>
      </c>
      <c r="O19" s="13" t="str">
        <f t="shared" si="2"/>
        <v>C04</v>
      </c>
    </row>
    <row r="20" spans="1:15" ht="28.5">
      <c r="A20" s="8" t="s">
        <v>224</v>
      </c>
      <c r="B20" s="8" t="s">
        <v>222</v>
      </c>
      <c r="C20" s="8" t="s">
        <v>225</v>
      </c>
      <c r="D20" s="8">
        <v>4</v>
      </c>
      <c r="E20" s="8">
        <v>3</v>
      </c>
      <c r="F20" s="8">
        <v>1</v>
      </c>
      <c r="G20" s="8">
        <v>1</v>
      </c>
      <c r="H20" s="8">
        <v>3</v>
      </c>
      <c r="I20" s="8">
        <v>4</v>
      </c>
      <c r="J20" s="8">
        <v>1</v>
      </c>
      <c r="K20" s="8">
        <v>1</v>
      </c>
      <c r="L20" s="8" t="s">
        <v>411</v>
      </c>
      <c r="M20" s="8">
        <f t="shared" si="0"/>
        <v>2</v>
      </c>
      <c r="N20" s="8">
        <f t="shared" si="1"/>
        <v>4</v>
      </c>
      <c r="O20" s="13" t="str">
        <f t="shared" si="2"/>
        <v>C05</v>
      </c>
    </row>
    <row r="21" spans="1:15" ht="14.25">
      <c r="A21" s="8" t="s">
        <v>226</v>
      </c>
      <c r="B21" s="8" t="s">
        <v>227</v>
      </c>
      <c r="C21" s="8" t="s">
        <v>228</v>
      </c>
      <c r="D21" s="8">
        <v>3</v>
      </c>
      <c r="E21" s="8">
        <v>4</v>
      </c>
      <c r="F21" s="8">
        <v>2</v>
      </c>
      <c r="G21" s="8">
        <v>4</v>
      </c>
      <c r="H21" s="8">
        <v>3</v>
      </c>
      <c r="I21" s="8">
        <v>3</v>
      </c>
      <c r="J21" s="8">
        <v>4</v>
      </c>
      <c r="K21" s="8">
        <v>4</v>
      </c>
      <c r="L21" s="8" t="s">
        <v>411</v>
      </c>
      <c r="M21" s="8">
        <f t="shared" si="0"/>
        <v>3.4285714285714284</v>
      </c>
      <c r="N21" s="8">
        <f t="shared" si="1"/>
        <v>4</v>
      </c>
      <c r="O21" s="13" t="str">
        <f t="shared" si="2"/>
        <v>C01</v>
      </c>
    </row>
    <row r="22" spans="1:15" ht="14.25">
      <c r="A22" s="8" t="s">
        <v>229</v>
      </c>
      <c r="B22" s="8" t="s">
        <v>227</v>
      </c>
      <c r="C22" s="8" t="s">
        <v>230</v>
      </c>
      <c r="D22" s="8">
        <v>3</v>
      </c>
      <c r="E22" s="8">
        <v>4</v>
      </c>
      <c r="F22" s="8">
        <v>3</v>
      </c>
      <c r="G22" s="8">
        <v>3</v>
      </c>
      <c r="H22" s="8">
        <v>3</v>
      </c>
      <c r="I22" s="8">
        <v>4</v>
      </c>
      <c r="J22" s="8">
        <v>4</v>
      </c>
      <c r="K22" s="8">
        <v>4</v>
      </c>
      <c r="L22" s="8" t="s">
        <v>411</v>
      </c>
      <c r="M22" s="8">
        <f t="shared" si="0"/>
        <v>3.5714285714285716</v>
      </c>
      <c r="N22" s="8">
        <f t="shared" si="1"/>
        <v>4</v>
      </c>
      <c r="O22" s="13" t="str">
        <f t="shared" si="2"/>
        <v>C01</v>
      </c>
    </row>
    <row r="23" spans="1:15" ht="28.5">
      <c r="A23" s="8" t="s">
        <v>231</v>
      </c>
      <c r="B23" s="8" t="s">
        <v>232</v>
      </c>
      <c r="C23" s="8" t="s">
        <v>233</v>
      </c>
      <c r="D23" s="8">
        <v>4</v>
      </c>
      <c r="E23" s="8">
        <v>3</v>
      </c>
      <c r="F23" s="8">
        <v>2</v>
      </c>
      <c r="G23" s="8">
        <v>2</v>
      </c>
      <c r="H23" s="8">
        <v>5</v>
      </c>
      <c r="I23" s="8">
        <v>3</v>
      </c>
      <c r="J23" s="8">
        <v>5</v>
      </c>
      <c r="K23" s="8">
        <v>5</v>
      </c>
      <c r="L23" s="8" t="s">
        <v>411</v>
      </c>
      <c r="M23" s="8">
        <f t="shared" si="0"/>
        <v>3.5714285714285716</v>
      </c>
      <c r="N23" s="8">
        <f t="shared" si="1"/>
        <v>5</v>
      </c>
      <c r="O23" s="13" t="str">
        <f t="shared" si="2"/>
        <v>C04</v>
      </c>
    </row>
    <row r="24" spans="1:15" ht="28.5">
      <c r="A24" s="8" t="s">
        <v>234</v>
      </c>
      <c r="B24" s="8" t="s">
        <v>232</v>
      </c>
      <c r="C24" s="8" t="s">
        <v>675</v>
      </c>
      <c r="D24" s="8">
        <v>3</v>
      </c>
      <c r="E24" s="8">
        <v>3</v>
      </c>
      <c r="F24" s="8">
        <v>1</v>
      </c>
      <c r="G24" s="8">
        <v>2</v>
      </c>
      <c r="H24" s="8">
        <v>4</v>
      </c>
      <c r="I24" s="8">
        <v>3</v>
      </c>
      <c r="J24" s="8">
        <v>4</v>
      </c>
      <c r="K24" s="8">
        <v>4</v>
      </c>
      <c r="L24" s="8" t="s">
        <v>411</v>
      </c>
      <c r="M24" s="8">
        <f t="shared" si="0"/>
        <v>3</v>
      </c>
      <c r="N24" s="8">
        <f t="shared" si="1"/>
        <v>4</v>
      </c>
      <c r="O24" s="13" t="str">
        <f t="shared" si="2"/>
        <v>C04</v>
      </c>
    </row>
    <row r="25" spans="1:15" ht="14.25">
      <c r="A25" s="8" t="s">
        <v>235</v>
      </c>
      <c r="B25" s="8" t="s">
        <v>236</v>
      </c>
      <c r="C25" s="8" t="s">
        <v>237</v>
      </c>
      <c r="D25" s="8">
        <v>5</v>
      </c>
      <c r="E25" s="8">
        <v>4</v>
      </c>
      <c r="F25" s="8">
        <v>2</v>
      </c>
      <c r="G25" s="8">
        <v>3</v>
      </c>
      <c r="H25" s="8">
        <v>4</v>
      </c>
      <c r="I25" s="8">
        <v>2</v>
      </c>
      <c r="J25" s="8">
        <v>4</v>
      </c>
      <c r="K25" s="8">
        <v>5</v>
      </c>
      <c r="L25" s="8" t="s">
        <v>411</v>
      </c>
      <c r="M25" s="8">
        <f t="shared" si="0"/>
        <v>3.4285714285714284</v>
      </c>
      <c r="N25" s="8">
        <f t="shared" si="1"/>
        <v>5</v>
      </c>
      <c r="O25" s="13" t="str">
        <f t="shared" si="2"/>
        <v>C07</v>
      </c>
    </row>
    <row r="26" spans="1:15" ht="14.25">
      <c r="A26" s="8" t="s">
        <v>238</v>
      </c>
      <c r="B26" s="8" t="s">
        <v>236</v>
      </c>
      <c r="C26" s="8" t="s">
        <v>239</v>
      </c>
      <c r="D26" s="8">
        <v>5</v>
      </c>
      <c r="E26" s="8">
        <v>3</v>
      </c>
      <c r="F26" s="8">
        <v>2</v>
      </c>
      <c r="G26" s="8">
        <v>2</v>
      </c>
      <c r="H26" s="8">
        <v>4</v>
      </c>
      <c r="I26" s="8">
        <v>3</v>
      </c>
      <c r="J26" s="8">
        <v>4</v>
      </c>
      <c r="K26" s="8">
        <v>4</v>
      </c>
      <c r="L26" s="8" t="s">
        <v>411</v>
      </c>
      <c r="M26" s="8">
        <f t="shared" si="0"/>
        <v>3.1428571428571428</v>
      </c>
      <c r="N26" s="8">
        <f t="shared" si="1"/>
        <v>4</v>
      </c>
      <c r="O26" s="13" t="str">
        <f t="shared" si="2"/>
        <v>C04</v>
      </c>
    </row>
    <row r="27" spans="1:15" ht="14.25">
      <c r="A27" s="8" t="s">
        <v>240</v>
      </c>
      <c r="B27" s="8" t="s">
        <v>241</v>
      </c>
      <c r="C27" s="8" t="s">
        <v>242</v>
      </c>
      <c r="D27" s="8">
        <v>5</v>
      </c>
      <c r="E27" s="8">
        <v>5</v>
      </c>
      <c r="F27" s="8">
        <v>4</v>
      </c>
      <c r="G27" s="8">
        <v>4</v>
      </c>
      <c r="H27" s="8">
        <v>3</v>
      </c>
      <c r="I27" s="8">
        <v>2</v>
      </c>
      <c r="J27" s="8">
        <v>3</v>
      </c>
      <c r="K27" s="8">
        <v>3</v>
      </c>
      <c r="L27" s="8" t="s">
        <v>411</v>
      </c>
      <c r="M27" s="8">
        <f t="shared" si="0"/>
        <v>3.4285714285714284</v>
      </c>
      <c r="N27" s="8">
        <f t="shared" si="1"/>
        <v>5</v>
      </c>
      <c r="O27" s="13" t="str">
        <f t="shared" si="2"/>
        <v>C01</v>
      </c>
    </row>
    <row r="28" spans="1:15" ht="14.25">
      <c r="A28" s="8" t="s">
        <v>243</v>
      </c>
      <c r="B28" s="8" t="s">
        <v>241</v>
      </c>
      <c r="C28" s="8" t="s">
        <v>244</v>
      </c>
      <c r="D28" s="8">
        <v>5</v>
      </c>
      <c r="E28" s="8">
        <v>4</v>
      </c>
      <c r="F28" s="8">
        <v>3</v>
      </c>
      <c r="G28" s="8">
        <v>3</v>
      </c>
      <c r="H28" s="8">
        <v>4</v>
      </c>
      <c r="I28" s="8">
        <v>3</v>
      </c>
      <c r="J28" s="8">
        <v>4</v>
      </c>
      <c r="K28" s="8">
        <v>4</v>
      </c>
      <c r="L28" s="8" t="s">
        <v>411</v>
      </c>
      <c r="M28" s="9">
        <f t="shared" si="0"/>
        <v>3.5714285714285716</v>
      </c>
      <c r="N28" s="9">
        <f t="shared" si="1"/>
        <v>4</v>
      </c>
      <c r="O28" s="10" t="str">
        <f t="shared" si="2"/>
        <v>C01</v>
      </c>
    </row>
    <row r="29" spans="1:15" ht="14.25">
      <c r="A29" s="2" t="s">
        <v>245</v>
      </c>
      <c r="B29" s="2"/>
      <c r="C29" s="2"/>
      <c r="D29" s="2"/>
      <c r="E29" s="2">
        <f t="shared" ref="E29:L29" si="3">IFERROR(ROUND(SUMPRODUCT($D$4:$D$28,E$4:E$28)/SUMIF(E$4:E$28,"&gt;=0",$D$4:$D$28),2),"")</f>
        <v>3.62</v>
      </c>
      <c r="F29" s="2">
        <f t="shared" si="3"/>
        <v>2.48</v>
      </c>
      <c r="G29" s="2">
        <f t="shared" si="3"/>
        <v>2.34</v>
      </c>
      <c r="H29" s="2">
        <f t="shared" si="3"/>
        <v>4.09</v>
      </c>
      <c r="I29" s="2">
        <f t="shared" si="3"/>
        <v>3.32</v>
      </c>
      <c r="J29" s="2">
        <f t="shared" si="3"/>
        <v>3.54</v>
      </c>
      <c r="K29" s="2">
        <f t="shared" si="3"/>
        <v>3.8</v>
      </c>
      <c r="L29" s="6" t="str">
        <f t="shared" si="3"/>
        <v/>
      </c>
      <c r="M29" s="26"/>
      <c r="N29" s="26"/>
      <c r="O29" s="26"/>
    </row>
    <row r="30" spans="1:15" ht="14.25">
      <c r="A30" s="9" t="s">
        <v>31</v>
      </c>
      <c r="B30" s="9" t="s">
        <v>411</v>
      </c>
      <c r="C30" s="9" t="s">
        <v>411</v>
      </c>
      <c r="D30" s="9" t="s">
        <v>411</v>
      </c>
      <c r="E30" s="9" t="str">
        <f t="shared" ref="E30:L30" si="4">IF(E29="","",IF(E29&gt;=4.2,"Лидерский уровень",IF(E29&gt;=3.5,"Сильный уровень",IF(E29&gt;=2.5,"Средний уровень","Слабый уровень"))))</f>
        <v>Сильный уровень</v>
      </c>
      <c r="F30" s="9" t="str">
        <f t="shared" si="4"/>
        <v>Слабый уровень</v>
      </c>
      <c r="G30" s="9" t="str">
        <f t="shared" si="4"/>
        <v>Слабый уровень</v>
      </c>
      <c r="H30" s="9" t="str">
        <f t="shared" si="4"/>
        <v>Сильный уровень</v>
      </c>
      <c r="I30" s="9" t="str">
        <f t="shared" si="4"/>
        <v>Средний уровень</v>
      </c>
      <c r="J30" s="9" t="str">
        <f t="shared" si="4"/>
        <v>Сильный уровень</v>
      </c>
      <c r="K30" s="9" t="str">
        <f t="shared" si="4"/>
        <v>Сильный уровень</v>
      </c>
      <c r="L30" s="10" t="str">
        <f t="shared" si="4"/>
        <v/>
      </c>
      <c r="M30" s="26"/>
      <c r="N30" s="26"/>
      <c r="O30" s="26"/>
    </row>
  </sheetData>
  <mergeCells count="2">
    <mergeCell ref="A1:O1"/>
    <mergeCell ref="A2:O2"/>
  </mergeCells>
  <dataValidations count="2">
    <dataValidation type="list" sqref="D4:D28" xr:uid="{00000000-0002-0000-0600-000000000000}">
      <formula1>"1,2,3,4,5"</formula1>
    </dataValidation>
    <dataValidation type="list" sqref="E4:L28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8"/>
  <sheetViews>
    <sheetView zoomScale="44" workbookViewId="0">
      <selection activeCell="D38" sqref="D38"/>
    </sheetView>
  </sheetViews>
  <sheetFormatPr defaultRowHeight="13.5"/>
  <cols>
    <col min="1" max="1" width="15.125" style="25" customWidth="1"/>
    <col min="2" max="2" width="52.5625" style="25" customWidth="1"/>
    <col min="3" max="3" width="11.9375" style="25" customWidth="1"/>
    <col min="4" max="4" width="26.6875" style="25" customWidth="1"/>
    <col min="5" max="5" width="19.3125" style="25" customWidth="1"/>
    <col min="6" max="6" width="22.4375" style="25" customWidth="1"/>
    <col min="7" max="8" width="20.375" style="25" customWidth="1"/>
    <col min="9" max="9" width="40.3125" style="25" customWidth="1"/>
    <col min="10" max="10" width="39.25" style="25" customWidth="1"/>
    <col min="11" max="11" width="16.1875" style="25" customWidth="1"/>
    <col min="12" max="12" width="15.125" style="25" customWidth="1"/>
    <col min="13" max="16384" width="9" style="25"/>
  </cols>
  <sheetData>
    <row r="1" spans="1:9" ht="20" customHeight="1">
      <c r="A1" s="37" t="s">
        <v>694</v>
      </c>
      <c r="B1" s="38"/>
      <c r="C1" s="38"/>
      <c r="D1" s="38"/>
      <c r="E1" s="38"/>
      <c r="F1" s="38"/>
      <c r="G1" s="38"/>
      <c r="H1" s="38"/>
      <c r="I1" s="38"/>
    </row>
    <row r="2" spans="1:9" ht="20" customHeight="1">
      <c r="A2" s="39" t="s">
        <v>246</v>
      </c>
      <c r="B2" s="40"/>
      <c r="C2" s="40"/>
      <c r="D2" s="40"/>
      <c r="E2" s="40"/>
      <c r="F2" s="40"/>
      <c r="G2" s="40"/>
      <c r="H2" s="40"/>
      <c r="I2" s="40"/>
    </row>
    <row r="3" spans="1:9" ht="14.25">
      <c r="A3" s="2" t="s">
        <v>247</v>
      </c>
      <c r="B3" s="2" t="s">
        <v>248</v>
      </c>
      <c r="C3" s="2" t="s">
        <v>249</v>
      </c>
      <c r="D3" s="2" t="s">
        <v>250</v>
      </c>
      <c r="E3" s="2" t="s">
        <v>106</v>
      </c>
      <c r="F3" s="2" t="s">
        <v>251</v>
      </c>
      <c r="G3" s="2" t="s">
        <v>109</v>
      </c>
      <c r="H3" s="2" t="s">
        <v>252</v>
      </c>
      <c r="I3" s="2" t="s">
        <v>69</v>
      </c>
    </row>
    <row r="4" spans="1:9" ht="14.25">
      <c r="A4" s="8" t="s">
        <v>253</v>
      </c>
      <c r="B4" s="8" t="s">
        <v>517</v>
      </c>
      <c r="C4" s="8" t="s">
        <v>693</v>
      </c>
      <c r="D4" s="8" t="s">
        <v>151</v>
      </c>
      <c r="E4" s="8" t="s">
        <v>158</v>
      </c>
      <c r="F4" s="8">
        <v>3</v>
      </c>
      <c r="G4" s="16">
        <f>IF(F4="","",IFERROR(F4/MAX(1,COUNTIF('1_Конкуренты'!$B$4:$B$10,"?*")),""))</f>
        <v>0.42857142857142855</v>
      </c>
      <c r="H4" s="8">
        <v>3.33</v>
      </c>
      <c r="I4" s="8" t="str">
        <f t="shared" ref="I4:I28" si="0">IF(B4="","",IF(OR(E4="Обязательное",E4="Линейное"),IF(G4&gt;=0.6,"Рыночный стандарт",IF(G4&gt;=0.35,"Формирующаяся норма","Необходимость подтверждена частично")),IF(E4="Привлекательное",IF(G4&lt;0.5,"Зона дифференциации","Переходит в ожидаемое"),IF(E4="Безразличное","Низкий приоритет",IF(E4="Обратное","Риск отторжения","Подтверждено частично")))))</f>
        <v>Формирующаяся норма</v>
      </c>
    </row>
    <row r="5" spans="1:9" ht="14.25">
      <c r="A5" s="8" t="s">
        <v>254</v>
      </c>
      <c r="B5" s="8" t="s">
        <v>520</v>
      </c>
      <c r="C5" s="8" t="s">
        <v>693</v>
      </c>
      <c r="D5" s="8" t="s">
        <v>168</v>
      </c>
      <c r="E5" s="8" t="s">
        <v>155</v>
      </c>
      <c r="F5" s="8">
        <v>4</v>
      </c>
      <c r="G5" s="16">
        <f>IF(F5="","",IFERROR(F5/MAX(1,COUNTIF('1_Конкуренты'!$B$4:$B$10,"?*")),""))</f>
        <v>0.5714285714285714</v>
      </c>
      <c r="H5" s="8">
        <v>3.5</v>
      </c>
      <c r="I5" s="8" t="str">
        <f t="shared" si="0"/>
        <v>Формирующаяся норма</v>
      </c>
    </row>
    <row r="6" spans="1:9" ht="14.25">
      <c r="A6" s="8" t="s">
        <v>255</v>
      </c>
      <c r="B6" s="8" t="s">
        <v>522</v>
      </c>
      <c r="C6" s="8" t="s">
        <v>693</v>
      </c>
      <c r="D6" s="8" t="s">
        <v>168</v>
      </c>
      <c r="E6" s="8" t="s">
        <v>155</v>
      </c>
      <c r="F6" s="8">
        <v>2</v>
      </c>
      <c r="G6" s="16">
        <f>IF(F6="","",IFERROR(F6/MAX(1,COUNTIF('1_Конкуренты'!$B$4:$B$10,"?*")),""))</f>
        <v>0.2857142857142857</v>
      </c>
      <c r="H6" s="8">
        <v>3.5</v>
      </c>
      <c r="I6" s="8" t="str">
        <f t="shared" si="0"/>
        <v>Необходимость подтверждена частично</v>
      </c>
    </row>
    <row r="7" spans="1:9" ht="14.25">
      <c r="A7" s="8" t="s">
        <v>256</v>
      </c>
      <c r="B7" s="8" t="s">
        <v>524</v>
      </c>
      <c r="C7" s="8" t="s">
        <v>693</v>
      </c>
      <c r="D7" s="8" t="s">
        <v>161</v>
      </c>
      <c r="E7" s="8" t="s">
        <v>155</v>
      </c>
      <c r="F7" s="8">
        <v>4</v>
      </c>
      <c r="G7" s="16">
        <f>IF(F7="","",IFERROR(F7/MAX(1,COUNTIF('1_Конкуренты'!$B$4:$B$10,"?*")),""))</f>
        <v>0.5714285714285714</v>
      </c>
      <c r="H7" s="8">
        <v>3.5</v>
      </c>
      <c r="I7" s="8" t="str">
        <f t="shared" si="0"/>
        <v>Формирующаяся норма</v>
      </c>
    </row>
    <row r="8" spans="1:9" ht="14.25">
      <c r="A8" s="8" t="s">
        <v>257</v>
      </c>
      <c r="B8" s="8" t="s">
        <v>526</v>
      </c>
      <c r="C8" s="8" t="s">
        <v>693</v>
      </c>
      <c r="D8" s="8" t="s">
        <v>157</v>
      </c>
      <c r="E8" s="8" t="s">
        <v>158</v>
      </c>
      <c r="F8" s="8">
        <v>7</v>
      </c>
      <c r="G8" s="16">
        <f>IF(F8="","",IFERROR(F8/MAX(1,COUNTIF('1_Конкуренты'!$B$4:$B$10,"?*")),""))</f>
        <v>1</v>
      </c>
      <c r="H8" s="8">
        <v>4</v>
      </c>
      <c r="I8" s="8" t="str">
        <f t="shared" si="0"/>
        <v>Рыночный стандарт</v>
      </c>
    </row>
    <row r="9" spans="1:9" ht="14.25">
      <c r="A9" s="8" t="s">
        <v>258</v>
      </c>
      <c r="B9" s="8" t="s">
        <v>543</v>
      </c>
      <c r="C9" s="8" t="s">
        <v>693</v>
      </c>
      <c r="D9" s="8" t="s">
        <v>157</v>
      </c>
      <c r="E9" s="8" t="s">
        <v>174</v>
      </c>
      <c r="F9" s="8">
        <v>4</v>
      </c>
      <c r="G9" s="16">
        <f>IF(F9="","",IFERROR(F9/MAX(1,COUNTIF('1_Конкуренты'!$B$4:$B$10,"?*")),""))</f>
        <v>0.5714285714285714</v>
      </c>
      <c r="H9" s="8">
        <v>3.5</v>
      </c>
      <c r="I9" s="8" t="str">
        <f t="shared" si="0"/>
        <v>Переходит в ожидаемое</v>
      </c>
    </row>
    <row r="10" spans="1:9" ht="14.25">
      <c r="A10" s="8" t="s">
        <v>259</v>
      </c>
      <c r="B10" s="8" t="s">
        <v>544</v>
      </c>
      <c r="C10" s="8" t="s">
        <v>693</v>
      </c>
      <c r="D10" s="8" t="s">
        <v>168</v>
      </c>
      <c r="E10" s="8" t="s">
        <v>174</v>
      </c>
      <c r="F10" s="8">
        <v>4</v>
      </c>
      <c r="G10" s="16">
        <f>IF(F10="","",IFERROR(F10/MAX(1,COUNTIF('1_Конкуренты'!$B$4:$B$10,"?*")),""))</f>
        <v>0.5714285714285714</v>
      </c>
      <c r="H10" s="8">
        <v>3.5</v>
      </c>
      <c r="I10" s="8" t="str">
        <f t="shared" si="0"/>
        <v>Переходит в ожидаемое</v>
      </c>
    </row>
    <row r="11" spans="1:9" ht="14.25">
      <c r="A11" s="8" t="s">
        <v>260</v>
      </c>
      <c r="B11" s="8" t="s">
        <v>558</v>
      </c>
      <c r="C11" s="8" t="s">
        <v>693</v>
      </c>
      <c r="D11" s="8" t="s">
        <v>173</v>
      </c>
      <c r="E11" s="8" t="s">
        <v>174</v>
      </c>
      <c r="F11" s="8">
        <v>2</v>
      </c>
      <c r="G11" s="16">
        <f>IF(F11="","",IFERROR(F11/MAX(1,COUNTIF('1_Конкуренты'!$B$4:$B$10,"?*")),""))</f>
        <v>0.2857142857142857</v>
      </c>
      <c r="H11" s="8">
        <v>2.5</v>
      </c>
      <c r="I11" s="8" t="str">
        <f t="shared" si="0"/>
        <v>Зона дифференциации</v>
      </c>
    </row>
    <row r="12" spans="1:9" ht="14.25">
      <c r="A12" s="8" t="s">
        <v>261</v>
      </c>
      <c r="B12" s="8" t="s">
        <v>546</v>
      </c>
      <c r="C12" s="8" t="s">
        <v>693</v>
      </c>
      <c r="D12" s="8" t="s">
        <v>161</v>
      </c>
      <c r="E12" s="8" t="s">
        <v>158</v>
      </c>
      <c r="F12" s="8">
        <v>3</v>
      </c>
      <c r="G12" s="16">
        <f>IF(F12="","",IFERROR(F12/MAX(1,COUNTIF('1_Конкуренты'!$B$4:$B$10,"?*")),""))</f>
        <v>0.42857142857142855</v>
      </c>
      <c r="H12" s="8">
        <v>4.67</v>
      </c>
      <c r="I12" s="8" t="str">
        <f t="shared" si="0"/>
        <v>Формирующаяся норма</v>
      </c>
    </row>
    <row r="13" spans="1:9" ht="14.25">
      <c r="A13" s="8" t="s">
        <v>262</v>
      </c>
      <c r="B13" s="8" t="s">
        <v>528</v>
      </c>
      <c r="C13" s="8" t="s">
        <v>693</v>
      </c>
      <c r="D13" s="8" t="s">
        <v>161</v>
      </c>
      <c r="E13" s="8" t="s">
        <v>158</v>
      </c>
      <c r="F13" s="8">
        <v>3</v>
      </c>
      <c r="G13" s="16">
        <f>IF(F13="","",IFERROR(F13/MAX(1,COUNTIF('1_Конкуренты'!$B$4:$B$10,"?*")),""))</f>
        <v>0.42857142857142855</v>
      </c>
      <c r="H13" s="8">
        <v>3.33</v>
      </c>
      <c r="I13" s="8" t="str">
        <f t="shared" si="0"/>
        <v>Формирующаяся норма</v>
      </c>
    </row>
    <row r="14" spans="1:9" ht="14.25">
      <c r="A14" s="8" t="s">
        <v>263</v>
      </c>
      <c r="B14" s="8" t="s">
        <v>530</v>
      </c>
      <c r="C14" s="8" t="s">
        <v>693</v>
      </c>
      <c r="D14" s="8" t="s">
        <v>161</v>
      </c>
      <c r="E14" s="8" t="s">
        <v>155</v>
      </c>
      <c r="F14" s="8">
        <v>3</v>
      </c>
      <c r="G14" s="16">
        <f>IF(F14="","",IFERROR(F14/MAX(1,COUNTIF('1_Конкуренты'!$B$4:$B$10,"?*")),""))</f>
        <v>0.42857142857142855</v>
      </c>
      <c r="H14" s="8">
        <v>4.33</v>
      </c>
      <c r="I14" s="8" t="str">
        <f t="shared" si="0"/>
        <v>Формирующаяся норма</v>
      </c>
    </row>
    <row r="15" spans="1:9" ht="14.25">
      <c r="A15" s="8" t="s">
        <v>264</v>
      </c>
      <c r="B15" s="8" t="s">
        <v>548</v>
      </c>
      <c r="C15" s="8" t="s">
        <v>693</v>
      </c>
      <c r="D15" s="8" t="s">
        <v>168</v>
      </c>
      <c r="E15" s="8" t="s">
        <v>155</v>
      </c>
      <c r="F15" s="8">
        <v>3</v>
      </c>
      <c r="G15" s="16">
        <f>IF(F15="","",IFERROR(F15/MAX(1,COUNTIF('1_Конкуренты'!$B$4:$B$10,"?*")),""))</f>
        <v>0.42857142857142855</v>
      </c>
      <c r="H15" s="8">
        <v>4.33</v>
      </c>
      <c r="I15" s="8" t="str">
        <f t="shared" si="0"/>
        <v>Формирующаяся норма</v>
      </c>
    </row>
    <row r="16" spans="1:9" ht="14.25">
      <c r="A16" s="8" t="s">
        <v>265</v>
      </c>
      <c r="B16" s="8" t="s">
        <v>532</v>
      </c>
      <c r="C16" s="8" t="s">
        <v>693</v>
      </c>
      <c r="D16" s="8" t="s">
        <v>161</v>
      </c>
      <c r="E16" s="8" t="s">
        <v>155</v>
      </c>
      <c r="F16" s="8">
        <v>5</v>
      </c>
      <c r="G16" s="16">
        <f>IF(F16="","",IFERROR(F16/MAX(1,COUNTIF('1_Конкуренты'!$B$4:$B$10,"?*")),""))</f>
        <v>0.7142857142857143</v>
      </c>
      <c r="H16" s="8">
        <v>4.2</v>
      </c>
      <c r="I16" s="8" t="str">
        <f t="shared" si="0"/>
        <v>Рыночный стандарт</v>
      </c>
    </row>
    <row r="17" spans="1:9" ht="14.25">
      <c r="A17" s="8" t="s">
        <v>266</v>
      </c>
      <c r="B17" s="8" t="s">
        <v>534</v>
      </c>
      <c r="C17" s="8" t="s">
        <v>693</v>
      </c>
      <c r="D17" s="8" t="s">
        <v>168</v>
      </c>
      <c r="E17" s="8" t="s">
        <v>315</v>
      </c>
      <c r="F17" s="8">
        <v>6</v>
      </c>
      <c r="G17" s="16">
        <f>IF(F17="","",IFERROR(F17/MAX(1,COUNTIF('1_Конкуренты'!$B$4:$B$10,"?*")),""))</f>
        <v>0.8571428571428571</v>
      </c>
      <c r="H17" s="8">
        <v>3.5</v>
      </c>
      <c r="I17" s="8" t="str">
        <f t="shared" si="0"/>
        <v>Низкий приоритет</v>
      </c>
    </row>
    <row r="18" spans="1:9" ht="14.25">
      <c r="A18" s="8" t="s">
        <v>267</v>
      </c>
      <c r="B18" s="8" t="s">
        <v>536</v>
      </c>
      <c r="C18" s="8" t="s">
        <v>693</v>
      </c>
      <c r="D18" s="8" t="s">
        <v>168</v>
      </c>
      <c r="E18" s="8" t="s">
        <v>155</v>
      </c>
      <c r="F18" s="8">
        <v>5</v>
      </c>
      <c r="G18" s="16">
        <f>IF(F18="","",IFERROR(F18/MAX(1,COUNTIF('1_Конкуренты'!$B$4:$B$10,"?*")),""))</f>
        <v>0.7142857142857143</v>
      </c>
      <c r="H18" s="8">
        <v>3.6</v>
      </c>
      <c r="I18" s="8" t="str">
        <f t="shared" si="0"/>
        <v>Рыночный стандарт</v>
      </c>
    </row>
    <row r="19" spans="1:9" ht="14.25">
      <c r="A19" s="8" t="s">
        <v>268</v>
      </c>
      <c r="B19" s="8" t="s">
        <v>549</v>
      </c>
      <c r="C19" s="8" t="s">
        <v>693</v>
      </c>
      <c r="D19" s="8" t="s">
        <v>173</v>
      </c>
      <c r="E19" s="8" t="s">
        <v>174</v>
      </c>
      <c r="F19" s="8">
        <v>1</v>
      </c>
      <c r="G19" s="16">
        <f>IF(F19="","",IFERROR(F19/MAX(1,COUNTIF('1_Конкуренты'!$B$4:$B$10,"?*")),""))</f>
        <v>0.14285714285714285</v>
      </c>
      <c r="H19" s="8">
        <v>3</v>
      </c>
      <c r="I19" s="8" t="str">
        <f t="shared" si="0"/>
        <v>Зона дифференциации</v>
      </c>
    </row>
    <row r="20" spans="1:9" ht="14.25">
      <c r="A20" s="8" t="s">
        <v>269</v>
      </c>
      <c r="B20" s="8" t="s">
        <v>538</v>
      </c>
      <c r="C20" s="8" t="s">
        <v>693</v>
      </c>
      <c r="D20" s="8" t="s">
        <v>168</v>
      </c>
      <c r="E20" s="8" t="s">
        <v>155</v>
      </c>
      <c r="F20" s="8">
        <v>2</v>
      </c>
      <c r="G20" s="16">
        <f>IF(F20="","",IFERROR(F20/MAX(1,COUNTIF('1_Конкуренты'!$B$4:$B$10,"?*")),""))</f>
        <v>0.2857142857142857</v>
      </c>
      <c r="H20" s="8">
        <v>3.5</v>
      </c>
      <c r="I20" s="8" t="str">
        <f t="shared" si="0"/>
        <v>Необходимость подтверждена частично</v>
      </c>
    </row>
    <row r="21" spans="1:9" ht="14.25">
      <c r="A21" s="8" t="s">
        <v>270</v>
      </c>
      <c r="B21" s="8" t="s">
        <v>540</v>
      </c>
      <c r="C21" s="8" t="s">
        <v>693</v>
      </c>
      <c r="D21" s="8" t="s">
        <v>168</v>
      </c>
      <c r="E21" s="8" t="s">
        <v>174</v>
      </c>
      <c r="F21" s="8">
        <v>2</v>
      </c>
      <c r="G21" s="16">
        <f>IF(F21="","",IFERROR(F21/MAX(1,COUNTIF('1_Конкуренты'!$B$4:$B$10,"?*")),""))</f>
        <v>0.2857142857142857</v>
      </c>
      <c r="H21" s="8">
        <v>3.5</v>
      </c>
      <c r="I21" s="8" t="str">
        <f t="shared" si="0"/>
        <v>Зона дифференциации</v>
      </c>
    </row>
    <row r="22" spans="1:9" ht="14.25">
      <c r="A22" s="8" t="s">
        <v>271</v>
      </c>
      <c r="B22" s="8" t="s">
        <v>541</v>
      </c>
      <c r="C22" s="8" t="s">
        <v>693</v>
      </c>
      <c r="D22" s="8" t="s">
        <v>168</v>
      </c>
      <c r="E22" s="8" t="s">
        <v>155</v>
      </c>
      <c r="F22" s="8">
        <v>2</v>
      </c>
      <c r="G22" s="16">
        <f>IF(F22="","",IFERROR(F22/MAX(1,COUNTIF('1_Конкуренты'!$B$4:$B$10,"?*")),""))</f>
        <v>0.2857142857142857</v>
      </c>
      <c r="H22" s="8">
        <v>3.5</v>
      </c>
      <c r="I22" s="8" t="str">
        <f t="shared" si="0"/>
        <v>Необходимость подтверждена частично</v>
      </c>
    </row>
    <row r="23" spans="1:9" ht="14.25">
      <c r="A23" s="8" t="s">
        <v>272</v>
      </c>
      <c r="B23" s="8" t="s">
        <v>551</v>
      </c>
      <c r="C23" s="8" t="s">
        <v>693</v>
      </c>
      <c r="D23" s="8" t="s">
        <v>168</v>
      </c>
      <c r="E23" s="8" t="s">
        <v>315</v>
      </c>
      <c r="F23" s="8">
        <v>3</v>
      </c>
      <c r="G23" s="16">
        <f>IF(F23="","",IFERROR(F23/MAX(1,COUNTIF('1_Конкуренты'!$B$4:$B$10,"?*")),""))</f>
        <v>0.42857142857142855</v>
      </c>
      <c r="H23" s="8">
        <v>3.33</v>
      </c>
      <c r="I23" s="8" t="str">
        <f t="shared" si="0"/>
        <v>Низкий приоритет</v>
      </c>
    </row>
    <row r="24" spans="1:9" ht="14.25">
      <c r="A24" s="8" t="s">
        <v>273</v>
      </c>
      <c r="B24" s="8" t="s">
        <v>560</v>
      </c>
      <c r="C24" s="8" t="s">
        <v>693</v>
      </c>
      <c r="D24" s="8" t="s">
        <v>173</v>
      </c>
      <c r="E24" s="8" t="s">
        <v>315</v>
      </c>
      <c r="F24" s="8">
        <v>2</v>
      </c>
      <c r="G24" s="16">
        <f>IF(F24="","",IFERROR(F24/MAX(1,COUNTIF('1_Конкуренты'!$B$4:$B$10,"?*")),""))</f>
        <v>0.2857142857142857</v>
      </c>
      <c r="H24" s="8">
        <v>4</v>
      </c>
      <c r="I24" s="8" t="str">
        <f t="shared" si="0"/>
        <v>Низкий приоритет</v>
      </c>
    </row>
    <row r="25" spans="1:9" ht="14.25">
      <c r="A25" s="8" t="s">
        <v>274</v>
      </c>
      <c r="B25" s="8" t="s">
        <v>553</v>
      </c>
      <c r="C25" s="8" t="s">
        <v>693</v>
      </c>
      <c r="D25" s="8" t="s">
        <v>161</v>
      </c>
      <c r="E25" s="8" t="s">
        <v>158</v>
      </c>
      <c r="F25" s="8">
        <v>3</v>
      </c>
      <c r="G25" s="16">
        <f>IF(F25="","",IFERROR(F25/MAX(1,COUNTIF('1_Конкуренты'!$B$4:$B$10,"?*")),""))</f>
        <v>0.42857142857142855</v>
      </c>
      <c r="H25" s="8">
        <v>4.33</v>
      </c>
      <c r="I25" s="8" t="str">
        <f t="shared" si="0"/>
        <v>Формирующаяся норма</v>
      </c>
    </row>
    <row r="26" spans="1:9" ht="14.25">
      <c r="A26" s="8" t="s">
        <v>275</v>
      </c>
      <c r="B26" s="8" t="s">
        <v>554</v>
      </c>
      <c r="C26" s="8" t="s">
        <v>693</v>
      </c>
      <c r="D26" s="8" t="s">
        <v>168</v>
      </c>
      <c r="E26" s="8" t="s">
        <v>155</v>
      </c>
      <c r="F26" s="8">
        <v>2</v>
      </c>
      <c r="G26" s="16">
        <f>IF(F26="","",IFERROR(F26/MAX(1,COUNTIF('1_Конкуренты'!$B$4:$B$10,"?*")),""))</f>
        <v>0.2857142857142857</v>
      </c>
      <c r="H26" s="8">
        <v>4</v>
      </c>
      <c r="I26" s="8" t="str">
        <f t="shared" si="0"/>
        <v>Необходимость подтверждена частично</v>
      </c>
    </row>
    <row r="27" spans="1:9" ht="14.25">
      <c r="A27" s="8" t="s">
        <v>276</v>
      </c>
      <c r="B27" s="8" t="s">
        <v>556</v>
      </c>
      <c r="C27" s="8" t="s">
        <v>693</v>
      </c>
      <c r="D27" s="8" t="s">
        <v>173</v>
      </c>
      <c r="E27" s="8" t="s">
        <v>155</v>
      </c>
      <c r="F27" s="8">
        <v>2</v>
      </c>
      <c r="G27" s="16">
        <f>IF(F27="","",IFERROR(F27/MAX(1,COUNTIF('1_Конкуренты'!$B$4:$B$10,"?*")),""))</f>
        <v>0.2857142857142857</v>
      </c>
      <c r="H27" s="8">
        <v>4</v>
      </c>
      <c r="I27" s="8" t="str">
        <f t="shared" si="0"/>
        <v>Необходимость подтверждена частично</v>
      </c>
    </row>
    <row r="28" spans="1:9" ht="14.25">
      <c r="A28" s="9" t="s">
        <v>277</v>
      </c>
      <c r="B28" s="9" t="s">
        <v>562</v>
      </c>
      <c r="C28" s="9" t="s">
        <v>693</v>
      </c>
      <c r="D28" s="9" t="s">
        <v>173</v>
      </c>
      <c r="E28" s="9" t="s">
        <v>315</v>
      </c>
      <c r="F28" s="9">
        <v>1</v>
      </c>
      <c r="G28" s="17">
        <f>IF(F28="","",IFERROR(F28/MAX(1,COUNTIF('1_Конкуренты'!$B$4:$B$10,"?*")),""))</f>
        <v>0.14285714285714285</v>
      </c>
      <c r="H28" s="9">
        <v>5</v>
      </c>
      <c r="I28" s="9" t="str">
        <f t="shared" si="0"/>
        <v>Низкий приоритет</v>
      </c>
    </row>
  </sheetData>
  <mergeCells count="2">
    <mergeCell ref="A1:I1"/>
    <mergeCell ref="A2:I2"/>
  </mergeCells>
  <conditionalFormatting sqref="G4:G28">
    <cfRule type="dataBar" priority="7">
      <dataBar>
        <cfvo type="min"/>
        <cfvo type="max"/>
        <color rgb="FF5B9BD5"/>
      </dataBar>
    </cfRule>
  </conditionalFormatting>
  <conditionalFormatting sqref="G4:G28"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4:D28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4:E28" xr:uid="{00000000-0002-0000-0700-000001000000}">
      <formula1>"Обязательное,Линейное,Привлекательное,Безразличное,Обратное,Неясное"</formula1>
    </dataValidation>
    <dataValidation type="list" sqref="H4:H28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G4:G28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1"/>
  <sheetViews>
    <sheetView topLeftCell="J1" workbookViewId="0">
      <selection activeCell="M15" sqref="M15"/>
    </sheetView>
  </sheetViews>
  <sheetFormatPr defaultRowHeight="13.5"/>
  <cols>
    <col min="1" max="1" width="10.5625" style="25" customWidth="1"/>
    <col min="2" max="2" width="17.1875" style="25" customWidth="1"/>
    <col min="3" max="3" width="52.5625" style="25" customWidth="1"/>
    <col min="4" max="4" width="26.6875" style="25" customWidth="1"/>
    <col min="5" max="5" width="19.3125" style="25" customWidth="1"/>
    <col min="6" max="6" width="18.25" style="25" customWidth="1"/>
    <col min="7" max="7" width="20.375" style="25" customWidth="1"/>
    <col min="8" max="8" width="16.1875" style="25" customWidth="1"/>
    <col min="9" max="9" width="11.9375" style="25" customWidth="1"/>
    <col min="10" max="10" width="34" style="25" customWidth="1"/>
    <col min="11" max="11" width="31.9375" style="25" customWidth="1"/>
    <col min="12" max="12" width="23.5" style="25" customWidth="1"/>
    <col min="13" max="13" width="30.875" style="25" customWidth="1"/>
    <col min="14" max="14" width="52.5625" style="25" customWidth="1"/>
    <col min="15" max="16384" width="9" style="25"/>
  </cols>
  <sheetData>
    <row r="1" spans="1:14" ht="20" customHeight="1">
      <c r="A1" s="27" t="s">
        <v>695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8"/>
    </row>
    <row r="2" spans="1:14" ht="20" customHeight="1">
      <c r="A2" s="34" t="s">
        <v>696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5"/>
    </row>
    <row r="3" spans="1:14" ht="14.25">
      <c r="A3" s="2" t="s">
        <v>60</v>
      </c>
      <c r="B3" s="2" t="s">
        <v>79</v>
      </c>
      <c r="C3" s="2" t="s">
        <v>278</v>
      </c>
      <c r="D3" s="2" t="s">
        <v>279</v>
      </c>
      <c r="E3" s="2" t="s">
        <v>250</v>
      </c>
      <c r="F3" s="2" t="s">
        <v>106</v>
      </c>
      <c r="G3" s="2" t="s">
        <v>280</v>
      </c>
      <c r="H3" s="2" t="s">
        <v>281</v>
      </c>
      <c r="I3" s="2" t="s">
        <v>282</v>
      </c>
      <c r="J3" s="2" t="s">
        <v>283</v>
      </c>
      <c r="K3" s="2" t="s">
        <v>284</v>
      </c>
      <c r="L3" s="2" t="s">
        <v>285</v>
      </c>
      <c r="M3" s="2" t="s">
        <v>286</v>
      </c>
      <c r="N3" s="6" t="s">
        <v>287</v>
      </c>
    </row>
    <row r="4" spans="1:14" ht="28.5">
      <c r="A4" s="8" t="s">
        <v>288</v>
      </c>
      <c r="B4" s="8" t="s">
        <v>71</v>
      </c>
      <c r="C4" s="8" t="s">
        <v>606</v>
      </c>
      <c r="D4" s="8" t="s">
        <v>607</v>
      </c>
      <c r="E4" s="8" t="s">
        <v>411</v>
      </c>
      <c r="F4" s="8" t="s">
        <v>411</v>
      </c>
      <c r="G4" s="8" t="s">
        <v>438</v>
      </c>
      <c r="H4" s="8">
        <v>3</v>
      </c>
      <c r="I4" s="8">
        <v>4</v>
      </c>
      <c r="J4" s="8">
        <v>4</v>
      </c>
      <c r="K4" s="8">
        <v>5</v>
      </c>
      <c r="L4" s="8">
        <f t="shared" ref="L4:L11" si="0">IF(OR(H4="",I4="",J4="",K4=""),"",ROUND(H4*0.25+I4*0.25+J4*0.3+K4*0.2,2))</f>
        <v>3.95</v>
      </c>
      <c r="M4" s="8" t="str">
        <f t="shared" ref="M4:M11" si="1">IF(L4="","",IF(L4&gt;=4.2,"Сильное преимущество",IF(L4&gt;=3.4,"Потенциальное преимущество",IF(L4&gt;=2.5,"Слабое преимущество","Не считать преимуществом"))))</f>
        <v>Потенциальное преимущество</v>
      </c>
      <c r="N4" s="13" t="s">
        <v>697</v>
      </c>
    </row>
    <row r="5" spans="1:14" ht="14.25">
      <c r="A5" s="8" t="s">
        <v>289</v>
      </c>
      <c r="B5" s="8" t="s">
        <v>71</v>
      </c>
      <c r="C5" s="8" t="s">
        <v>608</v>
      </c>
      <c r="D5" s="8" t="s">
        <v>609</v>
      </c>
      <c r="E5" s="8" t="s">
        <v>411</v>
      </c>
      <c r="F5" s="8" t="s">
        <v>411</v>
      </c>
      <c r="G5" s="8" t="s">
        <v>610</v>
      </c>
      <c r="H5" s="8">
        <v>3</v>
      </c>
      <c r="I5" s="8">
        <v>4</v>
      </c>
      <c r="J5" s="8">
        <v>4</v>
      </c>
      <c r="K5" s="8">
        <v>4</v>
      </c>
      <c r="L5" s="8">
        <f t="shared" si="0"/>
        <v>3.75</v>
      </c>
      <c r="M5" s="8" t="str">
        <f t="shared" si="1"/>
        <v>Потенциальное преимущество</v>
      </c>
      <c r="N5" s="13" t="s">
        <v>697</v>
      </c>
    </row>
    <row r="6" spans="1:14" ht="14.25">
      <c r="A6" s="8" t="s">
        <v>290</v>
      </c>
      <c r="B6" s="8" t="s">
        <v>74</v>
      </c>
      <c r="C6" s="8" t="s">
        <v>611</v>
      </c>
      <c r="D6" s="8" t="s">
        <v>612</v>
      </c>
      <c r="E6" s="8" t="s">
        <v>411</v>
      </c>
      <c r="F6" s="8" t="s">
        <v>411</v>
      </c>
      <c r="G6" s="8" t="s">
        <v>613</v>
      </c>
      <c r="H6" s="8">
        <v>2</v>
      </c>
      <c r="I6" s="8">
        <v>4</v>
      </c>
      <c r="J6" s="8">
        <v>4</v>
      </c>
      <c r="K6" s="8">
        <v>5</v>
      </c>
      <c r="L6" s="8">
        <f t="shared" si="0"/>
        <v>3.7</v>
      </c>
      <c r="M6" s="8" t="str">
        <f t="shared" si="1"/>
        <v>Потенциальное преимущество</v>
      </c>
      <c r="N6" s="13" t="s">
        <v>697</v>
      </c>
    </row>
    <row r="7" spans="1:14" ht="14.25">
      <c r="A7" s="8" t="s">
        <v>291</v>
      </c>
      <c r="B7" s="8" t="s">
        <v>74</v>
      </c>
      <c r="C7" s="8" t="s">
        <v>614</v>
      </c>
      <c r="D7" s="8" t="s">
        <v>615</v>
      </c>
      <c r="E7" s="8" t="s">
        <v>411</v>
      </c>
      <c r="F7" s="8" t="s">
        <v>411</v>
      </c>
      <c r="G7" s="8" t="s">
        <v>438</v>
      </c>
      <c r="H7" s="8">
        <v>3</v>
      </c>
      <c r="I7" s="8">
        <v>5</v>
      </c>
      <c r="J7" s="8">
        <v>5</v>
      </c>
      <c r="K7" s="8">
        <v>5</v>
      </c>
      <c r="L7" s="8">
        <f t="shared" si="0"/>
        <v>4.5</v>
      </c>
      <c r="M7" s="8" t="str">
        <f t="shared" si="1"/>
        <v>Сильное преимущество</v>
      </c>
      <c r="N7" s="13" t="s">
        <v>697</v>
      </c>
    </row>
    <row r="8" spans="1:14" ht="14.25">
      <c r="A8" s="8" t="s">
        <v>292</v>
      </c>
      <c r="B8" s="8" t="s">
        <v>75</v>
      </c>
      <c r="C8" s="8" t="s">
        <v>616</v>
      </c>
      <c r="D8" s="8" t="s">
        <v>617</v>
      </c>
      <c r="E8" s="8" t="s">
        <v>411</v>
      </c>
      <c r="F8" s="8" t="s">
        <v>411</v>
      </c>
      <c r="G8" s="8" t="s">
        <v>618</v>
      </c>
      <c r="H8" s="8">
        <v>1</v>
      </c>
      <c r="I8" s="8">
        <v>3</v>
      </c>
      <c r="J8" s="8">
        <v>3</v>
      </c>
      <c r="K8" s="8">
        <v>5</v>
      </c>
      <c r="L8" s="8">
        <f t="shared" si="0"/>
        <v>2.9</v>
      </c>
      <c r="M8" s="8" t="str">
        <f t="shared" si="1"/>
        <v>Слабое преимущество</v>
      </c>
      <c r="N8" s="13" t="s">
        <v>697</v>
      </c>
    </row>
    <row r="9" spans="1:14" ht="14.25">
      <c r="A9" s="8" t="s">
        <v>293</v>
      </c>
      <c r="B9" s="8" t="s">
        <v>76</v>
      </c>
      <c r="C9" s="8" t="s">
        <v>619</v>
      </c>
      <c r="D9" s="8" t="s">
        <v>620</v>
      </c>
      <c r="E9" s="8" t="s">
        <v>411</v>
      </c>
      <c r="F9" s="8" t="s">
        <v>411</v>
      </c>
      <c r="G9" s="8" t="s">
        <v>621</v>
      </c>
      <c r="H9" s="8">
        <v>4</v>
      </c>
      <c r="I9" s="8">
        <v>5</v>
      </c>
      <c r="J9" s="8">
        <v>4</v>
      </c>
      <c r="K9" s="8">
        <v>4</v>
      </c>
      <c r="L9" s="8">
        <f t="shared" si="0"/>
        <v>4.25</v>
      </c>
      <c r="M9" s="8" t="str">
        <f t="shared" si="1"/>
        <v>Сильное преимущество</v>
      </c>
      <c r="N9" s="13" t="s">
        <v>697</v>
      </c>
    </row>
    <row r="10" spans="1:14" ht="14.25">
      <c r="A10" s="8" t="s">
        <v>294</v>
      </c>
      <c r="B10" s="8" t="s">
        <v>77</v>
      </c>
      <c r="C10" s="8" t="s">
        <v>622</v>
      </c>
      <c r="D10" s="8" t="s">
        <v>623</v>
      </c>
      <c r="E10" s="8" t="s">
        <v>411</v>
      </c>
      <c r="F10" s="8" t="s">
        <v>411</v>
      </c>
      <c r="G10" s="8" t="s">
        <v>438</v>
      </c>
      <c r="H10" s="8">
        <v>4</v>
      </c>
      <c r="I10" s="8">
        <v>5</v>
      </c>
      <c r="J10" s="8">
        <v>5</v>
      </c>
      <c r="K10" s="8">
        <v>5</v>
      </c>
      <c r="L10" s="8">
        <f t="shared" si="0"/>
        <v>4.75</v>
      </c>
      <c r="M10" s="8" t="str">
        <f t="shared" si="1"/>
        <v>Сильное преимущество</v>
      </c>
      <c r="N10" s="13" t="s">
        <v>697</v>
      </c>
    </row>
    <row r="11" spans="1:14" ht="14.25">
      <c r="A11" s="9" t="s">
        <v>295</v>
      </c>
      <c r="B11" s="9" t="s">
        <v>73</v>
      </c>
      <c r="C11" s="9" t="s">
        <v>624</v>
      </c>
      <c r="D11" s="9" t="s">
        <v>625</v>
      </c>
      <c r="E11" s="9" t="s">
        <v>411</v>
      </c>
      <c r="F11" s="9" t="s">
        <v>411</v>
      </c>
      <c r="G11" s="9" t="s">
        <v>626</v>
      </c>
      <c r="H11" s="9">
        <v>5</v>
      </c>
      <c r="I11" s="9">
        <v>4</v>
      </c>
      <c r="J11" s="9">
        <v>3</v>
      </c>
      <c r="K11" s="9">
        <v>4</v>
      </c>
      <c r="L11" s="9">
        <f t="shared" si="0"/>
        <v>3.95</v>
      </c>
      <c r="M11" s="9" t="str">
        <f t="shared" si="1"/>
        <v>Потенциальное преимущество</v>
      </c>
      <c r="N11" s="10" t="s">
        <v>697</v>
      </c>
    </row>
  </sheetData>
  <mergeCells count="2">
    <mergeCell ref="A1:N1"/>
    <mergeCell ref="A2:N2"/>
  </mergeCells>
  <dataValidations count="4">
    <dataValidation type="list" sqref="E4:E11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4:F11" xr:uid="{00000000-0002-0000-0800-000001000000}">
      <formula1>"Обязательное,Линейное,Привлекательное,Безразличное,Обратное,Неясное"</formula1>
    </dataValidation>
    <dataValidation type="list" sqref="G4:G11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4:K11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4"/>
  <sheetViews>
    <sheetView topLeftCell="A7" zoomScale="60" workbookViewId="0">
      <selection activeCell="F22" sqref="F22"/>
    </sheetView>
  </sheetViews>
  <sheetFormatPr defaultRowHeight="13.5"/>
  <cols>
    <col min="1" max="1" width="52.5625" customWidth="1"/>
    <col min="2" max="3" width="19.3125" customWidth="1"/>
    <col min="4" max="4" width="52.5625" customWidth="1"/>
    <col min="5" max="8" width="19.3125" customWidth="1"/>
    <col min="9" max="9" width="10.5625" customWidth="1"/>
    <col min="10" max="10" width="26.6875" customWidth="1"/>
    <col min="11" max="11" width="20.375" customWidth="1"/>
    <col min="12" max="12" width="18.25" customWidth="1"/>
    <col min="13" max="14" width="10.5625" customWidth="1"/>
  </cols>
  <sheetData>
    <row r="1" spans="1:14" ht="20" customHeight="1">
      <c r="A1" s="37" t="s">
        <v>698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42"/>
    </row>
    <row r="2" spans="1:14" ht="20" customHeight="1">
      <c r="A2" s="30" t="s">
        <v>296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4"/>
    </row>
    <row r="3" spans="1:14" ht="14.25">
      <c r="A3" s="2" t="s">
        <v>297</v>
      </c>
      <c r="B3" s="2" t="s">
        <v>298</v>
      </c>
      <c r="C3" s="2" t="s">
        <v>299</v>
      </c>
      <c r="D3" s="6" t="s">
        <v>70</v>
      </c>
      <c r="E3" s="1"/>
      <c r="F3" s="2" t="s">
        <v>106</v>
      </c>
      <c r="G3" s="2" t="s">
        <v>300</v>
      </c>
      <c r="H3" s="6" t="s">
        <v>301</v>
      </c>
      <c r="I3" s="1"/>
      <c r="J3" s="2" t="s">
        <v>250</v>
      </c>
      <c r="K3" s="2" t="s">
        <v>302</v>
      </c>
      <c r="L3" s="6" t="s">
        <v>303</v>
      </c>
      <c r="M3" s="1"/>
      <c r="N3" s="1"/>
    </row>
    <row r="4" spans="1:14" ht="14.25">
      <c r="A4" s="3" t="s">
        <v>304</v>
      </c>
      <c r="B4" s="19">
        <f>COUNTIF('1_Конкуренты'!$B$4:$B$10,"?*")</f>
        <v>7</v>
      </c>
      <c r="C4" s="8" t="s">
        <v>305</v>
      </c>
      <c r="D4" s="7" t="s">
        <v>676</v>
      </c>
      <c r="E4" s="1"/>
      <c r="F4" s="3" t="s">
        <v>158</v>
      </c>
      <c r="G4" s="8">
        <f>COUNTIF('4_Кано'!$E$4:$E$28,F4)</f>
        <v>5</v>
      </c>
      <c r="H4" s="21">
        <f t="shared" ref="H4:H9" si="0">IFERROR(G4/SUM($G$4:$G$9),"")</f>
        <v>0.2</v>
      </c>
      <c r="I4" s="1"/>
      <c r="J4" s="3" t="s">
        <v>151</v>
      </c>
      <c r="K4" s="8">
        <f>COUNTIF('3_Левитт'!$D$4:$D$81,J4)</f>
        <v>3</v>
      </c>
      <c r="L4" s="45">
        <f>IFERROR(AVERAGEIF('3_Левитт'!$D$4:$D$81,J4,'3_Левитт'!$L$4:$L$81),"")</f>
        <v>2.7766666666666668</v>
      </c>
      <c r="M4" s="1"/>
      <c r="N4" s="1"/>
    </row>
    <row r="5" spans="1:14" ht="14.25">
      <c r="A5" s="3" t="s">
        <v>306</v>
      </c>
      <c r="B5" s="19">
        <f>COUNTIF('2_Карта_сайтов'!$C$4:$C$35,"?*")</f>
        <v>32</v>
      </c>
      <c r="C5" s="8" t="s">
        <v>307</v>
      </c>
      <c r="D5" s="7" t="s">
        <v>308</v>
      </c>
      <c r="E5" s="1"/>
      <c r="F5" s="3" t="s">
        <v>155</v>
      </c>
      <c r="G5" s="8">
        <f>COUNTIF('4_Кано'!$E$4:$E$28,F5)</f>
        <v>11</v>
      </c>
      <c r="H5" s="21">
        <f t="shared" si="0"/>
        <v>0.44</v>
      </c>
      <c r="I5" s="1"/>
      <c r="J5" s="3" t="s">
        <v>157</v>
      </c>
      <c r="K5" s="8">
        <f>COUNTIF('3_Левитт'!$D$4:$D$81,J5)</f>
        <v>11</v>
      </c>
      <c r="L5" s="45">
        <f>IFERROR(AVERAGEIF('3_Левитт'!$D$4:$D$81,J5,'3_Левитт'!$L$4:$L$81),"")</f>
        <v>3.8036363636363641</v>
      </c>
      <c r="M5" s="1"/>
      <c r="N5" s="1"/>
    </row>
    <row r="6" spans="1:14" ht="14.25">
      <c r="A6" s="3" t="s">
        <v>309</v>
      </c>
      <c r="B6" s="19">
        <f>COUNTIF('3_Левитт'!$E$4:$E$81,"?*")</f>
        <v>78</v>
      </c>
      <c r="C6" s="8" t="s">
        <v>310</v>
      </c>
      <c r="D6" s="7" t="s">
        <v>311</v>
      </c>
      <c r="E6" s="1"/>
      <c r="F6" s="3" t="s">
        <v>174</v>
      </c>
      <c r="G6" s="8">
        <f>COUNTIF('4_Кано'!$E$4:$E$28,F6)</f>
        <v>5</v>
      </c>
      <c r="H6" s="21">
        <f t="shared" si="0"/>
        <v>0.2</v>
      </c>
      <c r="I6" s="1"/>
      <c r="J6" s="3" t="s">
        <v>161</v>
      </c>
      <c r="K6" s="8">
        <f>COUNTIF('3_Левитт'!$D$4:$D$81,J6)</f>
        <v>21</v>
      </c>
      <c r="L6" s="45">
        <f>IFERROR(AVERAGEIF('3_Левитт'!$D$4:$D$81,J6,'3_Левитт'!$L$4:$L$81),"")</f>
        <v>3.3095238095238093</v>
      </c>
      <c r="M6" s="1"/>
      <c r="N6" s="1"/>
    </row>
    <row r="7" spans="1:14" ht="28.5">
      <c r="A7" s="3" t="s">
        <v>312</v>
      </c>
      <c r="B7" s="19">
        <f>COUNTIF('4_Кано'!$B$4:$B$28,"?*")</f>
        <v>25</v>
      </c>
      <c r="C7" s="8" t="s">
        <v>313</v>
      </c>
      <c r="D7" s="7" t="s">
        <v>314</v>
      </c>
      <c r="E7" s="1"/>
      <c r="F7" s="3" t="s">
        <v>315</v>
      </c>
      <c r="G7" s="8">
        <f>COUNTIF('4_Кано'!$E$4:$E$28,F7)</f>
        <v>4</v>
      </c>
      <c r="H7" s="21">
        <f t="shared" si="0"/>
        <v>0.16</v>
      </c>
      <c r="I7" s="1"/>
      <c r="J7" s="3" t="s">
        <v>168</v>
      </c>
      <c r="K7" s="8">
        <f>COUNTIF('3_Левитт'!$D$4:$D$81,J7)</f>
        <v>35</v>
      </c>
      <c r="L7" s="45">
        <f>IFERROR(AVERAGEIF('3_Левитт'!$D$4:$D$81,J7,'3_Левитт'!$L$4:$L$81),"")</f>
        <v>2.371142857142857</v>
      </c>
      <c r="M7" s="1"/>
      <c r="N7" s="1"/>
    </row>
    <row r="8" spans="1:14" ht="14.25">
      <c r="A8" s="3" t="s">
        <v>316</v>
      </c>
      <c r="B8" s="19">
        <f>COUNTIF('7_Стандарт_рынка'!$I$4:$I$28,"Рыночный стандарт")</f>
        <v>3</v>
      </c>
      <c r="C8" s="8" t="s">
        <v>317</v>
      </c>
      <c r="D8" s="7" t="s">
        <v>318</v>
      </c>
      <c r="E8" s="1"/>
      <c r="F8" s="3" t="s">
        <v>319</v>
      </c>
      <c r="G8" s="8">
        <f>COUNTIF('4_Кано'!$E$4:$E$28,F8)</f>
        <v>0</v>
      </c>
      <c r="H8" s="21">
        <f t="shared" si="0"/>
        <v>0</v>
      </c>
      <c r="I8" s="1"/>
      <c r="J8" s="4" t="s">
        <v>173</v>
      </c>
      <c r="K8" s="9">
        <f>COUNTIF('3_Левитт'!$D$4:$D$81,J8)</f>
        <v>8</v>
      </c>
      <c r="L8" s="46">
        <f>IFERROR(AVERAGEIF('3_Левитт'!$D$4:$D$81,J8,'3_Левитт'!$L$4:$L$81),"")</f>
        <v>2.3112500000000002</v>
      </c>
      <c r="M8" s="1"/>
      <c r="N8" s="1"/>
    </row>
    <row r="9" spans="1:14" ht="14.25">
      <c r="A9" s="3" t="s">
        <v>320</v>
      </c>
      <c r="B9" s="19">
        <f>COUNTIF('7_Стандарт_рынка'!$I$4:$I$28,"Зона дифференциации")</f>
        <v>3</v>
      </c>
      <c r="C9" s="8" t="s">
        <v>317</v>
      </c>
      <c r="D9" s="7" t="s">
        <v>321</v>
      </c>
      <c r="E9" s="1"/>
      <c r="F9" s="4" t="s">
        <v>322</v>
      </c>
      <c r="G9" s="9">
        <f>COUNTIF('4_Кано'!$E$4:$E$28,F9)</f>
        <v>0</v>
      </c>
      <c r="H9" s="18">
        <f t="shared" si="0"/>
        <v>0</v>
      </c>
      <c r="I9" s="1"/>
      <c r="J9" s="1"/>
      <c r="K9" s="1"/>
      <c r="L9" s="1"/>
      <c r="M9" s="1"/>
      <c r="N9" s="1"/>
    </row>
    <row r="10" spans="1:14" ht="14.25">
      <c r="A10" s="4" t="s">
        <v>323</v>
      </c>
      <c r="B10" s="20">
        <f>COUNTIF('8_Преимущества'!$M$4:$M$11,"Сильное преимущество")</f>
        <v>3</v>
      </c>
      <c r="C10" s="9" t="s">
        <v>317</v>
      </c>
      <c r="D10" s="5" t="s">
        <v>324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14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4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14.25">
      <c r="A13" s="2" t="s">
        <v>325</v>
      </c>
      <c r="B13" s="2"/>
      <c r="C13" s="2"/>
      <c r="D13" s="2"/>
      <c r="E13" s="2"/>
      <c r="F13" s="2"/>
      <c r="G13" s="2"/>
      <c r="H13" s="2"/>
      <c r="I13" s="1"/>
      <c r="J13" s="1"/>
      <c r="K13" s="1"/>
      <c r="L13" s="1"/>
    </row>
    <row r="14" spans="1:14" ht="14.25">
      <c r="A14" s="2" t="str">
        <f>'1_Конкуренты'!$B$4</f>
        <v>PerfectXL</v>
      </c>
      <c r="B14" s="2" t="str">
        <f>'1_Конкуренты'!$B$5</f>
        <v>Arixcel</v>
      </c>
      <c r="C14" s="2" t="str">
        <f>'1_Конкуренты'!$B$6</f>
        <v>Operis</v>
      </c>
      <c r="D14" s="2" t="str">
        <f>'1_Конкуренты'!$B$7</f>
        <v>Shortcut</v>
      </c>
      <c r="E14" s="2" t="str">
        <f>'1_Конкуренты'!$B$8</f>
        <v>Numerous.ai</v>
      </c>
      <c r="F14" s="2" t="str">
        <f>'1_Конкуренты'!$B$9</f>
        <v>Datarails</v>
      </c>
      <c r="G14" s="2" t="str">
        <f>'1_Конкуренты'!$B$10</f>
        <v>DataSnipper</v>
      </c>
      <c r="H14" s="6"/>
      <c r="I14" s="1"/>
      <c r="J14" s="1"/>
      <c r="K14" s="1"/>
      <c r="L14" s="1"/>
      <c r="M14" s="1"/>
      <c r="N14" s="1"/>
    </row>
    <row r="15" spans="1:14" ht="14.25">
      <c r="A15" s="47">
        <f>'6_Сравнение'!E29</f>
        <v>3.62</v>
      </c>
      <c r="B15" s="47">
        <f>'6_Сравнение'!F29</f>
        <v>2.48</v>
      </c>
      <c r="C15" s="47">
        <f>'6_Сравнение'!G29</f>
        <v>2.34</v>
      </c>
      <c r="D15" s="47">
        <f>'6_Сравнение'!H29</f>
        <v>4.09</v>
      </c>
      <c r="E15" s="47">
        <f>'6_Сравнение'!I29</f>
        <v>3.32</v>
      </c>
      <c r="F15" s="47">
        <f>'6_Сравнение'!J29</f>
        <v>3.54</v>
      </c>
      <c r="G15" s="47">
        <f>'6_Сравнение'!K29</f>
        <v>3.8</v>
      </c>
      <c r="H15" s="22"/>
      <c r="I15" s="1"/>
      <c r="J15" s="1"/>
      <c r="K15" s="1"/>
      <c r="L15" s="1"/>
      <c r="M15" s="1"/>
      <c r="N15" s="1"/>
    </row>
    <row r="16" spans="1:14" ht="14.25">
      <c r="A16" s="4" t="str">
        <f>'6_Сравнение'!E30</f>
        <v>Сильный уровень</v>
      </c>
      <c r="B16" s="9" t="str">
        <f>'6_Сравнение'!F30</f>
        <v>Слабый уровень</v>
      </c>
      <c r="C16" s="9" t="str">
        <f>'6_Сравнение'!G30</f>
        <v>Слабый уровень</v>
      </c>
      <c r="D16" s="9" t="str">
        <f>'6_Сравнение'!H30</f>
        <v>Сильный уровень</v>
      </c>
      <c r="E16" s="9" t="str">
        <f>'6_Сравнение'!I30</f>
        <v>Средний уровень</v>
      </c>
      <c r="F16" s="9" t="str">
        <f>'6_Сравнение'!J30</f>
        <v>Сильный уровень</v>
      </c>
      <c r="G16" s="9" t="str">
        <f>'6_Сравнение'!K30</f>
        <v>Сильный уровень</v>
      </c>
      <c r="H16" s="10"/>
      <c r="I16" s="1"/>
      <c r="J16" s="1"/>
      <c r="K16" s="1"/>
      <c r="L16" s="1"/>
      <c r="M16" s="1"/>
      <c r="N16" s="1"/>
    </row>
    <row r="17" spans="1:14" ht="14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4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4.25">
      <c r="A19" s="2" t="s">
        <v>326</v>
      </c>
    </row>
    <row r="20" spans="1:14" ht="48" customHeight="1">
      <c r="A20" s="11" t="s">
        <v>327</v>
      </c>
      <c r="B20" s="41" t="s">
        <v>700</v>
      </c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</row>
    <row r="21" spans="1:14" ht="48" customHeight="1">
      <c r="A21" s="11" t="s">
        <v>328</v>
      </c>
      <c r="B21" s="41" t="s">
        <v>701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</row>
    <row r="22" spans="1:14" ht="48" customHeight="1">
      <c r="A22" s="11" t="s">
        <v>329</v>
      </c>
      <c r="B22" s="41" t="s">
        <v>702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</row>
    <row r="23" spans="1:14" ht="48" customHeight="1">
      <c r="A23" s="11" t="s">
        <v>330</v>
      </c>
      <c r="B23" s="41" t="s">
        <v>704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</row>
    <row r="24" spans="1:14" ht="48" customHeight="1">
      <c r="A24" s="12" t="s">
        <v>331</v>
      </c>
      <c r="B24" s="41" t="s">
        <v>703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</row>
  </sheetData>
  <mergeCells count="7">
    <mergeCell ref="B23:N23"/>
    <mergeCell ref="B24:N24"/>
    <mergeCell ref="A1:L1"/>
    <mergeCell ref="A2:L2"/>
    <mergeCell ref="B20:N20"/>
    <mergeCell ref="B21:N21"/>
    <mergeCell ref="B22:N2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3"/>
  <sheetViews>
    <sheetView tabSelected="1" workbookViewId="0">
      <selection activeCell="E5" sqref="E5"/>
    </sheetView>
  </sheetViews>
  <sheetFormatPr defaultRowHeight="13.5"/>
  <cols>
    <col min="1" max="1" width="20.375" style="24" customWidth="1"/>
    <col min="2" max="2" width="26.6875" style="24" customWidth="1"/>
    <col min="3" max="3" width="52.5625" style="24" customWidth="1"/>
    <col min="4" max="8" width="10.5625" style="24" customWidth="1"/>
    <col min="9" max="16384" width="9" style="24"/>
  </cols>
  <sheetData>
    <row r="1" spans="1:8" ht="20" customHeight="1">
      <c r="A1" s="37" t="s">
        <v>699</v>
      </c>
      <c r="B1" s="38"/>
      <c r="C1" s="42"/>
    </row>
    <row r="2" spans="1:8" ht="20" customHeight="1">
      <c r="A2" s="30" t="s">
        <v>332</v>
      </c>
      <c r="B2" s="43"/>
      <c r="C2" s="44"/>
    </row>
    <row r="3" spans="1:8" ht="14.25">
      <c r="A3" s="2" t="s">
        <v>333</v>
      </c>
      <c r="B3" s="2" t="s">
        <v>298</v>
      </c>
      <c r="C3" s="6" t="s">
        <v>334</v>
      </c>
      <c r="D3" s="23"/>
      <c r="E3" s="23"/>
      <c r="F3" s="23"/>
      <c r="G3" s="23"/>
      <c r="H3" s="23"/>
    </row>
    <row r="4" spans="1:8" ht="14.25">
      <c r="A4" s="8" t="s">
        <v>335</v>
      </c>
      <c r="B4" s="8" t="s">
        <v>151</v>
      </c>
      <c r="C4" s="13" t="s">
        <v>336</v>
      </c>
      <c r="D4" s="23"/>
      <c r="E4" s="23"/>
      <c r="F4" s="23"/>
      <c r="G4" s="23"/>
      <c r="H4" s="23"/>
    </row>
    <row r="5" spans="1:8" ht="28.5">
      <c r="A5" s="8" t="s">
        <v>335</v>
      </c>
      <c r="B5" s="8" t="s">
        <v>157</v>
      </c>
      <c r="C5" s="13" t="s">
        <v>677</v>
      </c>
      <c r="D5" s="23"/>
      <c r="E5" s="23"/>
      <c r="F5" s="23"/>
      <c r="G5" s="23"/>
      <c r="H5" s="23"/>
    </row>
    <row r="6" spans="1:8" ht="14.25">
      <c r="A6" s="8" t="s">
        <v>335</v>
      </c>
      <c r="B6" s="8" t="s">
        <v>161</v>
      </c>
      <c r="C6" s="13" t="s">
        <v>337</v>
      </c>
      <c r="D6" s="23"/>
      <c r="E6" s="23"/>
      <c r="F6" s="23"/>
      <c r="G6" s="23"/>
      <c r="H6" s="23"/>
    </row>
    <row r="7" spans="1:8" ht="14.25">
      <c r="A7" s="8" t="s">
        <v>335</v>
      </c>
      <c r="B7" s="8" t="s">
        <v>168</v>
      </c>
      <c r="C7" s="13" t="s">
        <v>338</v>
      </c>
      <c r="D7" s="23"/>
      <c r="E7" s="23"/>
      <c r="F7" s="23"/>
      <c r="G7" s="23"/>
      <c r="H7" s="23"/>
    </row>
    <row r="8" spans="1:8" ht="28.5">
      <c r="A8" s="8" t="s">
        <v>335</v>
      </c>
      <c r="B8" s="8" t="s">
        <v>173</v>
      </c>
      <c r="C8" s="13" t="s">
        <v>339</v>
      </c>
      <c r="D8" s="23"/>
      <c r="E8" s="23"/>
      <c r="F8" s="23"/>
      <c r="G8" s="23"/>
      <c r="H8" s="23"/>
    </row>
    <row r="9" spans="1:8" ht="28.5">
      <c r="A9" s="8" t="s">
        <v>340</v>
      </c>
      <c r="B9" s="8" t="s">
        <v>158</v>
      </c>
      <c r="C9" s="13" t="s">
        <v>341</v>
      </c>
      <c r="D9" s="23"/>
      <c r="E9" s="23"/>
      <c r="F9" s="23"/>
      <c r="G9" s="23"/>
      <c r="H9" s="23"/>
    </row>
    <row r="10" spans="1:8" ht="28.5">
      <c r="A10" s="8" t="s">
        <v>340</v>
      </c>
      <c r="B10" s="8" t="s">
        <v>155</v>
      </c>
      <c r="C10" s="13" t="s">
        <v>342</v>
      </c>
      <c r="D10" s="23"/>
      <c r="E10" s="23"/>
      <c r="F10" s="23"/>
      <c r="G10" s="23"/>
      <c r="H10" s="23"/>
    </row>
    <row r="11" spans="1:8" ht="28.5">
      <c r="A11" s="8" t="s">
        <v>340</v>
      </c>
      <c r="B11" s="8" t="s">
        <v>174</v>
      </c>
      <c r="C11" s="13" t="s">
        <v>343</v>
      </c>
      <c r="D11" s="23"/>
      <c r="E11" s="23"/>
      <c r="F11" s="23"/>
      <c r="G11" s="23"/>
      <c r="H11" s="23"/>
    </row>
    <row r="12" spans="1:8" ht="14.25">
      <c r="A12" s="8" t="s">
        <v>340</v>
      </c>
      <c r="B12" s="8" t="s">
        <v>315</v>
      </c>
      <c r="C12" s="13" t="s">
        <v>344</v>
      </c>
      <c r="D12" s="23"/>
      <c r="E12" s="23"/>
      <c r="F12" s="23"/>
      <c r="G12" s="23"/>
      <c r="H12" s="23"/>
    </row>
    <row r="13" spans="1:8" ht="14.25">
      <c r="A13" s="8" t="s">
        <v>340</v>
      </c>
      <c r="B13" s="8" t="s">
        <v>319</v>
      </c>
      <c r="C13" s="13" t="s">
        <v>345</v>
      </c>
      <c r="D13" s="23"/>
      <c r="E13" s="23"/>
      <c r="F13" s="23"/>
      <c r="G13" s="23"/>
      <c r="H13" s="23"/>
    </row>
    <row r="14" spans="1:8" ht="14.25">
      <c r="A14" s="8" t="s">
        <v>340</v>
      </c>
      <c r="B14" s="8" t="s">
        <v>322</v>
      </c>
      <c r="C14" s="13" t="s">
        <v>346</v>
      </c>
      <c r="D14" s="23"/>
      <c r="E14" s="23"/>
      <c r="F14" s="23"/>
      <c r="G14" s="23"/>
      <c r="H14" s="23"/>
    </row>
    <row r="15" spans="1:8" ht="14.25">
      <c r="A15" s="8" t="s">
        <v>347</v>
      </c>
      <c r="B15" s="8" t="s">
        <v>348</v>
      </c>
      <c r="C15" s="13" t="s">
        <v>349</v>
      </c>
      <c r="D15" s="23"/>
      <c r="E15" s="23"/>
      <c r="F15" s="23"/>
      <c r="G15" s="23"/>
      <c r="H15" s="23"/>
    </row>
    <row r="16" spans="1:8" ht="14.25">
      <c r="A16" s="8" t="s">
        <v>347</v>
      </c>
      <c r="B16" s="8" t="s">
        <v>350</v>
      </c>
      <c r="C16" s="13" t="s">
        <v>351</v>
      </c>
      <c r="D16" s="23"/>
      <c r="E16" s="23"/>
      <c r="F16" s="23"/>
      <c r="G16" s="23"/>
      <c r="H16" s="23"/>
    </row>
    <row r="17" spans="1:8" ht="14.25">
      <c r="A17" s="8" t="s">
        <v>347</v>
      </c>
      <c r="B17" s="8" t="s">
        <v>352</v>
      </c>
      <c r="C17" s="13" t="s">
        <v>353</v>
      </c>
      <c r="D17" s="23"/>
      <c r="E17" s="23"/>
      <c r="F17" s="23"/>
      <c r="G17" s="23"/>
      <c r="H17" s="23"/>
    </row>
    <row r="18" spans="1:8" ht="14.25">
      <c r="A18" s="8" t="s">
        <v>347</v>
      </c>
      <c r="B18" s="8" t="s">
        <v>354</v>
      </c>
      <c r="C18" s="13" t="s">
        <v>355</v>
      </c>
      <c r="D18" s="23"/>
      <c r="E18" s="23"/>
      <c r="F18" s="23"/>
      <c r="G18" s="23"/>
      <c r="H18" s="23"/>
    </row>
    <row r="19" spans="1:8" ht="14.25">
      <c r="A19" s="8" t="s">
        <v>347</v>
      </c>
      <c r="B19" s="8" t="s">
        <v>356</v>
      </c>
      <c r="C19" s="13" t="s">
        <v>357</v>
      </c>
      <c r="D19" s="23"/>
      <c r="E19" s="23"/>
      <c r="F19" s="23"/>
      <c r="G19" s="23"/>
      <c r="H19" s="23"/>
    </row>
    <row r="20" spans="1:8" ht="14.25">
      <c r="A20" s="8" t="s">
        <v>347</v>
      </c>
      <c r="B20" s="8" t="s">
        <v>358</v>
      </c>
      <c r="C20" s="13" t="s">
        <v>359</v>
      </c>
      <c r="D20" s="23"/>
      <c r="E20" s="23"/>
      <c r="F20" s="23"/>
      <c r="G20" s="23"/>
      <c r="H20" s="23"/>
    </row>
    <row r="21" spans="1:8" ht="28.5">
      <c r="A21" s="8" t="s">
        <v>347</v>
      </c>
      <c r="B21" s="8" t="s">
        <v>360</v>
      </c>
      <c r="C21" s="13" t="s">
        <v>361</v>
      </c>
      <c r="D21" s="23"/>
      <c r="E21" s="23"/>
      <c r="F21" s="23"/>
      <c r="G21" s="23"/>
      <c r="H21" s="23"/>
    </row>
    <row r="22" spans="1:8" ht="14.25">
      <c r="A22" s="8" t="s">
        <v>347</v>
      </c>
      <c r="B22" s="8" t="s">
        <v>362</v>
      </c>
      <c r="C22" s="13" t="s">
        <v>363</v>
      </c>
      <c r="D22" s="23"/>
      <c r="E22" s="23"/>
      <c r="F22" s="23"/>
      <c r="G22" s="23"/>
      <c r="H22" s="23"/>
    </row>
    <row r="23" spans="1:8" ht="28.5">
      <c r="A23" s="9" t="s">
        <v>347</v>
      </c>
      <c r="B23" s="9" t="s">
        <v>364</v>
      </c>
      <c r="C23" s="10" t="s">
        <v>365</v>
      </c>
      <c r="D23" s="23"/>
      <c r="E23" s="23"/>
      <c r="F23" s="23"/>
      <c r="G23" s="23"/>
      <c r="H23" s="23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Методика</vt:lpstr>
      <vt:lpstr>1_Конкуренты</vt:lpstr>
      <vt:lpstr>2_Карта_сайтов</vt:lpstr>
      <vt:lpstr>3_Левитт</vt:lpstr>
      <vt:lpstr>4_Кано</vt:lpstr>
      <vt:lpstr>5_Матрица_товара</vt:lpstr>
      <vt:lpstr>6_Сравнение</vt:lpstr>
      <vt:lpstr>7_Стандарт_рынка</vt:lpstr>
      <vt:lpstr>8_Преимущества</vt:lpstr>
      <vt:lpstr>9_Дашборд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2026-10-07T12:13:43Z</dcterms:modified>
</cp:coreProperties>
</file>