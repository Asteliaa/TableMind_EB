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project-continuation-447426\ЛР1_Спрос_и_границы_рынка\Excel\"/>
    </mc:Choice>
  </mc:AlternateContent>
  <xr:revisionPtr revIDLastSave="0" documentId="13_ncr:1_{53019C84-B25E-4509-8A0B-886479A7B58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3" i="3" l="1"/>
  <c r="D63" i="3"/>
  <c r="A63" i="3"/>
  <c r="E62" i="3"/>
  <c r="D62" i="3"/>
  <c r="A62" i="3"/>
  <c r="E61" i="3"/>
  <c r="D61" i="3"/>
  <c r="A61" i="3"/>
  <c r="A68" i="6" s="1"/>
  <c r="E60" i="3"/>
  <c r="D60" i="3"/>
  <c r="A60" i="3"/>
  <c r="A67" i="6" s="1"/>
  <c r="E59" i="3"/>
  <c r="D59" i="3"/>
  <c r="A59" i="3"/>
  <c r="A66" i="6" s="1"/>
  <c r="E58" i="3"/>
  <c r="D58" i="3"/>
  <c r="A58" i="3"/>
  <c r="E57" i="3"/>
  <c r="D57" i="3"/>
  <c r="C57" i="3"/>
  <c r="B57" i="3"/>
  <c r="A57" i="3"/>
  <c r="A64" i="6" s="1"/>
  <c r="E56" i="3"/>
  <c r="D56" i="3"/>
  <c r="A56" i="3"/>
  <c r="A63" i="6" s="1"/>
  <c r="E55" i="3"/>
  <c r="D55" i="3"/>
  <c r="A55" i="3"/>
  <c r="E54" i="3"/>
  <c r="D54" i="3"/>
  <c r="A54" i="3"/>
  <c r="E53" i="3"/>
  <c r="D53" i="3"/>
  <c r="A53" i="3"/>
  <c r="A60" i="6" s="1"/>
  <c r="E52" i="3"/>
  <c r="D52" i="3"/>
  <c r="A52" i="3"/>
  <c r="A59" i="6" s="1"/>
  <c r="E51" i="3"/>
  <c r="D51" i="3"/>
  <c r="A51" i="3"/>
  <c r="A58" i="6" s="1"/>
  <c r="E50" i="3"/>
  <c r="D50" i="3"/>
  <c r="A50" i="3"/>
  <c r="E49" i="3"/>
  <c r="D49" i="3"/>
  <c r="A49" i="3"/>
  <c r="A56" i="6" s="1"/>
  <c r="E48" i="3"/>
  <c r="D48" i="3"/>
  <c r="A48" i="3"/>
  <c r="A55" i="6" s="1"/>
  <c r="E47" i="3"/>
  <c r="D47" i="3"/>
  <c r="A47" i="3"/>
  <c r="C47" i="3" s="1"/>
  <c r="E46" i="3"/>
  <c r="D46" i="3"/>
  <c r="A46" i="3"/>
  <c r="E45" i="3"/>
  <c r="D45" i="3"/>
  <c r="A45" i="3"/>
  <c r="A52" i="6" s="1"/>
  <c r="E44" i="3"/>
  <c r="D44" i="3"/>
  <c r="A44" i="3"/>
  <c r="A51" i="6" s="1"/>
  <c r="E43" i="3"/>
  <c r="D43" i="3"/>
  <c r="A43" i="3"/>
  <c r="A50" i="6" s="1"/>
  <c r="E42" i="3"/>
  <c r="D42" i="3"/>
  <c r="A42" i="3"/>
  <c r="E41" i="3"/>
  <c r="D41" i="3"/>
  <c r="A41" i="3"/>
  <c r="A48" i="6" s="1"/>
  <c r="E40" i="3"/>
  <c r="D40" i="3"/>
  <c r="A40" i="3"/>
  <c r="A47" i="6" s="1"/>
  <c r="E39" i="3"/>
  <c r="D39" i="3"/>
  <c r="A39" i="3"/>
  <c r="E38" i="3"/>
  <c r="D38" i="3"/>
  <c r="A38" i="3"/>
  <c r="E37" i="3"/>
  <c r="D37" i="3"/>
  <c r="A37" i="3"/>
  <c r="C37" i="3" s="1"/>
  <c r="E36" i="3"/>
  <c r="D36" i="3"/>
  <c r="A36" i="3"/>
  <c r="A43" i="6" s="1"/>
  <c r="E35" i="3"/>
  <c r="D35" i="3"/>
  <c r="A35" i="3"/>
  <c r="A42" i="6" s="1"/>
  <c r="E34" i="3"/>
  <c r="D34" i="3"/>
  <c r="A34" i="3"/>
  <c r="E33" i="3"/>
  <c r="D33" i="3"/>
  <c r="A33" i="3"/>
  <c r="C33" i="3" s="1"/>
  <c r="E32" i="3"/>
  <c r="D32" i="3"/>
  <c r="A32" i="3"/>
  <c r="A39" i="6" s="1"/>
  <c r="E31" i="3"/>
  <c r="D31" i="3"/>
  <c r="A31" i="3"/>
  <c r="C31" i="3" s="1"/>
  <c r="E30" i="3"/>
  <c r="D30" i="3"/>
  <c r="A30" i="3"/>
  <c r="E29" i="3"/>
  <c r="D29" i="3"/>
  <c r="A29" i="3"/>
  <c r="B29" i="3" s="1"/>
  <c r="E28" i="3"/>
  <c r="D28" i="3"/>
  <c r="A28" i="3"/>
  <c r="A35" i="6" s="1"/>
  <c r="E27" i="3"/>
  <c r="D27" i="3"/>
  <c r="A27" i="3"/>
  <c r="A34" i="6" s="1"/>
  <c r="E26" i="3"/>
  <c r="D26" i="3"/>
  <c r="A26" i="3"/>
  <c r="E25" i="3"/>
  <c r="D25" i="3"/>
  <c r="A25" i="3"/>
  <c r="A32" i="6" s="1"/>
  <c r="E24" i="3"/>
  <c r="D24" i="3"/>
  <c r="A24" i="3"/>
  <c r="A31" i="6" s="1"/>
  <c r="E23" i="3"/>
  <c r="D23" i="3"/>
  <c r="A23" i="3"/>
  <c r="E22" i="3"/>
  <c r="D22" i="3"/>
  <c r="A22" i="3"/>
  <c r="E21" i="3"/>
  <c r="D21" i="3"/>
  <c r="A21" i="3"/>
  <c r="B21" i="3" s="1"/>
  <c r="E20" i="3"/>
  <c r="D20" i="3"/>
  <c r="A20" i="3"/>
  <c r="A27" i="6" s="1"/>
  <c r="E19" i="3"/>
  <c r="D19" i="3"/>
  <c r="A19" i="3"/>
  <c r="A26" i="6" s="1"/>
  <c r="E18" i="3"/>
  <c r="D18" i="3"/>
  <c r="A18" i="3"/>
  <c r="E17" i="3"/>
  <c r="D17" i="3"/>
  <c r="A17" i="3"/>
  <c r="A24" i="6" s="1"/>
  <c r="E16" i="3"/>
  <c r="D16" i="3"/>
  <c r="A16" i="3"/>
  <c r="A23" i="6" s="1"/>
  <c r="E15" i="3"/>
  <c r="D15" i="3"/>
  <c r="A15" i="3"/>
  <c r="E14" i="3"/>
  <c r="D14" i="3"/>
  <c r="A14" i="3"/>
  <c r="E13" i="3"/>
  <c r="D13" i="3"/>
  <c r="A13" i="3"/>
  <c r="A20" i="6" s="1"/>
  <c r="E12" i="3"/>
  <c r="D12" i="3"/>
  <c r="A12" i="3"/>
  <c r="A19" i="6" s="1"/>
  <c r="E11" i="3"/>
  <c r="D11" i="3"/>
  <c r="A11" i="3"/>
  <c r="A18" i="6" s="1"/>
  <c r="E10" i="3"/>
  <c r="D10" i="3"/>
  <c r="A10" i="3"/>
  <c r="E9" i="3"/>
  <c r="D9" i="3"/>
  <c r="A9" i="3"/>
  <c r="C9" i="3" s="1"/>
  <c r="E8" i="3"/>
  <c r="D8" i="3"/>
  <c r="A8" i="3"/>
  <c r="A15" i="6" s="1"/>
  <c r="E7" i="3"/>
  <c r="D7" i="3"/>
  <c r="A7" i="3"/>
  <c r="E6" i="3"/>
  <c r="D6" i="3"/>
  <c r="A6" i="3"/>
  <c r="E5" i="3"/>
  <c r="D5" i="3"/>
  <c r="A5" i="3"/>
  <c r="B5" i="3" s="1"/>
  <c r="E4" i="3"/>
  <c r="D4" i="3"/>
  <c r="A4" i="3"/>
  <c r="A11" i="6" s="1"/>
  <c r="F61" i="3" l="1"/>
  <c r="F62" i="3"/>
  <c r="F63" i="3"/>
  <c r="B53" i="3"/>
  <c r="C27" i="3"/>
  <c r="C53" i="3"/>
  <c r="A12" i="6"/>
  <c r="A16" i="6"/>
  <c r="G63" i="3"/>
  <c r="B70" i="6" s="1"/>
  <c r="F57" i="3"/>
  <c r="F60" i="3"/>
  <c r="F58" i="3"/>
  <c r="F59" i="3"/>
  <c r="G59" i="3" s="1"/>
  <c r="B66" i="6" s="1"/>
  <c r="B61" i="3"/>
  <c r="C61" i="3"/>
  <c r="C60" i="3"/>
  <c r="F53" i="3"/>
  <c r="G53" i="3" s="1"/>
  <c r="F54" i="3"/>
  <c r="F56" i="3"/>
  <c r="G56" i="3" s="1"/>
  <c r="B63" i="6" s="1"/>
  <c r="F55" i="3"/>
  <c r="G55" i="3" s="1"/>
  <c r="B62" i="6" s="1"/>
  <c r="F50" i="3"/>
  <c r="G50" i="3" s="1"/>
  <c r="B57" i="6" s="1"/>
  <c r="F52" i="3"/>
  <c r="G52" i="3" s="1"/>
  <c r="B59" i="6" s="1"/>
  <c r="F51" i="3"/>
  <c r="G51" i="3" s="1"/>
  <c r="B58" i="6" s="1"/>
  <c r="B52" i="3"/>
  <c r="C51" i="3"/>
  <c r="B51" i="3"/>
  <c r="F46" i="3"/>
  <c r="G46" i="3" s="1"/>
  <c r="F48" i="3"/>
  <c r="G48" i="3" s="1"/>
  <c r="B55" i="6" s="1"/>
  <c r="F49" i="3"/>
  <c r="G49" i="3" s="1"/>
  <c r="B56" i="6" s="1"/>
  <c r="B49" i="3"/>
  <c r="C49" i="3"/>
  <c r="F47" i="3"/>
  <c r="G47" i="3" s="1"/>
  <c r="B54" i="6" s="1"/>
  <c r="F43" i="3"/>
  <c r="G43" i="3" s="1"/>
  <c r="B50" i="6" s="1"/>
  <c r="F45" i="3"/>
  <c r="G45" i="3" s="1"/>
  <c r="F42" i="3"/>
  <c r="G42" i="3" s="1"/>
  <c r="F44" i="3"/>
  <c r="G44" i="3" s="1"/>
  <c r="B45" i="3"/>
  <c r="C45" i="3"/>
  <c r="C44" i="3"/>
  <c r="F40" i="3"/>
  <c r="G40" i="3" s="1"/>
  <c r="B47" i="6" s="1"/>
  <c r="F41" i="3"/>
  <c r="G41" i="3" s="1"/>
  <c r="B41" i="3"/>
  <c r="C41" i="3"/>
  <c r="B40" i="3"/>
  <c r="B37" i="3"/>
  <c r="A44" i="6"/>
  <c r="B35" i="3"/>
  <c r="C35" i="3"/>
  <c r="A40" i="6"/>
  <c r="B33" i="3"/>
  <c r="A36" i="6"/>
  <c r="C29" i="3"/>
  <c r="C28" i="3"/>
  <c r="B27" i="3"/>
  <c r="C25" i="3"/>
  <c r="B25" i="3"/>
  <c r="A28" i="6"/>
  <c r="C21" i="3"/>
  <c r="B20" i="3"/>
  <c r="B19" i="3"/>
  <c r="C19" i="3"/>
  <c r="C17" i="3"/>
  <c r="B17" i="3"/>
  <c r="C13" i="3"/>
  <c r="B13" i="3"/>
  <c r="C12" i="3"/>
  <c r="B9" i="3"/>
  <c r="B8" i="3"/>
  <c r="C8" i="3"/>
  <c r="F39" i="3"/>
  <c r="G39" i="3" s="1"/>
  <c r="B46" i="6" s="1"/>
  <c r="F24" i="3"/>
  <c r="G24" i="3" s="1"/>
  <c r="G61" i="3"/>
  <c r="C5" i="3"/>
  <c r="F37" i="3"/>
  <c r="G37" i="3" s="1"/>
  <c r="B44" i="6" s="1"/>
  <c r="G57" i="3"/>
  <c r="F21" i="3"/>
  <c r="G21" i="3" s="1"/>
  <c r="B28" i="6" s="1"/>
  <c r="F34" i="3"/>
  <c r="G34" i="3" s="1"/>
  <c r="B41" i="6" s="1"/>
  <c r="F38" i="3"/>
  <c r="G38" i="3" s="1"/>
  <c r="F27" i="3"/>
  <c r="G27" i="3" s="1"/>
  <c r="B34" i="6" s="1"/>
  <c r="F30" i="3"/>
  <c r="G30" i="3" s="1"/>
  <c r="B37" i="6" s="1"/>
  <c r="G54" i="3"/>
  <c r="B61" i="6" s="1"/>
  <c r="G58" i="3"/>
  <c r="B65" i="6" s="1"/>
  <c r="F22" i="3"/>
  <c r="G22" i="3" s="1"/>
  <c r="F11" i="3"/>
  <c r="G11" i="3" s="1"/>
  <c r="F10" i="3"/>
  <c r="G10" i="3" s="1"/>
  <c r="F13" i="3"/>
  <c r="G13" i="3" s="1"/>
  <c r="M13" i="3" s="1"/>
  <c r="F14" i="3"/>
  <c r="G14" i="3" s="1"/>
  <c r="F6" i="3"/>
  <c r="G6" i="3" s="1"/>
  <c r="C4" i="3"/>
  <c r="G62" i="3"/>
  <c r="F15" i="3"/>
  <c r="G15" i="3" s="1"/>
  <c r="F18" i="3"/>
  <c r="G18" i="3" s="1"/>
  <c r="B23" i="3"/>
  <c r="A30" i="6"/>
  <c r="B32" i="3"/>
  <c r="B55" i="3"/>
  <c r="A62" i="6"/>
  <c r="F12" i="3"/>
  <c r="G12" i="3" s="1"/>
  <c r="M12" i="3" s="1"/>
  <c r="C23" i="3"/>
  <c r="C26" i="3"/>
  <c r="B26" i="3"/>
  <c r="A33" i="6"/>
  <c r="C32" i="3"/>
  <c r="C55" i="3"/>
  <c r="C58" i="3"/>
  <c r="B58" i="3"/>
  <c r="A65" i="6"/>
  <c r="C46" i="3"/>
  <c r="B46" i="3"/>
  <c r="A53" i="6"/>
  <c r="B11" i="3"/>
  <c r="C20" i="3"/>
  <c r="F32" i="3"/>
  <c r="G32" i="3" s="1"/>
  <c r="F35" i="3"/>
  <c r="G35" i="3" s="1"/>
  <c r="B43" i="3"/>
  <c r="C52" i="3"/>
  <c r="F23" i="3"/>
  <c r="G23" i="3" s="1"/>
  <c r="F26" i="3"/>
  <c r="G26" i="3" s="1"/>
  <c r="F29" i="3"/>
  <c r="G29" i="3" s="1"/>
  <c r="B31" i="3"/>
  <c r="A38" i="6"/>
  <c r="C43" i="3"/>
  <c r="B63" i="3"/>
  <c r="A70" i="6"/>
  <c r="C11" i="3"/>
  <c r="C34" i="3"/>
  <c r="B34" i="3"/>
  <c r="A41" i="6"/>
  <c r="C40" i="3"/>
  <c r="C63" i="3"/>
  <c r="C14" i="3"/>
  <c r="B14" i="3"/>
  <c r="A21" i="6"/>
  <c r="F20" i="3"/>
  <c r="G20" i="3" s="1"/>
  <c r="F17" i="3"/>
  <c r="G17" i="3" s="1"/>
  <c r="C22" i="3"/>
  <c r="B22" i="3"/>
  <c r="A29" i="6"/>
  <c r="B28" i="3"/>
  <c r="C54" i="3"/>
  <c r="B54" i="3"/>
  <c r="A61" i="6"/>
  <c r="B60" i="3"/>
  <c r="F9" i="3"/>
  <c r="G9" i="3" s="1"/>
  <c r="M9" i="3" s="1"/>
  <c r="F31" i="3"/>
  <c r="G31" i="3" s="1"/>
  <c r="B39" i="3"/>
  <c r="A46" i="6"/>
  <c r="B48" i="3"/>
  <c r="G60" i="3"/>
  <c r="B7" i="3"/>
  <c r="A14" i="6"/>
  <c r="B16" i="3"/>
  <c r="C7" i="3"/>
  <c r="C10" i="3"/>
  <c r="B10" i="3"/>
  <c r="A17" i="6"/>
  <c r="F28" i="3"/>
  <c r="G28" i="3" s="1"/>
  <c r="C39" i="3"/>
  <c r="C42" i="3"/>
  <c r="B42" i="3"/>
  <c r="A49" i="6"/>
  <c r="C48" i="3"/>
  <c r="F5" i="3"/>
  <c r="G5" i="3" s="1"/>
  <c r="M5" i="3" s="1"/>
  <c r="C16" i="3"/>
  <c r="B4" i="3"/>
  <c r="F25" i="3"/>
  <c r="G25" i="3" s="1"/>
  <c r="C30" i="3"/>
  <c r="B30" i="3"/>
  <c r="A37" i="6"/>
  <c r="B36" i="3"/>
  <c r="C62" i="3"/>
  <c r="B62" i="3"/>
  <c r="A69" i="6"/>
  <c r="F19" i="3"/>
  <c r="G19" i="3" s="1"/>
  <c r="C36" i="3"/>
  <c r="B59" i="3"/>
  <c r="F8" i="3"/>
  <c r="G8" i="3" s="1"/>
  <c r="M8" i="3" s="1"/>
  <c r="B47" i="3"/>
  <c r="A54" i="6"/>
  <c r="B56" i="3"/>
  <c r="C59" i="3"/>
  <c r="F16" i="3"/>
  <c r="G16" i="3" s="1"/>
  <c r="F7" i="3"/>
  <c r="G7" i="3" s="1"/>
  <c r="M7" i="3" s="1"/>
  <c r="B15" i="3"/>
  <c r="A22" i="6"/>
  <c r="C24" i="3"/>
  <c r="F36" i="3"/>
  <c r="G36" i="3" s="1"/>
  <c r="C50" i="3"/>
  <c r="B50" i="3"/>
  <c r="A57" i="6"/>
  <c r="C56" i="3"/>
  <c r="B24" i="3"/>
  <c r="F4" i="3"/>
  <c r="G4" i="3" s="1"/>
  <c r="M4" i="3" s="1"/>
  <c r="C15" i="3"/>
  <c r="C18" i="3"/>
  <c r="B18" i="3"/>
  <c r="A25" i="6"/>
  <c r="C6" i="3"/>
  <c r="B6" i="3"/>
  <c r="A13" i="6"/>
  <c r="B12" i="3"/>
  <c r="F33" i="3"/>
  <c r="G33" i="3" s="1"/>
  <c r="C38" i="3"/>
  <c r="B38" i="3"/>
  <c r="A45" i="6"/>
  <c r="B44" i="3"/>
  <c r="B13" i="6" l="1"/>
  <c r="H13" i="6" s="1"/>
  <c r="M6" i="3"/>
  <c r="B21" i="6"/>
  <c r="H21" i="6" s="1"/>
  <c r="M14" i="3"/>
  <c r="B17" i="6"/>
  <c r="H17" i="6" s="1"/>
  <c r="M10" i="3"/>
  <c r="B18" i="6"/>
  <c r="H18" i="6" s="1"/>
  <c r="M11" i="3"/>
  <c r="N63" i="3"/>
  <c r="N61" i="3"/>
  <c r="N59" i="3"/>
  <c r="N55" i="3"/>
  <c r="N56" i="3"/>
  <c r="N53" i="3"/>
  <c r="B60" i="6"/>
  <c r="N50" i="3"/>
  <c r="N51" i="3"/>
  <c r="N49" i="3"/>
  <c r="N48" i="3"/>
  <c r="N47" i="3"/>
  <c r="N44" i="3"/>
  <c r="N43" i="3"/>
  <c r="N40" i="3"/>
  <c r="N41" i="3"/>
  <c r="B68" i="6"/>
  <c r="B48" i="6"/>
  <c r="N54" i="3"/>
  <c r="B64" i="6"/>
  <c r="B51" i="6"/>
  <c r="N57" i="3"/>
  <c r="N52" i="3"/>
  <c r="N58" i="3"/>
  <c r="B16" i="6"/>
  <c r="H16" i="6" s="1"/>
  <c r="H9" i="3"/>
  <c r="C16" i="6" s="1"/>
  <c r="N9" i="3"/>
  <c r="B3" i="5"/>
  <c r="B11" i="6"/>
  <c r="H11" i="6" s="1"/>
  <c r="N4" i="3"/>
  <c r="H4" i="3"/>
  <c r="C11" i="6" s="1"/>
  <c r="H44" i="3"/>
  <c r="N6" i="3"/>
  <c r="H10" i="3"/>
  <c r="H53" i="3"/>
  <c r="H43" i="3"/>
  <c r="H59" i="3"/>
  <c r="H48" i="3"/>
  <c r="N11" i="3"/>
  <c r="H47" i="3"/>
  <c r="H6" i="3"/>
  <c r="H52" i="3"/>
  <c r="H40" i="3"/>
  <c r="N37" i="3"/>
  <c r="H57" i="3"/>
  <c r="H34" i="3"/>
  <c r="H63" i="3"/>
  <c r="H11" i="3"/>
  <c r="N10" i="3"/>
  <c r="H37" i="3"/>
  <c r="N21" i="3"/>
  <c r="H51" i="3"/>
  <c r="H61" i="3"/>
  <c r="N27" i="3"/>
  <c r="N34" i="3"/>
  <c r="H21" i="3"/>
  <c r="H27" i="3"/>
  <c r="H50" i="3"/>
  <c r="H30" i="3"/>
  <c r="H39" i="3"/>
  <c r="H54" i="3"/>
  <c r="N30" i="3"/>
  <c r="N39" i="3"/>
  <c r="H55" i="3"/>
  <c r="H56" i="3"/>
  <c r="H49" i="3"/>
  <c r="H58" i="3"/>
  <c r="N14" i="3"/>
  <c r="H41" i="3"/>
  <c r="H14" i="3"/>
  <c r="B27" i="6"/>
  <c r="N20" i="3"/>
  <c r="H20" i="3"/>
  <c r="C27" i="6" s="1"/>
  <c r="B35" i="6"/>
  <c r="N28" i="3"/>
  <c r="H28" i="3"/>
  <c r="C35" i="6" s="1"/>
  <c r="B19" i="6"/>
  <c r="H19" i="6" s="1"/>
  <c r="N12" i="3"/>
  <c r="H12" i="3"/>
  <c r="C19" i="6" s="1"/>
  <c r="N8" i="3"/>
  <c r="B15" i="6"/>
  <c r="H15" i="6" s="1"/>
  <c r="H8" i="3"/>
  <c r="C15" i="6" s="1"/>
  <c r="B43" i="6"/>
  <c r="N36" i="3"/>
  <c r="H36" i="3"/>
  <c r="C43" i="6" s="1"/>
  <c r="N29" i="3"/>
  <c r="B36" i="6"/>
  <c r="H29" i="3"/>
  <c r="C36" i="6" s="1"/>
  <c r="H26" i="3"/>
  <c r="C33" i="6" s="1"/>
  <c r="B33" i="6"/>
  <c r="N26" i="3"/>
  <c r="N32" i="3"/>
  <c r="B39" i="6"/>
  <c r="H32" i="3"/>
  <c r="C39" i="6" s="1"/>
  <c r="B24" i="6"/>
  <c r="H17" i="3"/>
  <c r="C24" i="6" s="1"/>
  <c r="N17" i="3"/>
  <c r="B45" i="6"/>
  <c r="N38" i="3"/>
  <c r="H38" i="3"/>
  <c r="C45" i="6" s="1"/>
  <c r="B38" i="6"/>
  <c r="N31" i="3"/>
  <c r="H31" i="3"/>
  <c r="C38" i="6" s="1"/>
  <c r="B53" i="6"/>
  <c r="N46" i="3"/>
  <c r="H46" i="3"/>
  <c r="C53" i="6" s="1"/>
  <c r="B32" i="6"/>
  <c r="H25" i="3"/>
  <c r="C32" i="6" s="1"/>
  <c r="N25" i="3"/>
  <c r="H42" i="3"/>
  <c r="C49" i="6" s="1"/>
  <c r="B49" i="6"/>
  <c r="N42" i="3"/>
  <c r="N16" i="3"/>
  <c r="B23" i="6"/>
  <c r="H16" i="3"/>
  <c r="C23" i="6" s="1"/>
  <c r="B42" i="6"/>
  <c r="N35" i="3"/>
  <c r="H35" i="3"/>
  <c r="C42" i="6" s="1"/>
  <c r="B40" i="6"/>
  <c r="H33" i="3"/>
  <c r="C40" i="6" s="1"/>
  <c r="N33" i="3"/>
  <c r="N24" i="3"/>
  <c r="B31" i="6"/>
  <c r="H24" i="3"/>
  <c r="C31" i="6" s="1"/>
  <c r="B67" i="6"/>
  <c r="N60" i="3"/>
  <c r="H60" i="3"/>
  <c r="C67" i="6" s="1"/>
  <c r="B30" i="6"/>
  <c r="N23" i="3"/>
  <c r="H23" i="3"/>
  <c r="C30" i="6" s="1"/>
  <c r="B29" i="6"/>
  <c r="H22" i="3"/>
  <c r="C29" i="6" s="1"/>
  <c r="N22" i="3"/>
  <c r="N13" i="3"/>
  <c r="B20" i="6"/>
  <c r="H20" i="6" s="1"/>
  <c r="H13" i="3"/>
  <c r="C20" i="6" s="1"/>
  <c r="B26" i="6"/>
  <c r="H19" i="3"/>
  <c r="C26" i="6" s="1"/>
  <c r="N19" i="3"/>
  <c r="H18" i="3"/>
  <c r="C25" i="6" s="1"/>
  <c r="B25" i="6"/>
  <c r="N18" i="3"/>
  <c r="B14" i="6"/>
  <c r="H14" i="6" s="1"/>
  <c r="H7" i="3"/>
  <c r="C14" i="6" s="1"/>
  <c r="N7" i="3"/>
  <c r="B22" i="6"/>
  <c r="H15" i="3"/>
  <c r="C22" i="6" s="1"/>
  <c r="N15" i="3"/>
  <c r="B69" i="6"/>
  <c r="H62" i="3"/>
  <c r="C69" i="6" s="1"/>
  <c r="N62" i="3"/>
  <c r="N45" i="3"/>
  <c r="B52" i="6"/>
  <c r="H45" i="3"/>
  <c r="C52" i="6" s="1"/>
  <c r="N5" i="3"/>
  <c r="B12" i="6"/>
  <c r="H12" i="6" s="1"/>
  <c r="H5" i="3"/>
  <c r="C12" i="6" s="1"/>
  <c r="I4" i="3" l="1"/>
  <c r="I18" i="3"/>
  <c r="I13" i="3"/>
  <c r="I24" i="3"/>
  <c r="I17" i="3"/>
  <c r="I31" i="3"/>
  <c r="I25" i="3"/>
  <c r="I22" i="3"/>
  <c r="I12" i="3"/>
  <c r="I5" i="3"/>
  <c r="I62" i="3"/>
  <c r="I23" i="3"/>
  <c r="I28" i="3"/>
  <c r="I15" i="3"/>
  <c r="C62" i="6"/>
  <c r="I55" i="3"/>
  <c r="C18" i="6"/>
  <c r="I11" i="3"/>
  <c r="C63" i="6"/>
  <c r="I56" i="3"/>
  <c r="C70" i="6"/>
  <c r="I63" i="3"/>
  <c r="C41" i="6"/>
  <c r="I34" i="3"/>
  <c r="I7" i="3"/>
  <c r="I8" i="3"/>
  <c r="C61" i="6"/>
  <c r="I54" i="3"/>
  <c r="C64" i="6"/>
  <c r="I57" i="3"/>
  <c r="C51" i="6"/>
  <c r="I44" i="3"/>
  <c r="C46" i="6"/>
  <c r="I39" i="3"/>
  <c r="C37" i="6"/>
  <c r="I30" i="3"/>
  <c r="B8" i="5"/>
  <c r="C47" i="6"/>
  <c r="I40" i="3"/>
  <c r="C57" i="6"/>
  <c r="I50" i="3"/>
  <c r="C59" i="6"/>
  <c r="I52" i="3"/>
  <c r="I20" i="3"/>
  <c r="C34" i="6"/>
  <c r="I27" i="3"/>
  <c r="C13" i="6"/>
  <c r="I6" i="3"/>
  <c r="B4" i="6"/>
  <c r="B4" i="5"/>
  <c r="B5" i="5"/>
  <c r="C4" i="1"/>
  <c r="I16" i="3"/>
  <c r="I32" i="3"/>
  <c r="C28" i="6"/>
  <c r="I21" i="3"/>
  <c r="C54" i="6"/>
  <c r="I47" i="3"/>
  <c r="I60" i="3"/>
  <c r="I33" i="3"/>
  <c r="I46" i="3"/>
  <c r="I38" i="3"/>
  <c r="I29" i="3"/>
  <c r="C21" i="6"/>
  <c r="I14" i="3"/>
  <c r="C55" i="6"/>
  <c r="I48" i="3"/>
  <c r="C48" i="6"/>
  <c r="I41" i="3"/>
  <c r="C68" i="6"/>
  <c r="I61" i="3"/>
  <c r="C66" i="6"/>
  <c r="I59" i="3"/>
  <c r="C58" i="6"/>
  <c r="I51" i="3"/>
  <c r="C50" i="6"/>
  <c r="I43" i="3"/>
  <c r="I19" i="3"/>
  <c r="I35" i="3"/>
  <c r="C65" i="6"/>
  <c r="I58" i="3"/>
  <c r="C60" i="6"/>
  <c r="I53" i="3"/>
  <c r="I9" i="3"/>
  <c r="I45" i="3"/>
  <c r="I42" i="3"/>
  <c r="I26" i="3"/>
  <c r="I36" i="3"/>
  <c r="C56" i="6"/>
  <c r="I49" i="3"/>
  <c r="C44" i="6"/>
  <c r="I37" i="3"/>
  <c r="C17" i="6"/>
  <c r="I10" i="3"/>
  <c r="C11" i="4" l="1"/>
  <c r="C5" i="4"/>
  <c r="C3" i="4"/>
  <c r="C12" i="4"/>
  <c r="C9" i="4"/>
  <c r="C4" i="4"/>
  <c r="C13" i="4"/>
  <c r="C8" i="4"/>
  <c r="C10" i="4"/>
  <c r="B6" i="5"/>
  <c r="B7" i="5" s="1"/>
  <c r="C7" i="4"/>
  <c r="C6" i="4"/>
  <c r="C14" i="4"/>
  <c r="D3" i="4" l="1"/>
  <c r="D7" i="4"/>
  <c r="C6" i="1"/>
  <c r="B9" i="5"/>
  <c r="E3" i="4"/>
  <c r="D9" i="4"/>
  <c r="D14" i="4"/>
  <c r="D11" i="4"/>
  <c r="D10" i="4"/>
  <c r="D13" i="4"/>
  <c r="D8" i="4"/>
  <c r="D5" i="4"/>
  <c r="D12" i="4"/>
  <c r="F7" i="4"/>
  <c r="D6" i="4"/>
  <c r="D4" i="4"/>
  <c r="D70" i="6" l="1"/>
  <c r="J63" i="3"/>
  <c r="E70" i="6" s="1"/>
  <c r="K63" i="3"/>
  <c r="D69" i="6"/>
  <c r="J62" i="3"/>
  <c r="E69" i="6" s="1"/>
  <c r="K62" i="3"/>
  <c r="D68" i="6"/>
  <c r="J61" i="3"/>
  <c r="E68" i="6" s="1"/>
  <c r="K61" i="3"/>
  <c r="D67" i="6"/>
  <c r="J60" i="3"/>
  <c r="E67" i="6" s="1"/>
  <c r="K60" i="3"/>
  <c r="E7" i="4"/>
  <c r="D66" i="6"/>
  <c r="J59" i="3"/>
  <c r="E66" i="6" s="1"/>
  <c r="K59" i="3"/>
  <c r="D65" i="6"/>
  <c r="J58" i="3"/>
  <c r="E65" i="6" s="1"/>
  <c r="K58" i="3"/>
  <c r="D64" i="6"/>
  <c r="J57" i="3"/>
  <c r="E64" i="6" s="1"/>
  <c r="K57" i="3"/>
  <c r="D63" i="6"/>
  <c r="J56" i="3"/>
  <c r="E63" i="6" s="1"/>
  <c r="K56" i="3"/>
  <c r="D62" i="6"/>
  <c r="J55" i="3"/>
  <c r="E62" i="6" s="1"/>
  <c r="K55" i="3"/>
  <c r="D61" i="6"/>
  <c r="J54" i="3"/>
  <c r="E61" i="6" s="1"/>
  <c r="K54" i="3"/>
  <c r="D60" i="6"/>
  <c r="J53" i="3"/>
  <c r="E60" i="6" s="1"/>
  <c r="K53" i="3"/>
  <c r="K28" i="3"/>
  <c r="F35" i="6" s="1"/>
  <c r="D59" i="6"/>
  <c r="J52" i="3"/>
  <c r="E59" i="6" s="1"/>
  <c r="K52" i="3"/>
  <c r="J51" i="3"/>
  <c r="E58" i="6" s="1"/>
  <c r="D58" i="6"/>
  <c r="K51" i="3"/>
  <c r="D57" i="6"/>
  <c r="J50" i="3"/>
  <c r="E57" i="6" s="1"/>
  <c r="K50" i="3"/>
  <c r="J49" i="3"/>
  <c r="E56" i="6" s="1"/>
  <c r="D56" i="6"/>
  <c r="K49" i="3"/>
  <c r="D55" i="6"/>
  <c r="J48" i="3"/>
  <c r="E55" i="6" s="1"/>
  <c r="K48" i="3"/>
  <c r="D54" i="6"/>
  <c r="J47" i="3"/>
  <c r="E54" i="6" s="1"/>
  <c r="K47" i="3"/>
  <c r="D53" i="6"/>
  <c r="J46" i="3"/>
  <c r="E53" i="6" s="1"/>
  <c r="K46" i="3"/>
  <c r="D52" i="6"/>
  <c r="J45" i="3"/>
  <c r="E52" i="6" s="1"/>
  <c r="K45" i="3"/>
  <c r="K8" i="3"/>
  <c r="L8" i="3" s="1"/>
  <c r="D51" i="6"/>
  <c r="J44" i="3"/>
  <c r="E51" i="6" s="1"/>
  <c r="K44" i="3"/>
  <c r="F3" i="4"/>
  <c r="J43" i="3"/>
  <c r="E50" i="6" s="1"/>
  <c r="D50" i="6"/>
  <c r="K43" i="3"/>
  <c r="D49" i="6"/>
  <c r="J42" i="3"/>
  <c r="E49" i="6" s="1"/>
  <c r="K42" i="3"/>
  <c r="K20" i="3"/>
  <c r="L20" i="3" s="1"/>
  <c r="K32" i="3"/>
  <c r="L32" i="3" s="1"/>
  <c r="D39" i="6"/>
  <c r="J32" i="3"/>
  <c r="E39" i="6" s="1"/>
  <c r="D48" i="6"/>
  <c r="J41" i="3"/>
  <c r="E48" i="6" s="1"/>
  <c r="K41" i="3"/>
  <c r="K16" i="3"/>
  <c r="F23" i="6" s="1"/>
  <c r="J28" i="3"/>
  <c r="E35" i="6" s="1"/>
  <c r="D11" i="6"/>
  <c r="J40" i="3"/>
  <c r="E47" i="6" s="1"/>
  <c r="D47" i="6"/>
  <c r="K40" i="3"/>
  <c r="D23" i="6"/>
  <c r="D35" i="6"/>
  <c r="J20" i="3"/>
  <c r="E27" i="6" s="1"/>
  <c r="D27" i="6"/>
  <c r="J16" i="3"/>
  <c r="E23" i="6" s="1"/>
  <c r="J4" i="3"/>
  <c r="E11" i="6" s="1"/>
  <c r="D15" i="6"/>
  <c r="J8" i="3"/>
  <c r="E15" i="6" s="1"/>
  <c r="K4" i="3"/>
  <c r="L4" i="3" s="1"/>
  <c r="B17" i="4"/>
  <c r="B21" i="4" s="1"/>
  <c r="C9" i="1" s="1"/>
  <c r="E10" i="4"/>
  <c r="F10" i="4"/>
  <c r="D42" i="6"/>
  <c r="J23" i="3"/>
  <c r="E30" i="6" s="1"/>
  <c r="D30" i="6"/>
  <c r="J11" i="3"/>
  <c r="E18" i="6" s="1"/>
  <c r="K23" i="3"/>
  <c r="J35" i="3"/>
  <c r="E42" i="6" s="1"/>
  <c r="D18" i="6"/>
  <c r="K35" i="3"/>
  <c r="K11" i="3"/>
  <c r="E12" i="4"/>
  <c r="F12" i="4"/>
  <c r="D20" i="6"/>
  <c r="D32" i="6"/>
  <c r="D44" i="6"/>
  <c r="J37" i="3"/>
  <c r="E44" i="6" s="1"/>
  <c r="J13" i="3"/>
  <c r="E20" i="6" s="1"/>
  <c r="K25" i="3"/>
  <c r="J25" i="3"/>
  <c r="E32" i="6" s="1"/>
  <c r="K13" i="3"/>
  <c r="K37" i="3"/>
  <c r="F13" i="4"/>
  <c r="E13" i="4"/>
  <c r="D33" i="6"/>
  <c r="J38" i="3"/>
  <c r="E45" i="6" s="1"/>
  <c r="D45" i="6"/>
  <c r="J14" i="3"/>
  <c r="E21" i="6" s="1"/>
  <c r="D21" i="6"/>
  <c r="K26" i="3"/>
  <c r="J26" i="3"/>
  <c r="E33" i="6" s="1"/>
  <c r="K38" i="3"/>
  <c r="K14" i="3"/>
  <c r="F5" i="4"/>
  <c r="E5" i="4"/>
  <c r="K18" i="3"/>
  <c r="J18" i="3"/>
  <c r="E25" i="6" s="1"/>
  <c r="J6" i="3"/>
  <c r="E13" i="6" s="1"/>
  <c r="D25" i="6"/>
  <c r="D37" i="6"/>
  <c r="D13" i="6"/>
  <c r="J30" i="3"/>
  <c r="E37" i="6" s="1"/>
  <c r="K30" i="3"/>
  <c r="K6" i="3"/>
  <c r="E9" i="4"/>
  <c r="F9" i="4"/>
  <c r="J10" i="3"/>
  <c r="E17" i="6" s="1"/>
  <c r="D29" i="6"/>
  <c r="K22" i="3"/>
  <c r="J34" i="3"/>
  <c r="E41" i="6" s="1"/>
  <c r="D17" i="6"/>
  <c r="J22" i="3"/>
  <c r="E29" i="6" s="1"/>
  <c r="D41" i="6"/>
  <c r="K34" i="3"/>
  <c r="K10" i="3"/>
  <c r="E4" i="4"/>
  <c r="F4" i="4"/>
  <c r="D12" i="6"/>
  <c r="D24" i="6"/>
  <c r="D36" i="6"/>
  <c r="K5" i="3"/>
  <c r="K29" i="3"/>
  <c r="J29" i="3"/>
  <c r="E36" i="6" s="1"/>
  <c r="J5" i="3"/>
  <c r="E12" i="6" s="1"/>
  <c r="K17" i="3"/>
  <c r="J17" i="3"/>
  <c r="E24" i="6" s="1"/>
  <c r="B16" i="4"/>
  <c r="E6" i="4"/>
  <c r="F6" i="4"/>
  <c r="D26" i="6"/>
  <c r="J7" i="3"/>
  <c r="E14" i="6" s="1"/>
  <c r="K7" i="3"/>
  <c r="D14" i="6"/>
  <c r="J31" i="3"/>
  <c r="E38" i="6" s="1"/>
  <c r="J19" i="3"/>
  <c r="E26" i="6" s="1"/>
  <c r="D38" i="6"/>
  <c r="K19" i="3"/>
  <c r="K31" i="3"/>
  <c r="E8" i="4"/>
  <c r="F8" i="4"/>
  <c r="D28" i="6"/>
  <c r="D40" i="6"/>
  <c r="D16" i="6"/>
  <c r="J21" i="3"/>
  <c r="E28" i="6" s="1"/>
  <c r="K9" i="3"/>
  <c r="J9" i="3"/>
  <c r="E16" i="6" s="1"/>
  <c r="K33" i="3"/>
  <c r="J33" i="3"/>
  <c r="E40" i="6" s="1"/>
  <c r="K21" i="3"/>
  <c r="E14" i="4"/>
  <c r="F14" i="4"/>
  <c r="J27" i="3"/>
  <c r="E34" i="6" s="1"/>
  <c r="D34" i="6"/>
  <c r="J39" i="3"/>
  <c r="E46" i="6" s="1"/>
  <c r="K15" i="3"/>
  <c r="D22" i="6"/>
  <c r="J15" i="3"/>
  <c r="E22" i="6" s="1"/>
  <c r="D46" i="6"/>
  <c r="K27" i="3"/>
  <c r="K39" i="3"/>
  <c r="B10" i="5"/>
  <c r="C5" i="1"/>
  <c r="F11" i="4"/>
  <c r="E11" i="4"/>
  <c r="D43" i="6"/>
  <c r="J36" i="3"/>
  <c r="E43" i="6" s="1"/>
  <c r="D31" i="6"/>
  <c r="D19" i="6"/>
  <c r="K24" i="3"/>
  <c r="J12" i="3"/>
  <c r="E19" i="6" s="1"/>
  <c r="J24" i="3"/>
  <c r="E31" i="6" s="1"/>
  <c r="K36" i="3"/>
  <c r="K12" i="3"/>
  <c r="L63" i="3" l="1"/>
  <c r="F70" i="6"/>
  <c r="L62" i="3"/>
  <c r="F69" i="6"/>
  <c r="F68" i="6"/>
  <c r="L61" i="3"/>
  <c r="L60" i="3"/>
  <c r="F67" i="6"/>
  <c r="F66" i="6"/>
  <c r="L59" i="3"/>
  <c r="F65" i="6"/>
  <c r="L58" i="3"/>
  <c r="L57" i="3"/>
  <c r="F64" i="6"/>
  <c r="L28" i="3"/>
  <c r="G35" i="6" s="1"/>
  <c r="H35" i="6" s="1"/>
  <c r="F63" i="6"/>
  <c r="L56" i="3"/>
  <c r="F62" i="6"/>
  <c r="L55" i="3"/>
  <c r="F61" i="6"/>
  <c r="L54" i="3"/>
  <c r="F27" i="6"/>
  <c r="F60" i="6"/>
  <c r="L53" i="3"/>
  <c r="L52" i="3"/>
  <c r="F59" i="6"/>
  <c r="L51" i="3"/>
  <c r="F58" i="6"/>
  <c r="F57" i="6"/>
  <c r="L50" i="3"/>
  <c r="L49" i="3"/>
  <c r="F56" i="6"/>
  <c r="L48" i="3"/>
  <c r="F55" i="6"/>
  <c r="L47" i="3"/>
  <c r="F54" i="6"/>
  <c r="F15" i="6"/>
  <c r="L46" i="3"/>
  <c r="F53" i="6"/>
  <c r="F39" i="6"/>
  <c r="L45" i="3"/>
  <c r="F52" i="6"/>
  <c r="L44" i="3"/>
  <c r="F51" i="6"/>
  <c r="L16" i="3"/>
  <c r="M16" i="3" s="1"/>
  <c r="L43" i="3"/>
  <c r="F50" i="6"/>
  <c r="L42" i="3"/>
  <c r="F49" i="6"/>
  <c r="F48" i="6"/>
  <c r="L41" i="3"/>
  <c r="L40" i="3"/>
  <c r="F47" i="6"/>
  <c r="F11" i="6"/>
  <c r="F37" i="6"/>
  <c r="L30" i="3"/>
  <c r="L12" i="3"/>
  <c r="F19" i="6"/>
  <c r="M32" i="3"/>
  <c r="G39" i="6"/>
  <c r="H39" i="6" s="1"/>
  <c r="L35" i="3"/>
  <c r="F42" i="6"/>
  <c r="G11" i="6"/>
  <c r="L27" i="3"/>
  <c r="F34" i="6"/>
  <c r="L10" i="3"/>
  <c r="F17" i="6"/>
  <c r="L39" i="3"/>
  <c r="F46" i="6"/>
  <c r="B5" i="6"/>
  <c r="C11" i="1" s="1"/>
  <c r="L34" i="3"/>
  <c r="F41" i="6"/>
  <c r="L37" i="3"/>
  <c r="F44" i="6"/>
  <c r="B20" i="4"/>
  <c r="C8" i="1" s="1"/>
  <c r="B18" i="4"/>
  <c r="B19" i="4" s="1"/>
  <c r="C7" i="1" s="1"/>
  <c r="F20" i="6"/>
  <c r="L13" i="3"/>
  <c r="L23" i="3"/>
  <c r="F30" i="6"/>
  <c r="L36" i="3"/>
  <c r="F43" i="6"/>
  <c r="F25" i="6"/>
  <c r="L18" i="3"/>
  <c r="L7" i="3"/>
  <c r="F14" i="6"/>
  <c r="L15" i="3"/>
  <c r="F22" i="6"/>
  <c r="L17" i="3"/>
  <c r="F24" i="6"/>
  <c r="L25" i="3"/>
  <c r="F32" i="6"/>
  <c r="L33" i="3"/>
  <c r="F40" i="6"/>
  <c r="L22" i="3"/>
  <c r="F29" i="6"/>
  <c r="L14" i="3"/>
  <c r="F21" i="6"/>
  <c r="L29" i="3"/>
  <c r="F36" i="6"/>
  <c r="F45" i="6"/>
  <c r="L38" i="3"/>
  <c r="G27" i="6"/>
  <c r="H27" i="6" s="1"/>
  <c r="M20" i="3"/>
  <c r="L9" i="3"/>
  <c r="F16" i="6"/>
  <c r="L31" i="3"/>
  <c r="F38" i="6"/>
  <c r="F12" i="6"/>
  <c r="L5" i="3"/>
  <c r="L26" i="3"/>
  <c r="F33" i="6"/>
  <c r="B7" i="6"/>
  <c r="L11" i="3"/>
  <c r="F18" i="6"/>
  <c r="G15" i="6"/>
  <c r="L19" i="3"/>
  <c r="F26" i="6"/>
  <c r="L21" i="3"/>
  <c r="F28" i="6"/>
  <c r="B8" i="6"/>
  <c r="F31" i="6"/>
  <c r="L24" i="3"/>
  <c r="L6" i="3"/>
  <c r="F13" i="6"/>
  <c r="G70" i="6" l="1"/>
  <c r="H70" i="6" s="1"/>
  <c r="M63" i="3"/>
  <c r="M28" i="3"/>
  <c r="M62" i="3"/>
  <c r="G69" i="6"/>
  <c r="H69" i="6" s="1"/>
  <c r="G68" i="6"/>
  <c r="H68" i="6" s="1"/>
  <c r="M61" i="3"/>
  <c r="G67" i="6"/>
  <c r="H67" i="6" s="1"/>
  <c r="M60" i="3"/>
  <c r="G66" i="6"/>
  <c r="H66" i="6" s="1"/>
  <c r="M59" i="3"/>
  <c r="M58" i="3"/>
  <c r="G65" i="6"/>
  <c r="H65" i="6" s="1"/>
  <c r="M57" i="3"/>
  <c r="G64" i="6"/>
  <c r="H64" i="6" s="1"/>
  <c r="G63" i="6"/>
  <c r="H63" i="6" s="1"/>
  <c r="M56" i="3"/>
  <c r="G62" i="6"/>
  <c r="H62" i="6" s="1"/>
  <c r="M55" i="3"/>
  <c r="M54" i="3"/>
  <c r="G61" i="6"/>
  <c r="H61" i="6" s="1"/>
  <c r="M53" i="3"/>
  <c r="G60" i="6"/>
  <c r="H60" i="6" s="1"/>
  <c r="G59" i="6"/>
  <c r="H59" i="6" s="1"/>
  <c r="M52" i="3"/>
  <c r="M51" i="3"/>
  <c r="G58" i="6"/>
  <c r="H58" i="6" s="1"/>
  <c r="G57" i="6"/>
  <c r="H57" i="6" s="1"/>
  <c r="M50" i="3"/>
  <c r="G56" i="6"/>
  <c r="H56" i="6" s="1"/>
  <c r="M49" i="3"/>
  <c r="M48" i="3"/>
  <c r="G55" i="6"/>
  <c r="H55" i="6" s="1"/>
  <c r="G54" i="6"/>
  <c r="H54" i="6" s="1"/>
  <c r="M47" i="3"/>
  <c r="G23" i="6"/>
  <c r="H23" i="6" s="1"/>
  <c r="G53" i="6"/>
  <c r="H53" i="6" s="1"/>
  <c r="M46" i="3"/>
  <c r="M45" i="3"/>
  <c r="G52" i="6"/>
  <c r="H52" i="6" s="1"/>
  <c r="G51" i="6"/>
  <c r="H51" i="6" s="1"/>
  <c r="M44" i="3"/>
  <c r="M43" i="3"/>
  <c r="G50" i="6"/>
  <c r="H50" i="6" s="1"/>
  <c r="G49" i="6"/>
  <c r="H49" i="6" s="1"/>
  <c r="M42" i="3"/>
  <c r="M41" i="3"/>
  <c r="G48" i="6"/>
  <c r="H48" i="6" s="1"/>
  <c r="G47" i="6"/>
  <c r="H47" i="6" s="1"/>
  <c r="M40" i="3"/>
  <c r="G21" i="6"/>
  <c r="M27" i="3"/>
  <c r="G34" i="6"/>
  <c r="H34" i="6" s="1"/>
  <c r="G40" i="6"/>
  <c r="H40" i="6" s="1"/>
  <c r="M33" i="3"/>
  <c r="M22" i="3"/>
  <c r="G29" i="6"/>
  <c r="H29" i="6" s="1"/>
  <c r="G13" i="6"/>
  <c r="M25" i="3"/>
  <c r="G32" i="6"/>
  <c r="H32" i="6" s="1"/>
  <c r="G17" i="6"/>
  <c r="B9" i="6"/>
  <c r="M35" i="3"/>
  <c r="G42" i="6"/>
  <c r="H42" i="6" s="1"/>
  <c r="M23" i="3"/>
  <c r="G30" i="6"/>
  <c r="H30" i="6" s="1"/>
  <c r="M31" i="3"/>
  <c r="G38" i="6"/>
  <c r="H38" i="6" s="1"/>
  <c r="M17" i="3"/>
  <c r="G24" i="6"/>
  <c r="H24" i="6" s="1"/>
  <c r="G20" i="6"/>
  <c r="G45" i="6"/>
  <c r="H45" i="6" s="1"/>
  <c r="M38" i="3"/>
  <c r="G33" i="6"/>
  <c r="H33" i="6" s="1"/>
  <c r="M26" i="3"/>
  <c r="G16" i="6"/>
  <c r="M37" i="3"/>
  <c r="G44" i="6"/>
  <c r="H44" i="6" s="1"/>
  <c r="M15" i="3"/>
  <c r="G22" i="6"/>
  <c r="H22" i="6" s="1"/>
  <c r="M34" i="3"/>
  <c r="G41" i="6"/>
  <c r="H41" i="6" s="1"/>
  <c r="G12" i="6"/>
  <c r="M24" i="3"/>
  <c r="G31" i="6"/>
  <c r="H31" i="6" s="1"/>
  <c r="M19" i="3"/>
  <c r="G26" i="6"/>
  <c r="H26" i="6" s="1"/>
  <c r="G19" i="6"/>
  <c r="M29" i="3"/>
  <c r="G36" i="6"/>
  <c r="H36" i="6" s="1"/>
  <c r="G14" i="6"/>
  <c r="G37" i="6"/>
  <c r="H37" i="6" s="1"/>
  <c r="M30" i="3"/>
  <c r="M36" i="3"/>
  <c r="G43" i="6"/>
  <c r="H43" i="6" s="1"/>
  <c r="M21" i="3"/>
  <c r="G28" i="6"/>
  <c r="H28" i="6" s="1"/>
  <c r="G18" i="6"/>
  <c r="G25" i="6"/>
  <c r="H25" i="6" s="1"/>
  <c r="M18" i="3"/>
  <c r="M39" i="3"/>
  <c r="G46" i="6"/>
  <c r="H46" i="6" s="1"/>
  <c r="B6" i="6"/>
  <c r="A15" i="1" s="1"/>
  <c r="C10" i="1" l="1"/>
</calcChain>
</file>

<file path=xl/sharedStrings.xml><?xml version="1.0" encoding="utf-8"?>
<sst xmlns="http://schemas.openxmlformats.org/spreadsheetml/2006/main" count="407" uniqueCount="241">
  <si>
    <t>Панель оценки тренда, сезонности и циклов спроса</t>
  </si>
  <si>
    <t>Блок</t>
  </si>
  <si>
    <t>Показатель</t>
  </si>
  <si>
    <t>Значение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</si>
  <si>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</si>
  <si>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</si>
  <si>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</si>
  <si>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</si>
  <si>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</si>
  <si>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</si>
  <si>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</si>
  <si>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</si>
  <si>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</si>
  <si>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</si>
  <si>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</si>
  <si>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</si>
  <si>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</si>
  <si>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</si>
  <si>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</si>
  <si>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</si>
  <si>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</si>
  <si>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</si>
  <si>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</si>
  <si>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</si>
  <si>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Ввод данных из Google Trends и Яндекс Вордстат</t>
  </si>
  <si>
    <t>Период</t>
  </si>
  <si>
    <t>Кластер запросов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</si>
  <si>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</si>
  <si>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</si>
  <si>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</si>
  <si>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</si>
  <si>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</si>
  <si>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</si>
  <si>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</si>
  <si>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</si>
  <si>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Сводный индекс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</si>
  <si>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</si>
  <si>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</si>
  <si>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</si>
  <si>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</si>
  <si>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</si>
  <si>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</si>
  <si>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</si>
  <si>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</si>
  <si>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</si>
  <si>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</si>
  <si>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</si>
  <si>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</si>
  <si>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</si>
  <si>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</si>
  <si>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</si>
  <si>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</si>
  <si>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</si>
  <si>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</si>
  <si>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</si>
  <si>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</si>
  <si>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</si>
  <si>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</si>
  <si>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</si>
  <si>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</si>
  <si>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</si>
  <si>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</si>
  <si>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</si>
  <si>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</si>
  <si>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</si>
  <si>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</si>
  <si>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</si>
  <si>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</si>
  <si>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</si>
  <si>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</si>
  <si>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</si>
  <si>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</si>
  <si>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</si>
  <si>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</si>
  <si>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</si>
  <si>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</si>
  <si>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</si>
  <si>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</si>
  <si>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</si>
  <si>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</si>
  <si>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</si>
  <si>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</si>
  <si>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</si>
  <si>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</si>
  <si>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</si>
  <si>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</si>
  <si>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</si>
  <si>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</si>
  <si>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</si>
  <si>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</si>
  <si>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</si>
  <si>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</si>
  <si>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</si>
  <si>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</si>
  <si>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</si>
  <si>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</si>
  <si>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</si>
  <si>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</si>
  <si>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</si>
  <si>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</si>
  <si>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</si>
  <si>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</si>
  <si>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</si>
  <si>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</si>
  <si>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</si>
  <si>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</si>
  <si>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</si>
  <si>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</si>
  <si>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</si>
  <si>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</si>
  <si>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</si>
  <si>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</si>
  <si>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</si>
  <si>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</si>
  <si>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</si>
  <si>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</si>
  <si>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</si>
  <si>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</si>
  <si>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</si>
  <si>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</si>
  <si>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</si>
  <si>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</si>
  <si>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</si>
  <si>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</si>
  <si>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</si>
  <si>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</si>
  <si>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</si>
  <si>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</si>
  <si>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</si>
  <si>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</si>
  <si>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</si>
  <si>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</si>
  <si>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</si>
  <si>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</si>
  <si>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</si>
  <si>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</si>
  <si>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</si>
  <si>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</si>
  <si>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</si>
  <si>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</si>
  <si>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</si>
  <si>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</si>
  <si>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</si>
  <si>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</si>
  <si>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</si>
  <si>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</si>
  <si>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</si>
  <si>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</si>
  <si>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</si>
  <si>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</si>
  <si>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</si>
  <si>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</si>
  <si>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</si>
  <si>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</si>
  <si>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</si>
  <si>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</si>
  <si>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</si>
  <si>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</si>
  <si>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</si>
  <si>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</si>
  <si>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</si>
  <si>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</si>
  <si>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</si>
  <si>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</si>
  <si>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</si>
  <si>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</si>
  <si>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</si>
  <si>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</si>
  <si>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</si>
  <si>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</si>
  <si>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</si>
  <si>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</si>
  <si>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</si>
  <si>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проверка и аудит таблиц Excel</t>
  </si>
  <si>
    <t>среднее индексов запросов excel audit и spreadsheet audit</t>
  </si>
  <si>
    <t>весь мир</t>
  </si>
  <si>
    <t>2021-10 - 2026-09 (5 лет, недели -&gt; месяцы)</t>
  </si>
  <si>
    <t>текст (сжатый, base62)</t>
  </si>
  <si>
    <t>S_excel_audit_5y.txt; S_spreadsheet_audit_5y.txt</t>
  </si>
  <si>
    <t>веб-поиск, все категории; недели усреднены по месяцам; неполная последняя неделя исключена</t>
  </si>
  <si>
    <t>проверка формул excel; ошибки в формулах excel; аудит excel; проверить excel на ошибки</t>
  </si>
  <si>
    <t>Россия (код 225)</t>
  </si>
  <si>
    <t>2021-10 - 2026-09 (месяцы)</t>
  </si>
  <si>
    <t>CSV/JSON</t>
  </si>
  <si>
    <t>YW_динамика_месяцы_2018-01_2026-09.csv</t>
  </si>
  <si>
    <t>вкладка «Динамика», все устройства; значения запросов кластера суммированы</t>
  </si>
  <si>
    <t>Производится анализ интереса аудитории на основе выгрузок из Google Trends и Яндекс Вордстат.</t>
  </si>
  <si>
    <t xml:space="preserve">Google Trends вводится как индекс 0-100. 
Яндекс Вордстат вводится как абсолютное число запросов по выбранному семантическому кластеру. </t>
  </si>
  <si>
    <t>Расчет построен по мультипликативной логике. 
Наблюдаемый интерес = тренд × сезонность × циклическое отклонение × случайные колебания. 
Для практической оценки используются скользящее среднее, сезонные индексы и коэффициент отклонения от трендово-сезонного уровня.</t>
  </si>
  <si>
    <t xml:space="preserve">В таблице оценивается поисковый цикл спроса, то есть периоды, когда интерес находится выше или ниже трендово-сезонного уровня. </t>
  </si>
  <si>
    <t>Использование</t>
  </si>
  <si>
    <t>Google Trends, 0-100</t>
  </si>
  <si>
    <t>Вордстат норм. 0-100</t>
  </si>
  <si>
    <t>Скользящее среднее 12 мес. (тренд)</t>
  </si>
  <si>
    <t>Google Trends - весь мир, Вордстат - Россия</t>
  </si>
  <si>
    <t>Google Trends минимум ряда; Вордстат в нижней четверти значений ряда; начало ряда</t>
  </si>
  <si>
    <t>Google Trends в нижней четверти значений ряда; Вордстат выше медианы ряда, рост к предыдущему месяцу на 37 %</t>
  </si>
  <si>
    <t>Google Trends в нижней четверти значений ряда; Вордстат в верхней четверти значений ряда</t>
  </si>
  <si>
    <t>Google Trends в нижней четверти значений ряда; Вордстат в нижней четверти значений ряда, снижение к предыдущему месяцу на 29 %</t>
  </si>
  <si>
    <t>Google Trends выше медианы ряда; Вордстат ниже медианы ряда</t>
  </si>
  <si>
    <t>Google Trends выше медианы ряда; Вордстат выше медианы ряда</t>
  </si>
  <si>
    <t>Google Trends ниже медианы ряда, снижение к предыдущему месяцу на 28 %; Вордстат ниже медианы ряда</t>
  </si>
  <si>
    <t>Google Trends в нижней четверти значений ряда; Вордстат ниже медианы ряда</t>
  </si>
  <si>
    <t>Google Trends в нижней четверти значений ряда; Вордстат в нижней четверти значений ряда</t>
  </si>
  <si>
    <t>Google Trends в нижней четверти значений ряда; Вордстат в нижней четверти значений ряда, снижение к предыдущему месяцу на 35 %</t>
  </si>
  <si>
    <t>Google Trends ниже медианы ряда; Вордстат в нижней четверти значений ряда</t>
  </si>
  <si>
    <t>Google Trends выше медианы ряда; Вордстат в нижней четверти значений ряда</t>
  </si>
  <si>
    <t>Google Trends ниже медианы ряда; Вордстат ниже медианы ряда</t>
  </si>
  <si>
    <t>Google Trends в нижней четверти значений ряда; Вордстат выше медианы ряда</t>
  </si>
  <si>
    <t>Google Trends ниже медианы ряда; Вордстат в верхней четверти значений ряда</t>
  </si>
  <si>
    <t>Google Trends выше медианы ряда; Вордстат ниже медианы ряда, снижение к предыдущему месяцу на 27 %</t>
  </si>
  <si>
    <t>Google Trends в нижней четверти значений ряда, снижение к предыдущему месяцу на 32 %; Вордстат ниже медианы ряда</t>
  </si>
  <si>
    <t>Google Trends ниже медианы ряда, рост к предыдущему месяцу на 32 %; Вордстат выше медианы ряда</t>
  </si>
  <si>
    <t>Google Trends выше медианы ряда, рост к предыдущему месяцу на 43 %; Вордстат выше медианы ряда</t>
  </si>
  <si>
    <t>Google Trends выше медианы ряда, рост к предыдущему месяцу на 39 %; Вордстат ниже медианы ряда</t>
  </si>
  <si>
    <t>Google Trends выше медианы ряда, рост к предыдущему месяцу на 37 %; Вордстат выше медианы ряда</t>
  </si>
  <si>
    <t>Google Trends выше медианы ряда; Вордстат в нижней четверти значений ряда, снижение к предыдущему месяцу на 33 %</t>
  </si>
  <si>
    <t>Google Trends выше медианы ряда, рост к предыдущему месяцу на 51 %; Вордстат в нижней четверти значений ряда</t>
  </si>
  <si>
    <t>Google Trends выше медианы ряда, снижение к предыдущему месяцу на 27 %; Вордстат в верхней четверти значений ряда, рост к предыдущему месяцу на 63 %</t>
  </si>
  <si>
    <t>Google Trends ниже медианы ряда; Вордстат максимум ряда, рост к предыдущему месяцу на 38 %</t>
  </si>
  <si>
    <t>Google Trends ниже медианы ряда; Вордстат выше медианы ряда, снижение к предыдущему месяцу на 32 %</t>
  </si>
  <si>
    <t>Google Trends в нижней четверти значений ряда, снижение к предыдущему месяцу на 27 %; Вордстат в верхней четверти значений ряда, рост к предыдущему месяцу на 35 %</t>
  </si>
  <si>
    <t>Google Trends в верхней четверти значений ряда, рост к предыдущему месяцу на 81 %; Вордстат в верхней четверти значений ряда</t>
  </si>
  <si>
    <t>Google Trends выше медианы ряда; Вордстат в нижней четверти значений ряда, снижение к предыдущему месяцу на 50 %</t>
  </si>
  <si>
    <t>Google Trends в верхней четверти значений ряда, рост к предыдущему месяцу на 87 %; Вордстат в нижней четверти значений ряда</t>
  </si>
  <si>
    <t>Google Trends в верхней четверти значений ряда; Вордстат выше медианы ряда, рост к предыдущему месяцу на 50 %</t>
  </si>
  <si>
    <t>Google Trends в верхней четверти значений ряда; Вордстат в верхней четверти значений ряда</t>
  </si>
  <si>
    <t>Google Trends в верхней четверти значений ряда, рост к предыдущему месяцу на 37 %; Вордстат в верхней четверти значений ряда</t>
  </si>
  <si>
    <t>Google Trends в верхней четверти значений ряда, снижение к предыдущему месяцу на 30 %; Вордстат в верхней четверти значений ряда</t>
  </si>
  <si>
    <t>Google Trends в верхней четверти значений ряда; Вордстат в нижней четверти значений ряда, снижение к предыдущему месяцу на 50 %</t>
  </si>
  <si>
    <t>Google Trends в верхней четверти значений ряда, рост к предыдущему месяцу на 38 %; Вордстат ниже медианы ряда</t>
  </si>
  <si>
    <t>Google Trends в верхней четверти значений ряда, рост к предыдущему месяцу на 34 %; Вордстат ниже медианы ряда</t>
  </si>
  <si>
    <t>Google Trends в верхней четверти значений ряда; Вордстат выше медианы ряда</t>
  </si>
  <si>
    <t>Google Trends максимум ряда; Вордстат выше медианы ряда</t>
  </si>
  <si>
    <t>Google Trends в верхней четверти значений ряда; Вордстат в нижней четверти значений ряда, снижение к предыдущему месяцу на 52 %</t>
  </si>
  <si>
    <t>Google Trends в верхней четверти значений ряда; Вордстат минимум ряда</t>
  </si>
  <si>
    <t>Google Trends в верхней четверти значений ряда; Вордстат в нижней четверти значений ряда, рост к предыдущему месяцу на 51 %; конец ряда, выгрузка от 02.10.2026</t>
  </si>
  <si>
    <t>https://otexts.com/fpp3/moving-averages.html</t>
  </si>
  <si>
    <t>https://otexts.com/fpp3/classical-decomposition.html</t>
  </si>
  <si>
    <t>https://otexts.com/fpp3/tspatterns.html</t>
  </si>
  <si>
    <t>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</si>
</sst>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5">
    <font>
      <sz val="11"/>
      <name val="Carlito"/>
    </font>
    <font>
      <sz val="11"/>
      <name val="Carlito"/>
    </font>
    <font>
      <b/>
      <sz val="14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  <font>
      <i/>
      <sz val="11"/>
      <color rgb="FF1F3864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F1FB"/>
        <bgColor indexed="64"/>
      </patternFill>
    </fill>
  </fills>
  <borders count="5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10" fontId="3" fillId="0" borderId="1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2" fontId="3" fillId="0" borderId="2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1" fontId="3" fillId="0" borderId="2" xfId="1" applyNumberFormat="1" applyFont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center" vertical="center" wrapText="1"/>
    </xf>
    <xf numFmtId="0" fontId="3" fillId="4" borderId="2" xfId="1" applyFont="1" applyFill="1" applyBorder="1" applyAlignment="1">
      <alignment horizontal="left" vertical="center" wrapText="1"/>
    </xf>
    <xf numFmtId="2" fontId="3" fillId="0" borderId="4" xfId="1" applyNumberFormat="1" applyFont="1" applyBorder="1" applyAlignment="1">
      <alignment horizontal="center" vertical="center" wrapText="1"/>
    </xf>
    <xf numFmtId="1" fontId="3" fillId="0" borderId="4" xfId="1" applyNumberFormat="1" applyFont="1" applyBorder="1" applyAlignment="1">
      <alignment horizontal="center" vertical="center" wrapText="1"/>
    </xf>
    <xf numFmtId="0" fontId="4" fillId="4" borderId="1" xfId="1" applyFont="1" applyFill="1" applyBorder="1" applyAlignment="1">
      <alignment horizontal="left" vertical="center" wrapText="1"/>
    </xf>
    <xf numFmtId="0" fontId="4" fillId="4" borderId="4" xfId="1" applyFont="1" applyFill="1" applyBorder="1" applyAlignment="1">
      <alignment horizontal="left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3" fillId="0" borderId="2" xfId="1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3" fillId="5" borderId="4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3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80"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Динамика интереса и тренд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Сводный индекс</c:v>
          </c:tx>
          <c:spPr>
            <a:ln w="22225">
              <a:solidFill>
                <a:srgbClr val="1F4E79"/>
              </a:solidFill>
            </a:ln>
          </c:spPr>
          <c:marker>
            <c:symbol val="none"/>
          </c:marker>
          <c:xVal>
            <c:numRef>
              <c:f>Расчет!$A$4:$A$63</c:f>
              <c:numCache>
                <c:formatCode>\y\y\y\y\-\m\m</c:formatCode>
                <c:ptCount val="60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  <c:pt idx="52">
                  <c:v>46054</c:v>
                </c:pt>
                <c:pt idx="53">
                  <c:v>46082</c:v>
                </c:pt>
                <c:pt idx="54">
                  <c:v>46113</c:v>
                </c:pt>
                <c:pt idx="55">
                  <c:v>46143</c:v>
                </c:pt>
                <c:pt idx="56">
                  <c:v>46174</c:v>
                </c:pt>
                <c:pt idx="57">
                  <c:v>46204</c:v>
                </c:pt>
                <c:pt idx="58">
                  <c:v>46235</c:v>
                </c:pt>
                <c:pt idx="59">
                  <c:v>46266</c:v>
                </c:pt>
              </c:numCache>
            </c:numRef>
          </c:xVal>
          <c:yVal>
            <c:numRef>
              <c:f>Расчет!$G$4:$G$63</c:f>
              <c:numCache>
                <c:formatCode>0.00</c:formatCode>
                <c:ptCount val="60"/>
                <c:pt idx="0">
                  <c:v>25.327060133630287</c:v>
                </c:pt>
                <c:pt idx="1">
                  <c:v>34.04775055679287</c:v>
                </c:pt>
                <c:pt idx="2">
                  <c:v>37.559710467706012</c:v>
                </c:pt>
                <c:pt idx="3">
                  <c:v>28.058240534521161</c:v>
                </c:pt>
                <c:pt idx="4">
                  <c:v>30.512939866369713</c:v>
                </c:pt>
                <c:pt idx="5">
                  <c:v>35.161046770601331</c:v>
                </c:pt>
                <c:pt idx="6">
                  <c:v>31.795233853006685</c:v>
                </c:pt>
                <c:pt idx="7">
                  <c:v>30.015812917594655</c:v>
                </c:pt>
                <c:pt idx="8">
                  <c:v>27.699198218262804</c:v>
                </c:pt>
                <c:pt idx="9">
                  <c:v>19.455790645879734</c:v>
                </c:pt>
                <c:pt idx="10">
                  <c:v>21.71672605790646</c:v>
                </c:pt>
                <c:pt idx="11">
                  <c:v>26.897550111358576</c:v>
                </c:pt>
                <c:pt idx="12">
                  <c:v>29.452227171492204</c:v>
                </c:pt>
                <c:pt idx="13">
                  <c:v>35.178307349665921</c:v>
                </c:pt>
                <c:pt idx="14">
                  <c:v>40.829198218262803</c:v>
                </c:pt>
                <c:pt idx="15">
                  <c:v>31.297327394209354</c:v>
                </c:pt>
                <c:pt idx="16">
                  <c:v>27.824476614699332</c:v>
                </c:pt>
                <c:pt idx="17">
                  <c:v>34.249164810690424</c:v>
                </c:pt>
                <c:pt idx="18">
                  <c:v>33.671937639198219</c:v>
                </c:pt>
                <c:pt idx="19">
                  <c:v>34.681236080178174</c:v>
                </c:pt>
                <c:pt idx="20">
                  <c:v>30.518095768374163</c:v>
                </c:pt>
                <c:pt idx="21">
                  <c:v>27.886080178173717</c:v>
                </c:pt>
                <c:pt idx="22">
                  <c:v>29.888775055679286</c:v>
                </c:pt>
                <c:pt idx="23">
                  <c:v>38.126525612472157</c:v>
                </c:pt>
                <c:pt idx="24">
                  <c:v>41.395434298440982</c:v>
                </c:pt>
                <c:pt idx="25">
                  <c:v>40.709354120267257</c:v>
                </c:pt>
                <c:pt idx="26">
                  <c:v>39.083853006681515</c:v>
                </c:pt>
                <c:pt idx="27">
                  <c:v>31.158407572383073</c:v>
                </c:pt>
                <c:pt idx="28">
                  <c:v>30.583652561247217</c:v>
                </c:pt>
                <c:pt idx="29">
                  <c:v>35.991759465478843</c:v>
                </c:pt>
                <c:pt idx="30">
                  <c:v>35.040924276169264</c:v>
                </c:pt>
                <c:pt idx="31">
                  <c:v>36.805256124721602</c:v>
                </c:pt>
                <c:pt idx="32">
                  <c:v>32.272828507795097</c:v>
                </c:pt>
                <c:pt idx="33">
                  <c:v>23.205590200445435</c:v>
                </c:pt>
                <c:pt idx="34">
                  <c:v>22.945991091314031</c:v>
                </c:pt>
                <c:pt idx="35">
                  <c:v>28.100668151447664</c:v>
                </c:pt>
                <c:pt idx="36">
                  <c:v>41.040924276169264</c:v>
                </c:pt>
                <c:pt idx="37">
                  <c:v>39.390734966592426</c:v>
                </c:pt>
                <c:pt idx="38">
                  <c:v>53.3</c:v>
                </c:pt>
                <c:pt idx="39">
                  <c:v>37.228285077951007</c:v>
                </c:pt>
                <c:pt idx="40">
                  <c:v>38.568351893095773</c:v>
                </c:pt>
                <c:pt idx="41">
                  <c:v>37.675167037861918</c:v>
                </c:pt>
                <c:pt idx="42">
                  <c:v>48.536614699331849</c:v>
                </c:pt>
                <c:pt idx="43">
                  <c:v>41.111358574610243</c:v>
                </c:pt>
                <c:pt idx="44">
                  <c:v>48.192984409799557</c:v>
                </c:pt>
                <c:pt idx="45">
                  <c:v>26.639331848552338</c:v>
                </c:pt>
                <c:pt idx="46">
                  <c:v>30.931180400890867</c:v>
                </c:pt>
                <c:pt idx="47">
                  <c:v>40.85940979955457</c:v>
                </c:pt>
                <c:pt idx="48">
                  <c:v>45.566536748329625</c:v>
                </c:pt>
                <c:pt idx="49">
                  <c:v>58.548775055679286</c:v>
                </c:pt>
                <c:pt idx="50">
                  <c:v>56.369153674832965</c:v>
                </c:pt>
                <c:pt idx="51">
                  <c:v>35.145456570155901</c:v>
                </c:pt>
                <c:pt idx="52">
                  <c:v>41.171915367483294</c:v>
                </c:pt>
                <c:pt idx="53">
                  <c:v>49.716035634743875</c:v>
                </c:pt>
                <c:pt idx="54">
                  <c:v>58.667594654788417</c:v>
                </c:pt>
                <c:pt idx="55">
                  <c:v>64.021937639198228</c:v>
                </c:pt>
                <c:pt idx="56">
                  <c:v>61.552472160356345</c:v>
                </c:pt>
                <c:pt idx="57">
                  <c:v>38.172884187082403</c:v>
                </c:pt>
                <c:pt idx="58">
                  <c:v>33.034632516703788</c:v>
                </c:pt>
                <c:pt idx="59">
                  <c:v>45.002227171492208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6C-48EB-9D25-FCDC446E9F83}"/>
            </c:ext>
          </c:extLst>
        </c:ser>
        <c:ser>
          <c:idx val="1"/>
          <c:order val="1"/>
          <c:tx>
            <c:v>Тренд (скользящее среднее 12 мес.)</c:v>
          </c:tx>
          <c:spPr>
            <a:ln w="28575">
              <a:solidFill>
                <a:srgbClr val="2E75B6"/>
              </a:solidFill>
            </a:ln>
          </c:spPr>
          <c:marker>
            <c:symbol val="none"/>
          </c:marker>
          <c:xVal>
            <c:numRef>
              <c:f>Расчет!$A$15:$A$63</c:f>
              <c:numCache>
                <c:formatCode>\y\y\y\y\-\m\m</c:formatCode>
                <c:ptCount val="49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  <c:pt idx="25">
                  <c:v>45566</c:v>
                </c:pt>
                <c:pt idx="26">
                  <c:v>45597</c:v>
                </c:pt>
                <c:pt idx="27">
                  <c:v>45627</c:v>
                </c:pt>
                <c:pt idx="28">
                  <c:v>45658</c:v>
                </c:pt>
                <c:pt idx="29">
                  <c:v>45689</c:v>
                </c:pt>
                <c:pt idx="30">
                  <c:v>45717</c:v>
                </c:pt>
                <c:pt idx="31">
                  <c:v>45748</c:v>
                </c:pt>
                <c:pt idx="32">
                  <c:v>45778</c:v>
                </c:pt>
                <c:pt idx="33">
                  <c:v>45809</c:v>
                </c:pt>
                <c:pt idx="34">
                  <c:v>45839</c:v>
                </c:pt>
                <c:pt idx="35">
                  <c:v>45870</c:v>
                </c:pt>
                <c:pt idx="36">
                  <c:v>45901</c:v>
                </c:pt>
                <c:pt idx="37">
                  <c:v>45931</c:v>
                </c:pt>
                <c:pt idx="38">
                  <c:v>45962</c:v>
                </c:pt>
                <c:pt idx="39">
                  <c:v>45992</c:v>
                </c:pt>
                <c:pt idx="40">
                  <c:v>46023</c:v>
                </c:pt>
                <c:pt idx="41">
                  <c:v>46054</c:v>
                </c:pt>
                <c:pt idx="42">
                  <c:v>46082</c:v>
                </c:pt>
                <c:pt idx="43">
                  <c:v>46113</c:v>
                </c:pt>
                <c:pt idx="44">
                  <c:v>46143</c:v>
                </c:pt>
                <c:pt idx="45">
                  <c:v>46174</c:v>
                </c:pt>
                <c:pt idx="46">
                  <c:v>46204</c:v>
                </c:pt>
                <c:pt idx="47">
                  <c:v>46235</c:v>
                </c:pt>
                <c:pt idx="48">
                  <c:v>46266</c:v>
                </c:pt>
              </c:numCache>
            </c:numRef>
          </c:xVal>
          <c:yVal>
            <c:numRef>
              <c:f>Расчет!$H$15:$H$63</c:f>
              <c:numCache>
                <c:formatCode>0.00</c:formatCode>
                <c:ptCount val="49"/>
                <c:pt idx="0">
                  <c:v>29.020588344469189</c:v>
                </c:pt>
                <c:pt idx="1">
                  <c:v>29.364352264291014</c:v>
                </c:pt>
                <c:pt idx="2">
                  <c:v>29.458565330363772</c:v>
                </c:pt>
                <c:pt idx="3">
                  <c:v>29.731022642910176</c:v>
                </c:pt>
                <c:pt idx="4">
                  <c:v>30.000946547884194</c:v>
                </c:pt>
                <c:pt idx="5">
                  <c:v>29.776907943578326</c:v>
                </c:pt>
                <c:pt idx="6">
                  <c:v>29.700917780252414</c:v>
                </c:pt>
                <c:pt idx="7">
                  <c:v>29.85730976243504</c:v>
                </c:pt>
                <c:pt idx="8">
                  <c:v>30.246095025983667</c:v>
                </c:pt>
                <c:pt idx="9">
                  <c:v>30.481003155159616</c:v>
                </c:pt>
                <c:pt idx="10">
                  <c:v>31.183527282850775</c:v>
                </c:pt>
                <c:pt idx="11">
                  <c:v>31.864531365998513</c:v>
                </c:pt>
                <c:pt idx="12">
                  <c:v>32.800279324424643</c:v>
                </c:pt>
                <c:pt idx="13">
                  <c:v>33.795546585003713</c:v>
                </c:pt>
                <c:pt idx="14">
                  <c:v>34.256467149220491</c:v>
                </c:pt>
                <c:pt idx="15">
                  <c:v>34.111021714922053</c:v>
                </c:pt>
                <c:pt idx="16">
                  <c:v>34.099445063103197</c:v>
                </c:pt>
                <c:pt idx="17">
                  <c:v>34.329376391982187</c:v>
                </c:pt>
                <c:pt idx="18">
                  <c:v>34.474592613214547</c:v>
                </c:pt>
                <c:pt idx="19">
                  <c:v>34.588674832962134</c:v>
                </c:pt>
                <c:pt idx="20">
                  <c:v>34.765676503340757</c:v>
                </c:pt>
                <c:pt idx="21">
                  <c:v>34.911904231625833</c:v>
                </c:pt>
                <c:pt idx="22">
                  <c:v>34.521863400148483</c:v>
                </c:pt>
                <c:pt idx="23">
                  <c:v>33.94329806978471</c:v>
                </c:pt>
                <c:pt idx="24">
                  <c:v>33.107809948032674</c:v>
                </c:pt>
                <c:pt idx="25">
                  <c:v>33.078267446176696</c:v>
                </c:pt>
                <c:pt idx="26">
                  <c:v>32.968382516703791</c:v>
                </c:pt>
                <c:pt idx="27">
                  <c:v>34.153061432813665</c:v>
                </c:pt>
                <c:pt idx="28">
                  <c:v>34.658884558277656</c:v>
                </c:pt>
                <c:pt idx="29">
                  <c:v>35.32427616926504</c:v>
                </c:pt>
                <c:pt idx="30">
                  <c:v>35.464560133630293</c:v>
                </c:pt>
                <c:pt idx="31">
                  <c:v>36.589201002227171</c:v>
                </c:pt>
                <c:pt idx="32">
                  <c:v>36.948042873051222</c:v>
                </c:pt>
                <c:pt idx="33">
                  <c:v>38.274722531551596</c:v>
                </c:pt>
                <c:pt idx="34">
                  <c:v>38.560867668893835</c:v>
                </c:pt>
                <c:pt idx="35">
                  <c:v>39.226300111358576</c:v>
                </c:pt>
                <c:pt idx="36">
                  <c:v>40.289528582034144</c:v>
                </c:pt>
                <c:pt idx="37">
                  <c:v>40.666662954714177</c:v>
                </c:pt>
                <c:pt idx="38">
                  <c:v>42.263166295471414</c:v>
                </c:pt>
                <c:pt idx="39">
                  <c:v>42.518929101707492</c:v>
                </c:pt>
                <c:pt idx="40">
                  <c:v>42.345360059391233</c:v>
                </c:pt>
                <c:pt idx="41">
                  <c:v>42.562323682256867</c:v>
                </c:pt>
                <c:pt idx="42">
                  <c:v>43.565729398663684</c:v>
                </c:pt>
                <c:pt idx="43">
                  <c:v>44.409977728285071</c:v>
                </c:pt>
                <c:pt idx="44">
                  <c:v>46.319192650334067</c:v>
                </c:pt>
                <c:pt idx="45">
                  <c:v>47.43248329621381</c:v>
                </c:pt>
                <c:pt idx="46">
                  <c:v>48.393612657757984</c:v>
                </c:pt>
                <c:pt idx="47">
                  <c:v>48.568900334075721</c:v>
                </c:pt>
                <c:pt idx="48">
                  <c:v>48.914135115070529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6C-48EB-9D25-FCDC446E9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565071"/>
        <c:axId val="1421567983"/>
      </c:scatterChart>
      <c:valAx>
        <c:axId val="1421565071"/>
        <c:scaling>
          <c:orientation val="minMax"/>
        </c:scaling>
        <c:delete val="0"/>
        <c:axPos val="b"/>
        <c:numFmt formatCode="mm\.yyyy" sourceLinked="0"/>
        <c:majorTickMark val="out"/>
        <c:minorTickMark val="none"/>
        <c:tickLblPos val="nextTo"/>
        <c:crossAx val="1421567983"/>
        <c:crosses val="autoZero"/>
        <c:crossBetween val="midCat"/>
      </c:valAx>
      <c:valAx>
        <c:axId val="1421567983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42156507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12700">
      <a:noFill/>
      <a:prstDash val="solid"/>
      <a:round/>
    </a:ln>
    <a:effectLst/>
    <a:extLst>
      <a:ext uri="{91240B29-F687-4F45-9708-019B960494DF}">
        <a14:hiddenLine xmlns:a14="http://schemas.microsoft.com/office/drawing/2010/main" w="12700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Сезонные индексы по месяцам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spPr>
            <a:solidFill>
              <a:srgbClr val="2E75B6"/>
            </a:solidFill>
          </c:spPr>
          <c:invertIfNegative val="0"/>
          <c:cat>
            <c:strRef>
              <c:f>Сезонность!$B$3:$B$14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Сезонность!$D$3:$D$14</c:f>
              <c:numCache>
                <c:formatCode>0.00</c:formatCode>
                <c:ptCount val="12"/>
                <c:pt idx="0">
                  <c:v>0.90669208142488567</c:v>
                </c:pt>
                <c:pt idx="1">
                  <c:v>0.91219205461276331</c:v>
                </c:pt>
                <c:pt idx="2">
                  <c:v>1.0334014638714697</c:v>
                </c:pt>
                <c:pt idx="3">
                  <c:v>1.1244592934574016</c:v>
                </c:pt>
                <c:pt idx="4">
                  <c:v>1.1037382842477403</c:v>
                </c:pt>
                <c:pt idx="5">
                  <c:v>1.0526093220810981</c:v>
                </c:pt>
                <c:pt idx="6">
                  <c:v>0.71531247695706202</c:v>
                </c:pt>
                <c:pt idx="7">
                  <c:v>0.72390754602754104</c:v>
                </c:pt>
                <c:pt idx="8">
                  <c:v>0.91530086554528789</c:v>
                </c:pt>
                <c:pt idx="9">
                  <c:v>1.0776509001470103</c:v>
                </c:pt>
                <c:pt idx="10">
                  <c:v>1.1653813292111219</c:v>
                </c:pt>
                <c:pt idx="11">
                  <c:v>1.2693543824166156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D4-4E23-93F9-59DF5CA1E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4768959"/>
        <c:axId val="1424772703"/>
      </c:barChart>
      <c:catAx>
        <c:axId val="1424768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4772703"/>
        <c:crosses val="autoZero"/>
        <c:auto val="1"/>
        <c:lblAlgn val="ctr"/>
        <c:lblOffset val="100"/>
        <c:noMultiLvlLbl val="0"/>
      </c:catAx>
      <c:valAx>
        <c:axId val="1424772703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42476895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12700">
      <a:noFill/>
      <a:prstDash val="solid"/>
      <a:round/>
    </a:ln>
    <a:effectLst/>
    <a:extLst>
      <a:ext uri="{91240B29-F687-4F45-9708-019B960494DF}">
        <a14:hiddenLine xmlns:a14="http://schemas.microsoft.com/office/drawing/2010/main" w="12700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2</xdr:col>
      <xdr:colOff>1106487</xdr:colOff>
      <xdr:row>59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EAC09F9-F206-454B-8F99-78B375896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1360487</xdr:colOff>
      <xdr:row>39</xdr:row>
      <xdr:rowOff>0</xdr:rowOff>
    </xdr:from>
    <xdr:to>
      <xdr:col>4</xdr:col>
      <xdr:colOff>736600</xdr:colOff>
      <xdr:row>59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E92F767-CBBE-4153-950C-D364800A9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3:F63" headerRowDxfId="79" dataDxfId="78" totalsRowDxfId="77">
  <tableColumns count="6">
    <tableColumn id="1" xr3:uid="{00000000-0010-0000-0000-000001000000}" name="Период" dataDxfId="76"/>
    <tableColumn id="2" xr3:uid="{00000000-0010-0000-0000-000002000000}" name="Кластер запросов" dataDxfId="75"/>
    <tableColumn id="3" xr3:uid="{00000000-0010-0000-0000-000003000000}" name="Google Trends, 0-100" dataDxfId="74"/>
    <tableColumn id="4" xr3:uid="{00000000-0010-0000-0000-000004000000}" name="Яндекс Вордстат, запросов" dataDxfId="73"/>
    <tableColumn id="5" xr3:uid="{00000000-0010-0000-0000-000005000000}" name="Регион / рынок" dataDxfId="72"/>
    <tableColumn id="6" xr3:uid="{00000000-0010-0000-0000-000006000000}" name="Комментарий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3:N63" headerRowDxfId="70" dataDxfId="69" totalsRowDxfId="68">
  <tableColumns count="14">
    <tableColumn id="1" xr3:uid="{00000000-0010-0000-0100-000001000000}" name="Период" dataDxfId="67"/>
    <tableColumn id="2" xr3:uid="{00000000-0010-0000-0100-000002000000}" name="Месяц №" dataDxfId="66"/>
    <tableColumn id="3" xr3:uid="{00000000-0010-0000-0100-000003000000}" name="Месяц" dataDxfId="65"/>
    <tableColumn id="4" xr3:uid="{00000000-0010-0000-0100-000004000000}" name="Google Trends" dataDxfId="64"/>
    <tableColumn id="5" xr3:uid="{00000000-0010-0000-0100-000005000000}" name="Вордстат" dataDxfId="63"/>
    <tableColumn id="6" xr3:uid="{00000000-0010-0000-0100-000006000000}" name="Вордстат норм. 0-100" dataDxfId="62"/>
    <tableColumn id="7" xr3:uid="{00000000-0010-0000-0100-000007000000}" name="Сводный индекс" dataDxfId="61"/>
    <tableColumn id="8" xr3:uid="{00000000-0010-0000-0100-000008000000}" name="Скользящее среднее 12 мес. (тренд)" dataDxfId="60"/>
    <tableColumn id="9" xr3:uid="{00000000-0010-0000-0100-000009000000}" name="Y/T" dataDxfId="59"/>
    <tableColumn id="10" xr3:uid="{00000000-0010-0000-0100-00000A000000}" name="Сезонно очищенный индекс" dataDxfId="58"/>
    <tableColumn id="11" xr3:uid="{00000000-0010-0000-0100-00000B000000}" name="Циклический коэффициент" dataDxfId="57"/>
    <tableColumn id="12" xr3:uid="{00000000-0010-0000-0100-00000C000000}" name="Фаза цикла" dataDxfId="56"/>
    <tableColumn id="13" xr3:uid="{00000000-0010-0000-0100-00000D000000}" name="Комментарий" dataDxfId="55"/>
    <tableColumn id="14" xr3:uid="{00000000-0010-0000-0100-00000E000000}" name="Порядковый №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2:F14" headerRowDxfId="53" dataDxfId="52" totalsRowDxfId="51">
  <tableColumns count="6">
    <tableColumn id="1" xr3:uid="{00000000-0010-0000-0200-000001000000}" name="Месяц №" dataDxfId="50"/>
    <tableColumn id="2" xr3:uid="{00000000-0010-0000-0200-000002000000}" name="Месяц" dataDxfId="49"/>
    <tableColumn id="3" xr3:uid="{00000000-0010-0000-0200-000003000000}" name="Средний Y/T" dataDxfId="48"/>
    <tableColumn id="4" xr3:uid="{00000000-0010-0000-0200-000004000000}" name="Сезонный индекс" dataDxfId="47"/>
    <tableColumn id="5" xr3:uid="{00000000-0010-0000-0200-000005000000}" name="Отклонение от среднего" dataDxfId="46"/>
    <tableColumn id="6" xr3:uid="{00000000-0010-0000-0200-000006000000}" name="Интерпретация" dataDxfId="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2:D10" headerRowDxfId="44" dataDxfId="43" totalsRowDxfId="42">
  <tableColumns count="4">
    <tableColumn id="1" xr3:uid="{00000000-0010-0000-0300-000001000000}" name="Показатель" dataDxfId="41"/>
    <tableColumn id="2" xr3:uid="{00000000-0010-0000-0300-000002000000}" name="Формула / значение" dataDxfId="40"/>
    <tableColumn id="3" xr3:uid="{00000000-0010-0000-0300-000003000000}" name="Интерпретация" dataDxfId="39"/>
    <tableColumn id="4" xr3:uid="{00000000-0010-0000-0300-000004000000}" name="Комментарий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0:H70" headerRowDxfId="37" dataDxfId="36" totalsRowDxfId="35">
  <tableColumns count="8">
    <tableColumn id="1" xr3:uid="{00000000-0010-0000-0400-000001000000}" name="Период" dataDxfId="34"/>
    <tableColumn id="2" xr3:uid="{00000000-0010-0000-0400-000002000000}" name="Сводный индекс" dataDxfId="33"/>
    <tableColumn id="3" xr3:uid="{00000000-0010-0000-0400-000003000000}" name="Тренд" dataDxfId="32"/>
    <tableColumn id="4" xr3:uid="{00000000-0010-0000-0400-000004000000}" name="Сезонный индекс" dataDxfId="31"/>
    <tableColumn id="5" xr3:uid="{00000000-0010-0000-0400-000005000000}" name="Сезонно очищенный индекс" dataDxfId="30"/>
    <tableColumn id="6" xr3:uid="{00000000-0010-0000-0400-000006000000}" name="Циклический коэффициент" dataDxfId="29"/>
    <tableColumn id="7" xr3:uid="{00000000-0010-0000-0400-000007000000}" name="Фаза" dataDxfId="28"/>
    <tableColumn id="8" xr3:uid="{00000000-0010-0000-0400-000008000000}" name="Практическое значение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2:H4" headerRowDxfId="26" dataDxfId="25" totalsRowDxfId="24">
  <tableColumns count="8">
    <tableColumn id="1" xr3:uid="{00000000-0010-0000-0500-000001000000}" name="Дата выгрузки" dataDxfId="23"/>
    <tableColumn id="2" xr3:uid="{00000000-0010-0000-0500-000002000000}" name="Источник" dataDxfId="22"/>
    <tableColumn id="3" xr3:uid="{00000000-0010-0000-0500-000003000000}" name="Запрос / кластер" dataDxfId="21"/>
    <tableColumn id="4" xr3:uid="{00000000-0010-0000-0500-000004000000}" name="Регион" dataDxfId="20"/>
    <tableColumn id="5" xr3:uid="{00000000-0010-0000-0500-000005000000}" name="Период" dataDxfId="19"/>
    <tableColumn id="6" xr3:uid="{00000000-0010-0000-0500-000006000000}" name="Формат файла" dataDxfId="18"/>
    <tableColumn id="7" xr3:uid="{00000000-0010-0000-0500-000007000000}" name="Имя файла" dataDxfId="17"/>
    <tableColumn id="8" xr3:uid="{00000000-0010-0000-0500-000008000000}" name="Примечание" dataDxfId="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2:F8" headerRowDxfId="15" dataDxfId="14" totalsRowDxfId="13">
  <tableColumns count="6">
    <tableColumn id="1" xr3:uid="{00000000-0010-0000-0600-000001000000}" name="Раздел" dataDxfId="12"/>
    <tableColumn id="2" xr3:uid="{00000000-0010-0000-0600-000002000000}" name="Содержание" dataDxfId="11"/>
    <tableColumn id="3" xr3:uid="{00000000-0010-0000-0600-000003000000}" name="Практическое действие" dataDxfId="10"/>
    <tableColumn id="4" xr3:uid="{00000000-0010-0000-0600-000004000000}" name="Результат" dataDxfId="9"/>
    <tableColumn id="5" xr3:uid="{00000000-0010-0000-0600-000005000000}" name="Ограничение" dataDxfId="8"/>
    <tableColumn id="6" xr3:uid="{00000000-0010-0000-0600-000006000000}" name="Источник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2:D11" headerRowDxfId="6" dataDxfId="5" totalsRowDxfId="4">
  <tableColumns count="4">
    <tableColumn id="1" xr3:uid="{00000000-0010-0000-0700-000001000000}" name="Параметр" dataDxfId="3"/>
    <tableColumn id="2" xr3:uid="{00000000-0010-0000-0700-000002000000}" name="Значение" dataDxfId="2"/>
    <tableColumn id="3" xr3:uid="{00000000-0010-0000-0700-000003000000}" name="Назначение" dataDxfId="1"/>
    <tableColumn id="4" xr3:uid="{00000000-0010-0000-0700-000004000000}" name="Рекомендация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"/>
  <sheetViews>
    <sheetView tabSelected="1" workbookViewId="0">
      <selection sqref="A1:H1"/>
    </sheetView>
  </sheetViews>
  <sheetFormatPr defaultRowHeight="13.5"/>
  <cols>
    <col min="1" max="1" width="14.0625" customWidth="1"/>
    <col min="2" max="2" width="49.75" customWidth="1"/>
    <col min="3" max="3" width="25.625" customWidth="1"/>
    <col min="4" max="4" width="52.5625" customWidth="1"/>
    <col min="5" max="26" width="10.5625" customWidth="1"/>
  </cols>
  <sheetData>
    <row r="1" spans="1:26" ht="20" customHeight="1">
      <c r="A1" s="31" t="s">
        <v>0</v>
      </c>
      <c r="B1" s="31"/>
      <c r="C1" s="31"/>
      <c r="D1" s="31"/>
      <c r="E1" s="31"/>
      <c r="F1" s="31"/>
      <c r="G1" s="31"/>
      <c r="H1" s="3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>
      <c r="A2" s="33" t="s">
        <v>186</v>
      </c>
      <c r="B2" s="33"/>
      <c r="C2" s="33"/>
      <c r="D2" s="33"/>
      <c r="E2" s="34"/>
      <c r="F2" s="34"/>
      <c r="G2" s="34"/>
      <c r="H2" s="3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4" t="s">
        <v>1</v>
      </c>
      <c r="B3" s="4" t="s">
        <v>2</v>
      </c>
      <c r="C3" s="4" t="s">
        <v>3</v>
      </c>
      <c r="D3" s="9" t="s">
        <v>190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>
      <c r="A4" s="6" t="s">
        <v>4</v>
      </c>
      <c r="B4" s="6" t="s">
        <v>5</v>
      </c>
      <c r="C4" s="6">
        <f>Оценка_тренда!B3</f>
        <v>60</v>
      </c>
      <c r="D4" s="11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>
      <c r="A5" s="6" t="s">
        <v>7</v>
      </c>
      <c r="B5" s="6" t="s">
        <v>8</v>
      </c>
      <c r="C5" s="6" t="str">
        <f>Оценка_тренда!B9</f>
        <v>растущий тренд</v>
      </c>
      <c r="D5" s="15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>
      <c r="A6" s="6" t="s">
        <v>7</v>
      </c>
      <c r="B6" s="10" t="s">
        <v>10</v>
      </c>
      <c r="C6" s="14">
        <f>Оценка_тренда!B7</f>
        <v>0.68549770716115399</v>
      </c>
      <c r="D6" s="11" t="s">
        <v>11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>
      <c r="A7" s="6" t="s">
        <v>12</v>
      </c>
      <c r="B7" s="6" t="s">
        <v>13</v>
      </c>
      <c r="C7" s="6" t="str">
        <f>Сезонность!B19</f>
        <v>выраженная сезонность</v>
      </c>
      <c r="D7" s="15" t="s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6" t="s">
        <v>12</v>
      </c>
      <c r="B8" s="6" t="s">
        <v>15</v>
      </c>
      <c r="C8" s="6" t="str">
        <f>Сезонность!B20</f>
        <v>декабрь</v>
      </c>
      <c r="D8" s="15" t="s">
        <v>16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6" t="s">
        <v>12</v>
      </c>
      <c r="B9" s="6" t="s">
        <v>17</v>
      </c>
      <c r="C9" s="6" t="str">
        <f>Сезонность!B21</f>
        <v>июль</v>
      </c>
      <c r="D9" s="15" t="s">
        <v>18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>
      <c r="A10" s="6" t="s">
        <v>19</v>
      </c>
      <c r="B10" s="6" t="s">
        <v>20</v>
      </c>
      <c r="C10" s="6" t="str">
        <f>Деловые_циклы!B6</f>
        <v>норма</v>
      </c>
      <c r="D10" s="15" t="s">
        <v>21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7" t="s">
        <v>19</v>
      </c>
      <c r="B11" s="7" t="s">
        <v>22</v>
      </c>
      <c r="C11" s="17">
        <f>Деловые_циклы!B5</f>
        <v>1.0051612916396897</v>
      </c>
      <c r="D11" s="13" t="s">
        <v>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customHeight="1">
      <c r="A14" s="36" t="s">
        <v>240</v>
      </c>
      <c r="B14" s="36"/>
      <c r="C14" s="36"/>
      <c r="D14" s="36"/>
      <c r="E14" s="36"/>
      <c r="F14" s="36"/>
      <c r="G14" s="36"/>
      <c r="H14" s="3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6" customHeight="1">
      <c r="A15" s="38" t="str">
        <f>Оценка_тренда!B10&amp;" Для ряда характерна "&amp;Сезонность!B19&amp;", максимум интереса приходится на "&amp;Сезонность!B20&amp;", минимум на "&amp;Сезонность!B21&amp;". Текущая фаза спроса - "&amp;Деловые_циклы!B6&amp;"."</f>
        <v>Интерес аудитории растет; бизнес-идея может быть дополнительно проверена на платежеспособный спрос. Для ряда характерна выраженная сезонность, максимум интереса приходится на декабрь, минимум на июль. Текущая фаза спроса - норма.</v>
      </c>
      <c r="B15" s="38"/>
      <c r="C15" s="38"/>
      <c r="D15" s="38"/>
      <c r="E15" s="38"/>
      <c r="F15" s="38"/>
      <c r="G15" s="38"/>
      <c r="H15" s="3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customHeight="1">
      <c r="A16" s="38"/>
      <c r="B16" s="38"/>
      <c r="C16" s="38"/>
      <c r="D16" s="38"/>
      <c r="E16" s="38"/>
      <c r="F16" s="38"/>
      <c r="G16" s="38"/>
      <c r="H16" s="3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" customHeight="1">
      <c r="A17" s="38"/>
      <c r="B17" s="38"/>
      <c r="C17" s="38"/>
      <c r="D17" s="38"/>
      <c r="E17" s="38"/>
      <c r="F17" s="38"/>
      <c r="G17" s="38"/>
      <c r="H17" s="3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customHeight="1">
      <c r="A18" s="40"/>
      <c r="B18" s="40"/>
      <c r="C18" s="40"/>
      <c r="D18" s="40"/>
      <c r="E18" s="40"/>
      <c r="F18" s="40"/>
      <c r="G18" s="40"/>
      <c r="H18" s="4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</sheetData>
  <mergeCells count="4">
    <mergeCell ref="A1:H1"/>
    <mergeCell ref="A2:H2"/>
    <mergeCell ref="A14:H14"/>
    <mergeCell ref="A15:H1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3"/>
  <sheetViews>
    <sheetView workbookViewId="0"/>
  </sheetViews>
  <sheetFormatPr defaultRowHeight="13.5"/>
  <cols>
    <col min="1" max="1" width="10.9375" customWidth="1"/>
    <col min="2" max="2" width="34" customWidth="1"/>
    <col min="3" max="3" width="24.5625" customWidth="1"/>
    <col min="4" max="4" width="29.8125" customWidth="1"/>
    <col min="5" max="5" width="48.6875" customWidth="1"/>
    <col min="6" max="6" width="52.5625" customWidth="1"/>
    <col min="7" max="26" width="10.5625" customWidth="1"/>
  </cols>
  <sheetData>
    <row r="1" spans="1:26" ht="20" customHeight="1">
      <c r="A1" s="31" t="s">
        <v>24</v>
      </c>
      <c r="B1" s="31"/>
      <c r="C1" s="31"/>
      <c r="D1" s="31"/>
      <c r="E1" s="31"/>
      <c r="F1" s="3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>
      <c r="A2" s="33" t="s">
        <v>187</v>
      </c>
      <c r="B2" s="33"/>
      <c r="C2" s="33"/>
      <c r="D2" s="33"/>
      <c r="E2" s="33"/>
      <c r="F2" s="4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4" t="s">
        <v>25</v>
      </c>
      <c r="B3" s="4" t="s">
        <v>26</v>
      </c>
      <c r="C3" s="4" t="s">
        <v>191</v>
      </c>
      <c r="D3" s="4" t="s">
        <v>27</v>
      </c>
      <c r="E3" s="4" t="s">
        <v>28</v>
      </c>
      <c r="F3" s="9" t="s">
        <v>29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18">
        <v>44470</v>
      </c>
      <c r="B4" s="10" t="s">
        <v>173</v>
      </c>
      <c r="C4" s="20">
        <v>3.8</v>
      </c>
      <c r="D4" s="20">
        <v>1683</v>
      </c>
      <c r="E4" s="10" t="s">
        <v>194</v>
      </c>
      <c r="F4" s="15" t="s">
        <v>195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8">
        <v>44501</v>
      </c>
      <c r="B5" s="10" t="s">
        <v>173</v>
      </c>
      <c r="C5" s="20">
        <v>4.12</v>
      </c>
      <c r="D5" s="20">
        <v>2298</v>
      </c>
      <c r="E5" s="10" t="s">
        <v>194</v>
      </c>
      <c r="F5" s="15" t="s">
        <v>196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8">
        <v>44531</v>
      </c>
      <c r="B6" s="10" t="s">
        <v>173</v>
      </c>
      <c r="C6" s="20">
        <v>4.88</v>
      </c>
      <c r="D6" s="20">
        <v>2523</v>
      </c>
      <c r="E6" s="10" t="s">
        <v>194</v>
      </c>
      <c r="F6" s="15" t="s">
        <v>197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2.75">
      <c r="A7" s="18">
        <v>44562</v>
      </c>
      <c r="B7" s="10" t="s">
        <v>173</v>
      </c>
      <c r="C7" s="20">
        <v>6.2</v>
      </c>
      <c r="D7" s="20">
        <v>1793</v>
      </c>
      <c r="E7" s="10" t="s">
        <v>194</v>
      </c>
      <c r="F7" s="15" t="s">
        <v>198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18">
        <v>44593</v>
      </c>
      <c r="B8" s="10" t="s">
        <v>173</v>
      </c>
      <c r="C8" s="20">
        <v>7.88</v>
      </c>
      <c r="D8" s="20">
        <v>1909</v>
      </c>
      <c r="E8" s="10" t="s">
        <v>194</v>
      </c>
      <c r="F8" s="15" t="s">
        <v>199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18">
        <v>44621</v>
      </c>
      <c r="B9" s="10" t="s">
        <v>173</v>
      </c>
      <c r="C9" s="20">
        <v>8.8800000000000008</v>
      </c>
      <c r="D9" s="20">
        <v>2207</v>
      </c>
      <c r="E9" s="10" t="s">
        <v>194</v>
      </c>
      <c r="F9" s="15" t="s">
        <v>200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18">
        <v>44652</v>
      </c>
      <c r="B10" s="10" t="s">
        <v>173</v>
      </c>
      <c r="C10" s="20">
        <v>6.38</v>
      </c>
      <c r="D10" s="20">
        <v>2055</v>
      </c>
      <c r="E10" s="10" t="s">
        <v>194</v>
      </c>
      <c r="F10" s="15" t="s">
        <v>201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18">
        <v>44682</v>
      </c>
      <c r="B11" s="10" t="s">
        <v>173</v>
      </c>
      <c r="C11" s="20">
        <v>5.8</v>
      </c>
      <c r="D11" s="20">
        <v>1948</v>
      </c>
      <c r="E11" s="10" t="s">
        <v>194</v>
      </c>
      <c r="F11" s="15" t="s">
        <v>202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>
      <c r="A12" s="18">
        <v>44713</v>
      </c>
      <c r="B12" s="10" t="s">
        <v>173</v>
      </c>
      <c r="C12" s="20">
        <v>5.12</v>
      </c>
      <c r="D12" s="20">
        <v>1806</v>
      </c>
      <c r="E12" s="10" t="s">
        <v>194</v>
      </c>
      <c r="F12" s="15" t="s">
        <v>203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2.75">
      <c r="A13" s="18">
        <v>44743</v>
      </c>
      <c r="B13" s="10" t="s">
        <v>173</v>
      </c>
      <c r="C13" s="20">
        <v>6.2</v>
      </c>
      <c r="D13" s="20">
        <v>1175</v>
      </c>
      <c r="E13" s="10" t="s">
        <v>194</v>
      </c>
      <c r="F13" s="15" t="s">
        <v>204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8">
        <v>44774</v>
      </c>
      <c r="B14" s="10" t="s">
        <v>173</v>
      </c>
      <c r="C14" s="20">
        <v>6.88</v>
      </c>
      <c r="D14" s="20">
        <v>1313</v>
      </c>
      <c r="E14" s="10" t="s">
        <v>194</v>
      </c>
      <c r="F14" s="15" t="s">
        <v>205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>
      <c r="A15" s="18">
        <v>44805</v>
      </c>
      <c r="B15" s="10" t="s">
        <v>173</v>
      </c>
      <c r="C15" s="20">
        <v>8.5</v>
      </c>
      <c r="D15" s="20">
        <v>1627</v>
      </c>
      <c r="E15" s="10" t="s">
        <v>194</v>
      </c>
      <c r="F15" s="15" t="s">
        <v>206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>
      <c r="A16" s="18">
        <v>44835</v>
      </c>
      <c r="B16" s="10" t="s">
        <v>173</v>
      </c>
      <c r="C16" s="20">
        <v>6.9</v>
      </c>
      <c r="D16" s="20">
        <v>1868</v>
      </c>
      <c r="E16" s="10" t="s">
        <v>194</v>
      </c>
      <c r="F16" s="15" t="s">
        <v>207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5">
      <c r="A17" s="18">
        <v>44866</v>
      </c>
      <c r="B17" s="10" t="s">
        <v>173</v>
      </c>
      <c r="C17" s="20">
        <v>5.88</v>
      </c>
      <c r="D17" s="20">
        <v>2316</v>
      </c>
      <c r="E17" s="10" t="s">
        <v>194</v>
      </c>
      <c r="F17" s="15" t="s">
        <v>208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5">
      <c r="A18" s="18">
        <v>44896</v>
      </c>
      <c r="B18" s="10" t="s">
        <v>173</v>
      </c>
      <c r="C18" s="20">
        <v>6.38</v>
      </c>
      <c r="D18" s="20">
        <v>2704</v>
      </c>
      <c r="E18" s="10" t="s">
        <v>194</v>
      </c>
      <c r="F18" s="15" t="s">
        <v>209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.5">
      <c r="A19" s="18">
        <v>44927</v>
      </c>
      <c r="B19" s="10" t="s">
        <v>173</v>
      </c>
      <c r="C19" s="20">
        <v>7.5</v>
      </c>
      <c r="D19" s="20">
        <v>1979</v>
      </c>
      <c r="E19" s="10" t="s">
        <v>194</v>
      </c>
      <c r="F19" s="15" t="s">
        <v>210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.5">
      <c r="A20" s="18">
        <v>44958</v>
      </c>
      <c r="B20" s="10" t="s">
        <v>173</v>
      </c>
      <c r="C20" s="20">
        <v>5.12</v>
      </c>
      <c r="D20" s="20">
        <v>1815</v>
      </c>
      <c r="E20" s="10" t="s">
        <v>194</v>
      </c>
      <c r="F20" s="15" t="s">
        <v>211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.5">
      <c r="A21" s="18">
        <v>44986</v>
      </c>
      <c r="B21" s="10" t="s">
        <v>173</v>
      </c>
      <c r="C21" s="20">
        <v>6.75</v>
      </c>
      <c r="D21" s="20">
        <v>2218</v>
      </c>
      <c r="E21" s="10" t="s">
        <v>194</v>
      </c>
      <c r="F21" s="15" t="s">
        <v>212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A22" s="18">
        <v>45017</v>
      </c>
      <c r="B22" s="10" t="s">
        <v>173</v>
      </c>
      <c r="C22" s="20">
        <v>7.6</v>
      </c>
      <c r="D22" s="20">
        <v>2146</v>
      </c>
      <c r="E22" s="10" t="s">
        <v>194</v>
      </c>
      <c r="F22" s="15" t="s">
        <v>200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>
      <c r="A23" s="18">
        <v>45047</v>
      </c>
      <c r="B23" s="10" t="s">
        <v>173</v>
      </c>
      <c r="C23" s="20">
        <v>6.25</v>
      </c>
      <c r="D23" s="20">
        <v>2267</v>
      </c>
      <c r="E23" s="10" t="s">
        <v>194</v>
      </c>
      <c r="F23" s="15" t="s">
        <v>208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>
      <c r="A24" s="18">
        <v>45078</v>
      </c>
      <c r="B24" s="10" t="s">
        <v>173</v>
      </c>
      <c r="C24" s="20">
        <v>7.25</v>
      </c>
      <c r="D24" s="20">
        <v>1932</v>
      </c>
      <c r="E24" s="10" t="s">
        <v>194</v>
      </c>
      <c r="F24" s="15" t="s">
        <v>199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.5">
      <c r="A25" s="18">
        <v>45108</v>
      </c>
      <c r="B25" s="10" t="s">
        <v>173</v>
      </c>
      <c r="C25" s="20">
        <v>5.8</v>
      </c>
      <c r="D25" s="20">
        <v>1795</v>
      </c>
      <c r="E25" s="10" t="s">
        <v>194</v>
      </c>
      <c r="F25" s="15" t="s">
        <v>203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8.5">
      <c r="A26" s="18">
        <v>45139</v>
      </c>
      <c r="B26" s="10" t="s">
        <v>173</v>
      </c>
      <c r="C26" s="20">
        <v>5.88</v>
      </c>
      <c r="D26" s="20">
        <v>1936</v>
      </c>
      <c r="E26" s="10" t="s">
        <v>194</v>
      </c>
      <c r="F26" s="15" t="s">
        <v>202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8.5">
      <c r="A27" s="18">
        <v>45170</v>
      </c>
      <c r="B27" s="10" t="s">
        <v>173</v>
      </c>
      <c r="C27" s="20">
        <v>8.3800000000000008</v>
      </c>
      <c r="D27" s="20">
        <v>2438</v>
      </c>
      <c r="E27" s="10" t="s">
        <v>194</v>
      </c>
      <c r="F27" s="15" t="s">
        <v>213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5">
      <c r="A28" s="18">
        <v>45200</v>
      </c>
      <c r="B28" s="10" t="s">
        <v>173</v>
      </c>
      <c r="C28" s="20">
        <v>6.9</v>
      </c>
      <c r="D28" s="20">
        <v>2726</v>
      </c>
      <c r="E28" s="10" t="s">
        <v>194</v>
      </c>
      <c r="F28" s="15" t="s">
        <v>209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8.5">
      <c r="A29" s="18">
        <v>45231</v>
      </c>
      <c r="B29" s="10" t="s">
        <v>173</v>
      </c>
      <c r="C29" s="20">
        <v>5.5</v>
      </c>
      <c r="D29" s="20">
        <v>2727</v>
      </c>
      <c r="E29" s="10" t="s">
        <v>194</v>
      </c>
      <c r="F29" s="15" t="s">
        <v>197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.5">
      <c r="A30" s="18">
        <v>45261</v>
      </c>
      <c r="B30" s="10" t="s">
        <v>173</v>
      </c>
      <c r="C30" s="20">
        <v>5.2</v>
      </c>
      <c r="D30" s="20">
        <v>2621</v>
      </c>
      <c r="E30" s="10" t="s">
        <v>194</v>
      </c>
      <c r="F30" s="15" t="s">
        <v>197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8.5">
      <c r="A31" s="18">
        <v>45292</v>
      </c>
      <c r="B31" s="10" t="s">
        <v>173</v>
      </c>
      <c r="C31" s="20">
        <v>7.25</v>
      </c>
      <c r="D31" s="20">
        <v>1978</v>
      </c>
      <c r="E31" s="10" t="s">
        <v>194</v>
      </c>
      <c r="F31" s="15" t="s">
        <v>214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>
      <c r="A32" s="18">
        <v>45323</v>
      </c>
      <c r="B32" s="10" t="s">
        <v>173</v>
      </c>
      <c r="C32" s="20">
        <v>6.88</v>
      </c>
      <c r="D32" s="20">
        <v>1950</v>
      </c>
      <c r="E32" s="10" t="s">
        <v>194</v>
      </c>
      <c r="F32" s="15" t="s">
        <v>207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8.5">
      <c r="A33" s="18">
        <v>45352</v>
      </c>
      <c r="B33" s="10" t="s">
        <v>173</v>
      </c>
      <c r="C33" s="20">
        <v>9.4</v>
      </c>
      <c r="D33" s="20">
        <v>2248</v>
      </c>
      <c r="E33" s="10" t="s">
        <v>194</v>
      </c>
      <c r="F33" s="15" t="s">
        <v>215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>
      <c r="A34" s="18">
        <v>45383</v>
      </c>
      <c r="B34" s="10" t="s">
        <v>173</v>
      </c>
      <c r="C34" s="20">
        <v>8.25</v>
      </c>
      <c r="D34" s="20">
        <v>2221</v>
      </c>
      <c r="E34" s="10" t="s">
        <v>194</v>
      </c>
      <c r="F34" s="15" t="s">
        <v>200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>
      <c r="A35" s="18">
        <v>45413</v>
      </c>
      <c r="B35" s="10" t="s">
        <v>173</v>
      </c>
      <c r="C35" s="20">
        <v>7.38</v>
      </c>
      <c r="D35" s="20">
        <v>2379</v>
      </c>
      <c r="E35" s="10" t="s">
        <v>194</v>
      </c>
      <c r="F35" s="15" t="s">
        <v>200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>
      <c r="A36" s="18">
        <v>45444</v>
      </c>
      <c r="B36" s="10" t="s">
        <v>173</v>
      </c>
      <c r="C36" s="20">
        <v>6.5</v>
      </c>
      <c r="D36" s="20">
        <v>2085</v>
      </c>
      <c r="E36" s="10" t="s">
        <v>194</v>
      </c>
      <c r="F36" s="15" t="s">
        <v>207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8.5">
      <c r="A37" s="18">
        <v>45474</v>
      </c>
      <c r="B37" s="10" t="s">
        <v>173</v>
      </c>
      <c r="C37" s="20">
        <v>7.38</v>
      </c>
      <c r="D37" s="20">
        <v>1402</v>
      </c>
      <c r="E37" s="10" t="s">
        <v>194</v>
      </c>
      <c r="F37" s="15" t="s">
        <v>216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8.5">
      <c r="A38" s="18">
        <v>45505</v>
      </c>
      <c r="B38" s="10" t="s">
        <v>173</v>
      </c>
      <c r="C38" s="20">
        <v>7</v>
      </c>
      <c r="D38" s="20">
        <v>1397</v>
      </c>
      <c r="E38" s="10" t="s">
        <v>194</v>
      </c>
      <c r="F38" s="15" t="s">
        <v>205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8.5">
      <c r="A39" s="18">
        <v>45536</v>
      </c>
      <c r="B39" s="10" t="s">
        <v>173</v>
      </c>
      <c r="C39" s="20">
        <v>10.6</v>
      </c>
      <c r="D39" s="20">
        <v>1638</v>
      </c>
      <c r="E39" s="10" t="s">
        <v>194</v>
      </c>
      <c r="F39" s="15" t="s">
        <v>217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2.75">
      <c r="A40" s="18">
        <v>45566</v>
      </c>
      <c r="B40" s="10" t="s">
        <v>173</v>
      </c>
      <c r="C40" s="20">
        <v>7.75</v>
      </c>
      <c r="D40" s="20">
        <v>2670</v>
      </c>
      <c r="E40" s="10" t="s">
        <v>194</v>
      </c>
      <c r="F40" s="15" t="s">
        <v>218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8.5">
      <c r="A41" s="18">
        <v>45597</v>
      </c>
      <c r="B41" s="10" t="s">
        <v>173</v>
      </c>
      <c r="C41" s="20">
        <v>6.12</v>
      </c>
      <c r="D41" s="20">
        <v>2610</v>
      </c>
      <c r="E41" s="10" t="s">
        <v>194</v>
      </c>
      <c r="F41" s="15" t="s">
        <v>197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8.5">
      <c r="A42" s="18">
        <v>45627</v>
      </c>
      <c r="B42" s="10" t="s">
        <v>173</v>
      </c>
      <c r="C42" s="20">
        <v>6.6</v>
      </c>
      <c r="D42" s="20">
        <v>3592</v>
      </c>
      <c r="E42" s="10" t="s">
        <v>194</v>
      </c>
      <c r="F42" s="15" t="s">
        <v>219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8.5">
      <c r="A43" s="18">
        <v>45658</v>
      </c>
      <c r="B43" s="10" t="s">
        <v>173</v>
      </c>
      <c r="C43" s="20">
        <v>6.5</v>
      </c>
      <c r="D43" s="20">
        <v>2441</v>
      </c>
      <c r="E43" s="10" t="s">
        <v>194</v>
      </c>
      <c r="F43" s="15" t="s">
        <v>220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8.5">
      <c r="A44" s="18">
        <v>45689</v>
      </c>
      <c r="B44" s="10" t="s">
        <v>173</v>
      </c>
      <c r="C44" s="20">
        <v>7.12</v>
      </c>
      <c r="D44" s="20">
        <v>2515</v>
      </c>
      <c r="E44" s="10" t="s">
        <v>194</v>
      </c>
      <c r="F44" s="15" t="s">
        <v>209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>
      <c r="A45" s="18">
        <v>45717</v>
      </c>
      <c r="B45" s="10" t="s">
        <v>173</v>
      </c>
      <c r="C45" s="20">
        <v>7.7</v>
      </c>
      <c r="D45" s="20">
        <v>2430</v>
      </c>
      <c r="E45" s="10" t="s">
        <v>194</v>
      </c>
      <c r="F45" s="15" t="s">
        <v>200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42.75">
      <c r="A46" s="18">
        <v>45748</v>
      </c>
      <c r="B46" s="10" t="s">
        <v>173</v>
      </c>
      <c r="C46" s="20">
        <v>5.62</v>
      </c>
      <c r="D46" s="20">
        <v>3285</v>
      </c>
      <c r="E46" s="10" t="s">
        <v>194</v>
      </c>
      <c r="F46" s="15" t="s">
        <v>221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8.5">
      <c r="A47" s="18">
        <v>45778</v>
      </c>
      <c r="B47" s="10" t="s">
        <v>173</v>
      </c>
      <c r="C47" s="20">
        <v>7</v>
      </c>
      <c r="D47" s="20">
        <v>2702</v>
      </c>
      <c r="E47" s="10" t="s">
        <v>194</v>
      </c>
      <c r="F47" s="15" t="s">
        <v>209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2.75">
      <c r="A48" s="18">
        <v>45809</v>
      </c>
      <c r="B48" s="10" t="s">
        <v>173</v>
      </c>
      <c r="C48" s="20">
        <v>12.7</v>
      </c>
      <c r="D48" s="20">
        <v>3006</v>
      </c>
      <c r="E48" s="10" t="s">
        <v>194</v>
      </c>
      <c r="F48" s="15" t="s">
        <v>222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8.5">
      <c r="A49" s="18">
        <v>45839</v>
      </c>
      <c r="B49" s="10" t="s">
        <v>173</v>
      </c>
      <c r="C49" s="20">
        <v>11.38</v>
      </c>
      <c r="D49" s="20">
        <v>1505</v>
      </c>
      <c r="E49" s="10" t="s">
        <v>194</v>
      </c>
      <c r="F49" s="15" t="s">
        <v>223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2.75">
      <c r="A50" s="18">
        <v>45870</v>
      </c>
      <c r="B50" s="10" t="s">
        <v>173</v>
      </c>
      <c r="C50" s="20">
        <v>21.3</v>
      </c>
      <c r="D50" s="20">
        <v>1457</v>
      </c>
      <c r="E50" s="10" t="s">
        <v>194</v>
      </c>
      <c r="F50" s="15" t="s">
        <v>224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>
      <c r="A51" s="18">
        <v>45901</v>
      </c>
      <c r="B51" s="10" t="s">
        <v>173</v>
      </c>
      <c r="C51" s="20">
        <v>20.75</v>
      </c>
      <c r="D51" s="20">
        <v>2190</v>
      </c>
      <c r="E51" s="10" t="s">
        <v>194</v>
      </c>
      <c r="F51" s="15" t="s">
        <v>225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8.5">
      <c r="A52" s="18">
        <v>45931</v>
      </c>
      <c r="B52" s="10" t="s">
        <v>173</v>
      </c>
      <c r="C52" s="20">
        <v>18.75</v>
      </c>
      <c r="D52" s="20">
        <v>2600</v>
      </c>
      <c r="E52" s="10" t="s">
        <v>194</v>
      </c>
      <c r="F52" s="15" t="s">
        <v>226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2.75">
      <c r="A53" s="18">
        <v>45962</v>
      </c>
      <c r="B53" s="10" t="s">
        <v>173</v>
      </c>
      <c r="C53" s="20">
        <v>25.7</v>
      </c>
      <c r="D53" s="20">
        <v>3283</v>
      </c>
      <c r="E53" s="10" t="s">
        <v>194</v>
      </c>
      <c r="F53" s="15" t="s">
        <v>227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2.75">
      <c r="A54" s="18">
        <v>45992</v>
      </c>
      <c r="B54" s="10" t="s">
        <v>173</v>
      </c>
      <c r="C54" s="20">
        <v>18</v>
      </c>
      <c r="D54" s="20">
        <v>3403</v>
      </c>
      <c r="E54" s="10" t="s">
        <v>194</v>
      </c>
      <c r="F54" s="15" t="s">
        <v>228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2.75">
      <c r="A55" s="18">
        <v>46023</v>
      </c>
      <c r="B55" s="10" t="s">
        <v>173</v>
      </c>
      <c r="C55" s="20">
        <v>22.88</v>
      </c>
      <c r="D55" s="20">
        <v>1703</v>
      </c>
      <c r="E55" s="10" t="s">
        <v>194</v>
      </c>
      <c r="F55" s="15" t="s">
        <v>229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8.5">
      <c r="A56" s="18">
        <v>46054</v>
      </c>
      <c r="B56" s="10" t="s">
        <v>173</v>
      </c>
      <c r="C56" s="20">
        <v>31.62</v>
      </c>
      <c r="D56" s="20">
        <v>1822</v>
      </c>
      <c r="E56" s="10" t="s">
        <v>194</v>
      </c>
      <c r="F56" s="15" t="s">
        <v>230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8.5">
      <c r="A57" s="18">
        <v>46082</v>
      </c>
      <c r="B57" s="10" t="s">
        <v>173</v>
      </c>
      <c r="C57" s="20">
        <v>42.5</v>
      </c>
      <c r="D57" s="20">
        <v>2045</v>
      </c>
      <c r="E57" s="10" t="s">
        <v>194</v>
      </c>
      <c r="F57" s="15" t="s">
        <v>231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8.5">
      <c r="A58" s="18">
        <v>46113</v>
      </c>
      <c r="B58" s="10" t="s">
        <v>173</v>
      </c>
      <c r="C58" s="20">
        <v>54</v>
      </c>
      <c r="D58" s="20">
        <v>2275</v>
      </c>
      <c r="E58" s="10" t="s">
        <v>194</v>
      </c>
      <c r="F58" s="15" t="s">
        <v>232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>
      <c r="A59" s="18">
        <v>46143</v>
      </c>
      <c r="B59" s="10" t="s">
        <v>173</v>
      </c>
      <c r="C59" s="20">
        <v>68.3</v>
      </c>
      <c r="D59" s="20">
        <v>2146</v>
      </c>
      <c r="E59" s="10" t="s">
        <v>194</v>
      </c>
      <c r="F59" s="15" t="s">
        <v>233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8.5">
      <c r="A60" s="18">
        <v>46174</v>
      </c>
      <c r="B60" s="10" t="s">
        <v>173</v>
      </c>
      <c r="C60" s="20">
        <v>59.38</v>
      </c>
      <c r="D60" s="20">
        <v>2289</v>
      </c>
      <c r="E60" s="10" t="s">
        <v>194</v>
      </c>
      <c r="F60" s="15" t="s">
        <v>232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42.75">
      <c r="A61" s="18">
        <v>46204</v>
      </c>
      <c r="B61" s="10" t="s">
        <v>173</v>
      </c>
      <c r="C61" s="20">
        <v>45.75</v>
      </c>
      <c r="D61" s="20">
        <v>1099</v>
      </c>
      <c r="E61" s="10" t="s">
        <v>194</v>
      </c>
      <c r="F61" s="15" t="s">
        <v>234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8.5">
      <c r="A62" s="18">
        <v>46235</v>
      </c>
      <c r="B62" s="10" t="s">
        <v>173</v>
      </c>
      <c r="C62" s="20">
        <v>39.9</v>
      </c>
      <c r="D62" s="20">
        <v>940</v>
      </c>
      <c r="E62" s="10" t="s">
        <v>194</v>
      </c>
      <c r="F62" s="15" t="s">
        <v>235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2.75">
      <c r="A63" s="19">
        <v>46266</v>
      </c>
      <c r="B63" s="12" t="s">
        <v>173</v>
      </c>
      <c r="C63" s="21">
        <v>50.5</v>
      </c>
      <c r="D63" s="21">
        <v>1419</v>
      </c>
      <c r="E63" s="12" t="s">
        <v>194</v>
      </c>
      <c r="F63" s="13" t="s">
        <v>236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3"/>
  <sheetViews>
    <sheetView workbookViewId="0"/>
  </sheetViews>
  <sheetFormatPr defaultRowHeight="13.5"/>
  <cols>
    <col min="1" max="2" width="10.9375" customWidth="1"/>
    <col min="3" max="3" width="11.9375" customWidth="1"/>
    <col min="4" max="4" width="17.1875" customWidth="1"/>
    <col min="5" max="5" width="11.9375" customWidth="1"/>
    <col min="6" max="6" width="24.5625" customWidth="1"/>
    <col min="7" max="7" width="18.25" customWidth="1"/>
    <col min="8" max="8" width="39.25" customWidth="1"/>
    <col min="9" max="9" width="10.5625" customWidth="1"/>
    <col min="10" max="10" width="28.75" customWidth="1"/>
    <col min="11" max="11" width="27.6875" customWidth="1"/>
    <col min="12" max="12" width="15.125" customWidth="1"/>
    <col min="13" max="13" width="52.5625" customWidth="1"/>
    <col min="14" max="14" width="16.1875" customWidth="1"/>
    <col min="15" max="26" width="10.5625" customWidth="1"/>
  </cols>
  <sheetData>
    <row r="1" spans="1:26" ht="20" customHeight="1">
      <c r="A1" s="31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>
      <c r="A2" s="33" t="s">
        <v>188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4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4" t="s">
        <v>25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192</v>
      </c>
      <c r="G3" s="4" t="s">
        <v>35</v>
      </c>
      <c r="H3" s="23" t="s">
        <v>193</v>
      </c>
      <c r="I3" s="5" t="s">
        <v>36</v>
      </c>
      <c r="J3" s="4" t="s">
        <v>37</v>
      </c>
      <c r="K3" s="5" t="s">
        <v>38</v>
      </c>
      <c r="L3" s="5" t="s">
        <v>39</v>
      </c>
      <c r="M3" s="4" t="s">
        <v>29</v>
      </c>
      <c r="N3" s="9" t="s">
        <v>40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18">
        <f>IF(Ввод_данных!A4="","",Ввод_данных!A4)</f>
        <v>44470</v>
      </c>
      <c r="B4" s="6">
        <f t="shared" ref="B4:B35" si="0">IF(A4="","",MONTH(A4))</f>
        <v>10</v>
      </c>
      <c r="C4" s="6" t="str">
        <f t="shared" ref="C4:C35" si="1">IF(A4="","",CHOOSE(MONTH(A4),"январь","февраль","март","апрель","май","июнь","июль","август","сентябрь","октябрь","ноябрь","декабрь"))</f>
        <v>октябрь</v>
      </c>
      <c r="D4" s="16">
        <f>IF(Ввод_данных!C4="","",Ввод_данных!C4)</f>
        <v>3.8</v>
      </c>
      <c r="E4" s="16">
        <f>IF(Ввод_данных!D4="","",Ввод_данных!D4)</f>
        <v>1683</v>
      </c>
      <c r="F4" s="16">
        <f t="shared" ref="F4:F35" si="2">IF(E4="","",IF(MAX($E$4:$E$63)=0,"",E4/MAX($E$4:$E$63)*100))</f>
        <v>46.854120267260576</v>
      </c>
      <c r="G4" s="24">
        <f>IF(COUNT(D4,F4)=0,"",IF(COUNT(D4,F4)=2,D4*Настройки!$B$3+F4*Настройки!$B$4,IF(D4&lt;&gt;"",D4,F4)))</f>
        <v>25.327060133630287</v>
      </c>
      <c r="H4" s="3" t="str">
        <f>IF(OR(G4="",COUNT($G$4:G4)&lt;12),"","")</f>
        <v/>
      </c>
      <c r="I4" s="3" t="str">
        <f t="shared" ref="I4:I35" si="3">IF(OR(G4="",H4="",H4=0),"",G4/H4)</f>
        <v/>
      </c>
      <c r="J4" s="24">
        <f>IF(OR(G4="",IFERROR(VLOOKUP(B4,Сезонность!$A$3:$D$14,4,FALSE),0)=0),"",G4/IFERROR(VLOOKUP(B4,Сезонность!$A$3:$D$14,4,FALSE),1))</f>
        <v>23.50210084747782</v>
      </c>
      <c r="K4" s="3" t="str">
        <f>IF(OR(G4="",H4="",H4=0,IFERROR(VLOOKUP(B4,Сезонность!$A$3:$D$14,4,FALSE),0)=0),"",G4/(H4*IFERROR(VLOOKUP(B4,Сезонность!$A$3:$D$14,4,FALSE),1)))</f>
        <v/>
      </c>
      <c r="L4" s="2" t="str">
        <f>IF(K4="","",IF(K4&lt;Настройки!$B$10,"ниже тренда",IF(K4&gt;Настройки!$B$11,"выше тренда","норма")))</f>
        <v/>
      </c>
      <c r="M4" s="10" t="str">
        <f t="shared" ref="M4:M14" si="4">IF(G4="","","окно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4" s="25">
        <f>IF(G4="","",COUNT($G$4:G4))</f>
        <v>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8">
        <f>IF(Ввод_данных!A5="","",Ввод_данных!A5)</f>
        <v>44501</v>
      </c>
      <c r="B5" s="6">
        <f t="shared" si="0"/>
        <v>11</v>
      </c>
      <c r="C5" s="6" t="str">
        <f t="shared" si="1"/>
        <v>ноябрь</v>
      </c>
      <c r="D5" s="16">
        <f>IF(Ввод_данных!C5="","",Ввод_данных!C5)</f>
        <v>4.12</v>
      </c>
      <c r="E5" s="16">
        <f>IF(Ввод_данных!D5="","",Ввод_данных!D5)</f>
        <v>2298</v>
      </c>
      <c r="F5" s="16">
        <f t="shared" si="2"/>
        <v>63.975501113585743</v>
      </c>
      <c r="G5" s="24">
        <f>IF(COUNT(D5,F5)=0,"",IF(COUNT(D5,F5)=2,D5*Настройки!$B$3+F5*Настройки!$B$4,IF(D5&lt;&gt;"",D5,F5)))</f>
        <v>34.04775055679287</v>
      </c>
      <c r="H5" s="3" t="str">
        <f>IF(OR(G5="",COUNT($G$4:G5)&lt;12),"","")</f>
        <v/>
      </c>
      <c r="I5" s="3" t="str">
        <f t="shared" si="3"/>
        <v/>
      </c>
      <c r="J5" s="24">
        <f>IF(OR(G5="",IFERROR(VLOOKUP(B5,Сезонность!$A$3:$D$14,4,FALSE),0)=0),"",G5/IFERROR(VLOOKUP(B5,Сезонность!$A$3:$D$14,4,FALSE),1))</f>
        <v>29.215973950638723</v>
      </c>
      <c r="K5" s="3" t="str">
        <f>IF(OR(G5="",H5="",H5=0,IFERROR(VLOOKUP(B5,Сезонность!$A$3:$D$14,4,FALSE),0)=0),"",G5/(H5*IFERROR(VLOOKUP(B5,Сезонность!$A$3:$D$14,4,FALSE),1)))</f>
        <v/>
      </c>
      <c r="L5" s="2" t="str">
        <f>IF(K5="","",IF(K5&lt;Настройки!$B$10,"ниже тренда",IF(K5&gt;Настройки!$B$11,"выше тренда","норма")))</f>
        <v/>
      </c>
      <c r="M5" s="10" t="str">
        <f t="shared" si="4"/>
        <v>окно скользящего среднего 12 мес. еще не накоплено, фаза цикла не определяется</v>
      </c>
      <c r="N5" s="25">
        <f>IF(G5="","",COUNT($G$4:G5))</f>
        <v>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8">
        <f>IF(Ввод_данных!A6="","",Ввод_данных!A6)</f>
        <v>44531</v>
      </c>
      <c r="B6" s="6">
        <f t="shared" si="0"/>
        <v>12</v>
      </c>
      <c r="C6" s="6" t="str">
        <f t="shared" si="1"/>
        <v>декабрь</v>
      </c>
      <c r="D6" s="16">
        <f>IF(Ввод_данных!C6="","",Ввод_данных!C6)</f>
        <v>4.88</v>
      </c>
      <c r="E6" s="16">
        <f>IF(Ввод_данных!D6="","",Ввод_данных!D6)</f>
        <v>2523</v>
      </c>
      <c r="F6" s="16">
        <f t="shared" si="2"/>
        <v>70.239420935412028</v>
      </c>
      <c r="G6" s="24">
        <f>IF(COUNT(D6,F6)=0,"",IF(COUNT(D6,F6)=2,D6*Настройки!$B$3+F6*Настройки!$B$4,IF(D6&lt;&gt;"",D6,F6)))</f>
        <v>37.559710467706012</v>
      </c>
      <c r="H6" s="3" t="str">
        <f>IF(OR(G6="",COUNT($G$4:G6)&lt;12),"","")</f>
        <v/>
      </c>
      <c r="I6" s="3" t="str">
        <f t="shared" si="3"/>
        <v/>
      </c>
      <c r="J6" s="24">
        <f>IF(OR(G6="",IFERROR(VLOOKUP(B6,Сезонность!$A$3:$D$14,4,FALSE),0)=0),"",G6/IFERROR(VLOOKUP(B6,Сезонность!$A$3:$D$14,4,FALSE),1))</f>
        <v>29.589617358234729</v>
      </c>
      <c r="K6" s="3" t="str">
        <f>IF(OR(G6="",H6="",H6=0,IFERROR(VLOOKUP(B6,Сезонность!$A$3:$D$14,4,FALSE),0)=0),"",G6/(H6*IFERROR(VLOOKUP(B6,Сезонность!$A$3:$D$14,4,FALSE),1)))</f>
        <v/>
      </c>
      <c r="L6" s="2" t="str">
        <f>IF(K6="","",IF(K6&lt;Настройки!$B$10,"ниже тренда",IF(K6&gt;Настройки!$B$11,"выше тренда","норма")))</f>
        <v/>
      </c>
      <c r="M6" s="10" t="str">
        <f t="shared" si="4"/>
        <v>окно скользящего среднего 12 мес. еще не накоплено, фаза цикла не определяется</v>
      </c>
      <c r="N6" s="25">
        <f>IF(G6="","",COUNT($G$4:G6))</f>
        <v>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8">
        <f>IF(Ввод_данных!A7="","",Ввод_данных!A7)</f>
        <v>44562</v>
      </c>
      <c r="B7" s="6">
        <f t="shared" si="0"/>
        <v>1</v>
      </c>
      <c r="C7" s="6" t="str">
        <f t="shared" si="1"/>
        <v>январь</v>
      </c>
      <c r="D7" s="16">
        <f>IF(Ввод_данных!C7="","",Ввод_данных!C7)</f>
        <v>6.2</v>
      </c>
      <c r="E7" s="16">
        <f>IF(Ввод_данных!D7="","",Ввод_данных!D7)</f>
        <v>1793</v>
      </c>
      <c r="F7" s="16">
        <f t="shared" si="2"/>
        <v>49.91648106904232</v>
      </c>
      <c r="G7" s="24">
        <f>IF(COUNT(D7,F7)=0,"",IF(COUNT(D7,F7)=2,D7*Настройки!$B$3+F7*Настройки!$B$4,IF(D7&lt;&gt;"",D7,F7)))</f>
        <v>28.058240534521161</v>
      </c>
      <c r="H7" s="3" t="str">
        <f>IF(OR(G7="",COUNT($G$4:G7)&lt;12),"","")</f>
        <v/>
      </c>
      <c r="I7" s="3" t="str">
        <f t="shared" si="3"/>
        <v/>
      </c>
      <c r="J7" s="24">
        <f>IF(OR(G7="",IFERROR(VLOOKUP(B7,Сезонность!$A$3:$D$14,4,FALSE),0)=0),"",G7/IFERROR(VLOOKUP(B7,Сезонность!$A$3:$D$14,4,FALSE),1))</f>
        <v>30.945721385839221</v>
      </c>
      <c r="K7" s="3" t="str">
        <f>IF(OR(G7="",H7="",H7=0,IFERROR(VLOOKUP(B7,Сезонность!$A$3:$D$14,4,FALSE),0)=0),"",G7/(H7*IFERROR(VLOOKUP(B7,Сезонность!$A$3:$D$14,4,FALSE),1)))</f>
        <v/>
      </c>
      <c r="L7" s="2" t="str">
        <f>IF(K7="","",IF(K7&lt;Настройки!$B$10,"ниже тренда",IF(K7&gt;Настройки!$B$11,"выше тренда","норма")))</f>
        <v/>
      </c>
      <c r="M7" s="10" t="str">
        <f t="shared" si="4"/>
        <v>окно скользящего среднего 12 мес. еще не накоплено, фаза цикла не определяется</v>
      </c>
      <c r="N7" s="25">
        <f>IF(G7="","",COUNT($G$4:G7))</f>
        <v>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18">
        <f>IF(Ввод_данных!A8="","",Ввод_данных!A8)</f>
        <v>44593</v>
      </c>
      <c r="B8" s="6">
        <f t="shared" si="0"/>
        <v>2</v>
      </c>
      <c r="C8" s="6" t="str">
        <f t="shared" si="1"/>
        <v>февраль</v>
      </c>
      <c r="D8" s="16">
        <f>IF(Ввод_данных!C8="","",Ввод_данных!C8)</f>
        <v>7.88</v>
      </c>
      <c r="E8" s="16">
        <f>IF(Ввод_данных!D8="","",Ввод_данных!D8)</f>
        <v>1909</v>
      </c>
      <c r="F8" s="16">
        <f t="shared" si="2"/>
        <v>53.145879732739424</v>
      </c>
      <c r="G8" s="24">
        <f>IF(COUNT(D8,F8)=0,"",IF(COUNT(D8,F8)=2,D8*Настройки!$B$3+F8*Настройки!$B$4,IF(D8&lt;&gt;"",D8,F8)))</f>
        <v>30.512939866369713</v>
      </c>
      <c r="H8" s="3" t="str">
        <f>IF(OR(G8="",COUNT($G$4:G8)&lt;12),"","")</f>
        <v/>
      </c>
      <c r="I8" s="3" t="str">
        <f t="shared" si="3"/>
        <v/>
      </c>
      <c r="J8" s="24">
        <f>IF(OR(G8="",IFERROR(VLOOKUP(B8,Сезонность!$A$3:$D$14,4,FALSE),0)=0),"",G8/IFERROR(VLOOKUP(B8,Сезонность!$A$3:$D$14,4,FALSE),1))</f>
        <v>33.450126771080932</v>
      </c>
      <c r="K8" s="3" t="str">
        <f>IF(OR(G8="",H8="",H8=0,IFERROR(VLOOKUP(B8,Сезонность!$A$3:$D$14,4,FALSE),0)=0),"",G8/(H8*IFERROR(VLOOKUP(B8,Сезонность!$A$3:$D$14,4,FALSE),1)))</f>
        <v/>
      </c>
      <c r="L8" s="2" t="str">
        <f>IF(K8="","",IF(K8&lt;Настройки!$B$10,"ниже тренда",IF(K8&gt;Настройки!$B$11,"выше тренда","норма")))</f>
        <v/>
      </c>
      <c r="M8" s="10" t="str">
        <f t="shared" si="4"/>
        <v>окно скользящего среднего 12 мес. еще не накоплено, фаза цикла не определяется</v>
      </c>
      <c r="N8" s="25">
        <f>IF(G8="","",COUNT($G$4:G8))</f>
        <v>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>
      <c r="A9" s="18">
        <f>IF(Ввод_данных!A9="","",Ввод_данных!A9)</f>
        <v>44621</v>
      </c>
      <c r="B9" s="6">
        <f t="shared" si="0"/>
        <v>3</v>
      </c>
      <c r="C9" s="6" t="str">
        <f t="shared" si="1"/>
        <v>март</v>
      </c>
      <c r="D9" s="16">
        <f>IF(Ввод_данных!C9="","",Ввод_данных!C9)</f>
        <v>8.8800000000000008</v>
      </c>
      <c r="E9" s="16">
        <f>IF(Ввод_данных!D9="","",Ввод_данных!D9)</f>
        <v>2207</v>
      </c>
      <c r="F9" s="16">
        <f t="shared" si="2"/>
        <v>61.442093541202667</v>
      </c>
      <c r="G9" s="24">
        <f>IF(COUNT(D9,F9)=0,"",IF(COUNT(D9,F9)=2,D9*Настройки!$B$3+F9*Настройки!$B$4,IF(D9&lt;&gt;"",D9,F9)))</f>
        <v>35.161046770601331</v>
      </c>
      <c r="H9" s="3" t="str">
        <f>IF(OR(G9="",COUNT($G$4:G9)&lt;12),"","")</f>
        <v/>
      </c>
      <c r="I9" s="3" t="str">
        <f t="shared" si="3"/>
        <v/>
      </c>
      <c r="J9" s="24">
        <f>IF(OR(G9="",IFERROR(VLOOKUP(B9,Сезонность!$A$3:$D$14,4,FALSE),0)=0),"",G9/IFERROR(VLOOKUP(B9,Сезонность!$A$3:$D$14,4,FALSE),1))</f>
        <v>34.024576120568106</v>
      </c>
      <c r="K9" s="3" t="str">
        <f>IF(OR(G9="",H9="",H9=0,IFERROR(VLOOKUP(B9,Сезонность!$A$3:$D$14,4,FALSE),0)=0),"",G9/(H9*IFERROR(VLOOKUP(B9,Сезонность!$A$3:$D$14,4,FALSE),1)))</f>
        <v/>
      </c>
      <c r="L9" s="2" t="str">
        <f>IF(K9="","",IF(K9&lt;Настройки!$B$10,"ниже тренда",IF(K9&gt;Настройки!$B$11,"выше тренда","норма")))</f>
        <v/>
      </c>
      <c r="M9" s="10" t="str">
        <f t="shared" si="4"/>
        <v>окно скользящего среднего 12 мес. еще не накоплено, фаза цикла не определяется</v>
      </c>
      <c r="N9" s="25">
        <f>IF(G9="","",COUNT($G$4:G9))</f>
        <v>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18">
        <f>IF(Ввод_данных!A10="","",Ввод_данных!A10)</f>
        <v>44652</v>
      </c>
      <c r="B10" s="6">
        <f t="shared" si="0"/>
        <v>4</v>
      </c>
      <c r="C10" s="6" t="str">
        <f t="shared" si="1"/>
        <v>апрель</v>
      </c>
      <c r="D10" s="16">
        <f>IF(Ввод_данных!C10="","",Ввод_данных!C10)</f>
        <v>6.38</v>
      </c>
      <c r="E10" s="16">
        <f>IF(Ввод_данных!D10="","",Ввод_данных!D10)</f>
        <v>2055</v>
      </c>
      <c r="F10" s="16">
        <f t="shared" si="2"/>
        <v>57.210467706013368</v>
      </c>
      <c r="G10" s="24">
        <f>IF(COUNT(D10,F10)=0,"",IF(COUNT(D10,F10)=2,D10*Настройки!$B$3+F10*Настройки!$B$4,IF(D10&lt;&gt;"",D10,F10)))</f>
        <v>31.795233853006685</v>
      </c>
      <c r="H10" s="3" t="str">
        <f>IF(OR(G10="",COUNT($G$4:G10)&lt;12),"","")</f>
        <v/>
      </c>
      <c r="I10" s="3" t="str">
        <f t="shared" si="3"/>
        <v/>
      </c>
      <c r="J10" s="24">
        <f>IF(OR(G10="",IFERROR(VLOOKUP(B10,Сезонность!$A$3:$D$14,4,FALSE),0)=0),"",G10/IFERROR(VLOOKUP(B10,Сезонность!$A$3:$D$14,4,FALSE),1))</f>
        <v>28.276020339736025</v>
      </c>
      <c r="K10" s="3" t="str">
        <f>IF(OR(G10="",H10="",H10=0,IFERROR(VLOOKUP(B10,Сезонность!$A$3:$D$14,4,FALSE),0)=0),"",G10/(H10*IFERROR(VLOOKUP(B10,Сезонность!$A$3:$D$14,4,FALSE),1)))</f>
        <v/>
      </c>
      <c r="L10" s="2" t="str">
        <f>IF(K10="","",IF(K10&lt;Настройки!$B$10,"ниже тренда",IF(K10&gt;Настройки!$B$11,"выше тренда","норма")))</f>
        <v/>
      </c>
      <c r="M10" s="10" t="str">
        <f t="shared" si="4"/>
        <v>окно скользящего среднего 12 мес. еще не накоплено, фаза цикла не определяется</v>
      </c>
      <c r="N10" s="25">
        <f>IF(G10="","",COUNT($G$4:G10))</f>
        <v>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18">
        <f>IF(Ввод_данных!A11="","",Ввод_данных!A11)</f>
        <v>44682</v>
      </c>
      <c r="B11" s="6">
        <f t="shared" si="0"/>
        <v>5</v>
      </c>
      <c r="C11" s="6" t="str">
        <f t="shared" si="1"/>
        <v>май</v>
      </c>
      <c r="D11" s="16">
        <f>IF(Ввод_данных!C11="","",Ввод_данных!C11)</f>
        <v>5.8</v>
      </c>
      <c r="E11" s="16">
        <f>IF(Ввод_данных!D11="","",Ввод_данных!D11)</f>
        <v>1948</v>
      </c>
      <c r="F11" s="16">
        <f t="shared" si="2"/>
        <v>54.231625835189313</v>
      </c>
      <c r="G11" s="24">
        <f>IF(COUNT(D11,F11)=0,"",IF(COUNT(D11,F11)=2,D11*Настройки!$B$3+F11*Настройки!$B$4,IF(D11&lt;&gt;"",D11,F11)))</f>
        <v>30.015812917594655</v>
      </c>
      <c r="H11" s="3" t="str">
        <f>IF(OR(G11="",COUNT($G$4:G11)&lt;12),"","")</f>
        <v/>
      </c>
      <c r="I11" s="3" t="str">
        <f t="shared" si="3"/>
        <v/>
      </c>
      <c r="J11" s="24">
        <f>IF(OR(G11="",IFERROR(VLOOKUP(B11,Сезонность!$A$3:$D$14,4,FALSE),0)=0),"",G11/IFERROR(VLOOKUP(B11,Сезонность!$A$3:$D$14,4,FALSE),1))</f>
        <v>27.194683147239129</v>
      </c>
      <c r="K11" s="3" t="str">
        <f>IF(OR(G11="",H11="",H11=0,IFERROR(VLOOKUP(B11,Сезонность!$A$3:$D$14,4,FALSE),0)=0),"",G11/(H11*IFERROR(VLOOKUP(B11,Сезонность!$A$3:$D$14,4,FALSE),1)))</f>
        <v/>
      </c>
      <c r="L11" s="2" t="str">
        <f>IF(K11="","",IF(K11&lt;Настройки!$B$10,"ниже тренда",IF(K11&gt;Настройки!$B$11,"выше тренда","норма")))</f>
        <v/>
      </c>
      <c r="M11" s="10" t="str">
        <f t="shared" si="4"/>
        <v>окно скользящего среднего 12 мес. еще не накоплено, фаза цикла не определяется</v>
      </c>
      <c r="N11" s="25">
        <f>IF(G11="","",COUNT($G$4:G11))</f>
        <v>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>
      <c r="A12" s="18">
        <f>IF(Ввод_данных!A12="","",Ввод_данных!A12)</f>
        <v>44713</v>
      </c>
      <c r="B12" s="6">
        <f t="shared" si="0"/>
        <v>6</v>
      </c>
      <c r="C12" s="6" t="str">
        <f t="shared" si="1"/>
        <v>июнь</v>
      </c>
      <c r="D12" s="16">
        <f>IF(Ввод_данных!C12="","",Ввод_данных!C12)</f>
        <v>5.12</v>
      </c>
      <c r="E12" s="16">
        <f>IF(Ввод_данных!D12="","",Ввод_данных!D12)</f>
        <v>1806</v>
      </c>
      <c r="F12" s="16">
        <f t="shared" si="2"/>
        <v>50.278396436525611</v>
      </c>
      <c r="G12" s="24">
        <f>IF(COUNT(D12,F12)=0,"",IF(COUNT(D12,F12)=2,D12*Настройки!$B$3+F12*Настройки!$B$4,IF(D12&lt;&gt;"",D12,F12)))</f>
        <v>27.699198218262804</v>
      </c>
      <c r="H12" s="3" t="str">
        <f>IF(OR(G12="",COUNT($G$4:G12)&lt;12),"","")</f>
        <v/>
      </c>
      <c r="I12" s="3" t="str">
        <f t="shared" si="3"/>
        <v/>
      </c>
      <c r="J12" s="24">
        <f>IF(OR(G12="",IFERROR(VLOOKUP(B12,Сезонность!$A$3:$D$14,4,FALSE),0)=0),"",G12/IFERROR(VLOOKUP(B12,Сезонность!$A$3:$D$14,4,FALSE),1))</f>
        <v>26.314794707973071</v>
      </c>
      <c r="K12" s="3" t="str">
        <f>IF(OR(G12="",H12="",H12=0,IFERROR(VLOOKUP(B12,Сезонность!$A$3:$D$14,4,FALSE),0)=0),"",G12/(H12*IFERROR(VLOOKUP(B12,Сезонность!$A$3:$D$14,4,FALSE),1)))</f>
        <v/>
      </c>
      <c r="L12" s="2" t="str">
        <f>IF(K12="","",IF(K12&lt;Настройки!$B$10,"ниже тренда",IF(K12&gt;Настройки!$B$11,"выше тренда","норма")))</f>
        <v/>
      </c>
      <c r="M12" s="10" t="str">
        <f t="shared" si="4"/>
        <v>окно скользящего среднего 12 мес. еще не накоплено, фаза цикла не определяется</v>
      </c>
      <c r="N12" s="25">
        <f>IF(G12="","",COUNT($G$4:G12))</f>
        <v>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5">
      <c r="A13" s="18">
        <f>IF(Ввод_данных!A13="","",Ввод_данных!A13)</f>
        <v>44743</v>
      </c>
      <c r="B13" s="6">
        <f t="shared" si="0"/>
        <v>7</v>
      </c>
      <c r="C13" s="6" t="str">
        <f t="shared" si="1"/>
        <v>июль</v>
      </c>
      <c r="D13" s="16">
        <f>IF(Ввод_данных!C13="","",Ввод_данных!C13)</f>
        <v>6.2</v>
      </c>
      <c r="E13" s="16">
        <f>IF(Ввод_данных!D13="","",Ввод_данных!D13)</f>
        <v>1175</v>
      </c>
      <c r="F13" s="16">
        <f t="shared" si="2"/>
        <v>32.711581291759465</v>
      </c>
      <c r="G13" s="24">
        <f>IF(COUNT(D13,F13)=0,"",IF(COUNT(D13,F13)=2,D13*Настройки!$B$3+F13*Настройки!$B$4,IF(D13&lt;&gt;"",D13,F13)))</f>
        <v>19.455790645879734</v>
      </c>
      <c r="H13" s="3" t="str">
        <f>IF(OR(G13="",COUNT($G$4:G13)&lt;12),"","")</f>
        <v/>
      </c>
      <c r="I13" s="3" t="str">
        <f t="shared" si="3"/>
        <v/>
      </c>
      <c r="J13" s="24">
        <f>IF(OR(G13="",IFERROR(VLOOKUP(B13,Сезонность!$A$3:$D$14,4,FALSE),0)=0),"",G13/IFERROR(VLOOKUP(B13,Сезонность!$A$3:$D$14,4,FALSE),1))</f>
        <v>27.199009205941202</v>
      </c>
      <c r="K13" s="3" t="str">
        <f>IF(OR(G13="",H13="",H13=0,IFERROR(VLOOKUP(B13,Сезонность!$A$3:$D$14,4,FALSE),0)=0),"",G13/(H13*IFERROR(VLOOKUP(B13,Сезонность!$A$3:$D$14,4,FALSE),1)))</f>
        <v/>
      </c>
      <c r="L13" s="2" t="str">
        <f>IF(K13="","",IF(K13&lt;Настройки!$B$10,"ниже тренда",IF(K13&gt;Настройки!$B$11,"выше тренда","норма")))</f>
        <v/>
      </c>
      <c r="M13" s="10" t="str">
        <f t="shared" si="4"/>
        <v>окно скользящего среднего 12 мес. еще не накоплено, фаза цикла не определяется</v>
      </c>
      <c r="N13" s="25">
        <f>IF(G13="","",COUNT($G$4:G13))</f>
        <v>10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8">
        <f>IF(Ввод_данных!A14="","",Ввод_данных!A14)</f>
        <v>44774</v>
      </c>
      <c r="B14" s="6">
        <f t="shared" si="0"/>
        <v>8</v>
      </c>
      <c r="C14" s="6" t="str">
        <f t="shared" si="1"/>
        <v>август</v>
      </c>
      <c r="D14" s="16">
        <f>IF(Ввод_данных!C14="","",Ввод_данных!C14)</f>
        <v>6.88</v>
      </c>
      <c r="E14" s="16">
        <f>IF(Ввод_данных!D14="","",Ввод_данных!D14)</f>
        <v>1313</v>
      </c>
      <c r="F14" s="16">
        <f t="shared" si="2"/>
        <v>36.553452115812917</v>
      </c>
      <c r="G14" s="24">
        <f>IF(COUNT(D14,F14)=0,"",IF(COUNT(D14,F14)=2,D14*Настройки!$B$3+F14*Настройки!$B$4,IF(D14&lt;&gt;"",D14,F14)))</f>
        <v>21.71672605790646</v>
      </c>
      <c r="H14" s="3" t="str">
        <f>IF(OR(G14="",COUNT($G$4:G14)&lt;12),"","")</f>
        <v/>
      </c>
      <c r="I14" s="3" t="str">
        <f t="shared" si="3"/>
        <v/>
      </c>
      <c r="J14" s="24">
        <f>IF(OR(G14="",IFERROR(VLOOKUP(B14,Сезонность!$A$3:$D$14,4,FALSE),0)=0),"",G14/IFERROR(VLOOKUP(B14,Сезонность!$A$3:$D$14,4,FALSE),1))</f>
        <v>29.999308857985366</v>
      </c>
      <c r="K14" s="3" t="str">
        <f>IF(OR(G14="",H14="",H14=0,IFERROR(VLOOKUP(B14,Сезонность!$A$3:$D$14,4,FALSE),0)=0),"",G14/(H14*IFERROR(VLOOKUP(B14,Сезонность!$A$3:$D$14,4,FALSE),1)))</f>
        <v/>
      </c>
      <c r="L14" s="2" t="str">
        <f>IF(K14="","",IF(K14&lt;Настройки!$B$10,"ниже тренда",IF(K14&gt;Настройки!$B$11,"выше тренда","норма")))</f>
        <v/>
      </c>
      <c r="M14" s="10" t="str">
        <f t="shared" si="4"/>
        <v>окно скользящего среднего 12 мес. еще не накоплено, фаза цикла не определяется</v>
      </c>
      <c r="N14" s="25">
        <f>IF(G14="","",COUNT($G$4:G14))</f>
        <v>11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>
      <c r="A15" s="18">
        <f>IF(Ввод_данных!A15="","",Ввод_данных!A15)</f>
        <v>44805</v>
      </c>
      <c r="B15" s="6">
        <f t="shared" si="0"/>
        <v>9</v>
      </c>
      <c r="C15" s="6" t="str">
        <f t="shared" si="1"/>
        <v>сентябрь</v>
      </c>
      <c r="D15" s="16">
        <f>IF(Ввод_данных!C15="","",Ввод_данных!C15)</f>
        <v>8.5</v>
      </c>
      <c r="E15" s="16">
        <f>IF(Ввод_данных!D15="","",Ввод_данных!D15)</f>
        <v>1627</v>
      </c>
      <c r="F15" s="16">
        <f t="shared" si="2"/>
        <v>45.295100222717153</v>
      </c>
      <c r="G15" s="16">
        <f>IF(COUNT(D15,F15)=0,"",IF(COUNT(D15,F15)=2,D15*Настройки!$B$3+F15*Настройки!$B$4,IF(D15&lt;&gt;"",D15,F15)))</f>
        <v>26.897550111358576</v>
      </c>
      <c r="H15" s="16">
        <f>IF(OR(G15="",COUNT($G$4:G15)&lt;12),"",AVERAGE(G4:G15))</f>
        <v>29.020588344469189</v>
      </c>
      <c r="I15" s="16">
        <f t="shared" si="3"/>
        <v>0.92684372184634822</v>
      </c>
      <c r="J15" s="16">
        <f>IF(OR(G15="",IFERROR(VLOOKUP(B15,Сезонность!$A$3:$D$14,4,FALSE),0)=0),"",G15/IFERROR(VLOOKUP(B15,Сезонность!$A$3:$D$14,4,FALSE),1))</f>
        <v>29.386566891679315</v>
      </c>
      <c r="K15" s="16">
        <f>IF(OR(G15="",H15="",H15=0,IFERROR(VLOOKUP(B15,Сезонность!$A$3:$D$14,4,FALSE),0)=0),"",G15/(H15*IFERROR(VLOOKUP(B15,Сезонность!$A$3:$D$14,4,FALSE),1)))</f>
        <v>1.0126109968159855</v>
      </c>
      <c r="L15" s="6" t="str">
        <f>IF(K15="","",IF(K15&lt;Настройки!$B$10,"ниже тренда",IF(K15&gt;Настройки!$B$11,"выше тренда","норма")))</f>
        <v>норма</v>
      </c>
      <c r="M15" s="6" t="str">
        <f t="shared" ref="M15:M35" si="5">IF(L15="","",IF(L15="ниже тренда","возможное ослабление интереса",IF(L15="выше тренда","возможная фаза повышенного интереса","без выраженного отклонения")))</f>
        <v>без выраженного отклонения</v>
      </c>
      <c r="N15" s="25">
        <f>IF(G15="","",COUNT($G$4:G15))</f>
        <v>12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>
      <c r="A16" s="18">
        <f>IF(Ввод_данных!A16="","",Ввод_данных!A16)</f>
        <v>44835</v>
      </c>
      <c r="B16" s="6">
        <f t="shared" si="0"/>
        <v>10</v>
      </c>
      <c r="C16" s="6" t="str">
        <f t="shared" si="1"/>
        <v>октябрь</v>
      </c>
      <c r="D16" s="16">
        <f>IF(Ввод_данных!C16="","",Ввод_данных!C16)</f>
        <v>6.9</v>
      </c>
      <c r="E16" s="16">
        <f>IF(Ввод_данных!D16="","",Ввод_данных!D16)</f>
        <v>1868</v>
      </c>
      <c r="F16" s="16">
        <f t="shared" si="2"/>
        <v>52.00445434298441</v>
      </c>
      <c r="G16" s="16">
        <f>IF(COUNT(D16,F16)=0,"",IF(COUNT(D16,F16)=2,D16*Настройки!$B$3+F16*Настройки!$B$4,IF(D16&lt;&gt;"",D16,F16)))</f>
        <v>29.452227171492204</v>
      </c>
      <c r="H16" s="16">
        <f>IF(OR(G16="",COUNT($G$4:G16)&lt;12),"",AVERAGE(G5:G16))</f>
        <v>29.364352264291014</v>
      </c>
      <c r="I16" s="16">
        <f t="shared" si="3"/>
        <v>1.002992570938064</v>
      </c>
      <c r="J16" s="16">
        <f>IF(OR(G16="",IFERROR(VLOOKUP(B16,Сезонность!$A$3:$D$14,4,FALSE),0)=0),"",G16/IFERROR(VLOOKUP(B16,Сезонность!$A$3:$D$14,4,FALSE),1))</f>
        <v>27.330026047836466</v>
      </c>
      <c r="K16" s="16">
        <f>IF(OR(G16="",H16="",H16=0,IFERROR(VLOOKUP(B16,Сезонность!$A$3:$D$14,4,FALSE),0)=0),"",G16/(H16*IFERROR(VLOOKUP(B16,Сезонность!$A$3:$D$14,4,FALSE),1)))</f>
        <v>0.93072122966838189</v>
      </c>
      <c r="L16" s="6" t="str">
        <f>IF(K16="","",IF(K16&lt;Настройки!$B$10,"ниже тренда",IF(K16&gt;Настройки!$B$11,"выше тренда","норма")))</f>
        <v>норма</v>
      </c>
      <c r="M16" s="6" t="str">
        <f t="shared" si="5"/>
        <v>без выраженного отклонения</v>
      </c>
      <c r="N16" s="25">
        <f>IF(G16="","",COUNT($G$4:G16))</f>
        <v>13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>
      <c r="A17" s="18">
        <f>IF(Ввод_данных!A17="","",Ввод_данных!A17)</f>
        <v>44866</v>
      </c>
      <c r="B17" s="6">
        <f t="shared" si="0"/>
        <v>11</v>
      </c>
      <c r="C17" s="6" t="str">
        <f t="shared" si="1"/>
        <v>ноябрь</v>
      </c>
      <c r="D17" s="16">
        <f>IF(Ввод_данных!C17="","",Ввод_данных!C17)</f>
        <v>5.88</v>
      </c>
      <c r="E17" s="16">
        <f>IF(Ввод_данных!D17="","",Ввод_данных!D17)</f>
        <v>2316</v>
      </c>
      <c r="F17" s="16">
        <f t="shared" si="2"/>
        <v>64.476614699331847</v>
      </c>
      <c r="G17" s="16">
        <f>IF(COUNT(D17,F17)=0,"",IF(COUNT(D17,F17)=2,D17*Настройки!$B$3+F17*Настройки!$B$4,IF(D17&lt;&gt;"",D17,F17)))</f>
        <v>35.178307349665921</v>
      </c>
      <c r="H17" s="16">
        <f>IF(OR(G17="",COUNT($G$4:G17)&lt;12),"",AVERAGE(G6:G17))</f>
        <v>29.458565330363772</v>
      </c>
      <c r="I17" s="16">
        <f t="shared" si="3"/>
        <v>1.1941622735241166</v>
      </c>
      <c r="J17" s="16">
        <f>IF(OR(G17="",IFERROR(VLOOKUP(B17,Сезонность!$A$3:$D$14,4,FALSE),0)=0),"",G17/IFERROR(VLOOKUP(B17,Сезонность!$A$3:$D$14,4,FALSE),1))</f>
        <v>30.186091425953311</v>
      </c>
      <c r="K17" s="16">
        <f>IF(OR(G17="",H17="",H17=0,IFERROR(VLOOKUP(B17,Сезонность!$A$3:$D$14,4,FALSE),0)=0),"",G17/(H17*IFERROR(VLOOKUP(B17,Сезонность!$A$3:$D$14,4,FALSE),1)))</f>
        <v>1.0246965895124451</v>
      </c>
      <c r="L17" s="6" t="str">
        <f>IF(K17="","",IF(K17&lt;Настройки!$B$10,"ниже тренда",IF(K17&gt;Настройки!$B$11,"выше тренда","норма")))</f>
        <v>норма</v>
      </c>
      <c r="M17" s="6" t="str">
        <f t="shared" si="5"/>
        <v>без выраженного отклонения</v>
      </c>
      <c r="N17" s="25">
        <f>IF(G17="","",COUNT($G$4:G17))</f>
        <v>14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>
      <c r="A18" s="18">
        <f>IF(Ввод_данных!A18="","",Ввод_данных!A18)</f>
        <v>44896</v>
      </c>
      <c r="B18" s="6">
        <f t="shared" si="0"/>
        <v>12</v>
      </c>
      <c r="C18" s="6" t="str">
        <f t="shared" si="1"/>
        <v>декабрь</v>
      </c>
      <c r="D18" s="16">
        <f>IF(Ввод_данных!C18="","",Ввод_данных!C18)</f>
        <v>6.38</v>
      </c>
      <c r="E18" s="16">
        <f>IF(Ввод_данных!D18="","",Ввод_данных!D18)</f>
        <v>2704</v>
      </c>
      <c r="F18" s="16">
        <f t="shared" si="2"/>
        <v>75.278396436525611</v>
      </c>
      <c r="G18" s="16">
        <f>IF(COUNT(D18,F18)=0,"",IF(COUNT(D18,F18)=2,D18*Настройки!$B$3+F18*Настройки!$B$4,IF(D18&lt;&gt;"",D18,F18)))</f>
        <v>40.829198218262803</v>
      </c>
      <c r="H18" s="16">
        <f>IF(OR(G18="",COUNT($G$4:G18)&lt;12),"",AVERAGE(G7:G18))</f>
        <v>29.731022642910176</v>
      </c>
      <c r="I18" s="16">
        <f t="shared" si="3"/>
        <v>1.3732860355544871</v>
      </c>
      <c r="J18" s="16">
        <f>IF(OR(G18="",IFERROR(VLOOKUP(B18,Сезонность!$A$3:$D$14,4,FALSE),0)=0),"",G18/IFERROR(VLOOKUP(B18,Сезонность!$A$3:$D$14,4,FALSE),1))</f>
        <v>32.165326550125094</v>
      </c>
      <c r="K18" s="16">
        <f>IF(OR(G18="",H18="",H18=0,IFERROR(VLOOKUP(B18,Сезонность!$A$3:$D$14,4,FALSE),0)=0),"",G18/(H18*IFERROR(VLOOKUP(B18,Сезонность!$A$3:$D$14,4,FALSE),1)))</f>
        <v>1.0818775706591921</v>
      </c>
      <c r="L18" s="6" t="str">
        <f>IF(K18="","",IF(K18&lt;Настройки!$B$10,"ниже тренда",IF(K18&gt;Настройки!$B$11,"выше тренда","норма")))</f>
        <v>норма</v>
      </c>
      <c r="M18" s="6" t="str">
        <f t="shared" si="5"/>
        <v>без выраженного отклонения</v>
      </c>
      <c r="N18" s="25">
        <f>IF(G18="","",COUNT($G$4:G18))</f>
        <v>15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>
      <c r="A19" s="18">
        <f>IF(Ввод_данных!A19="","",Ввод_данных!A19)</f>
        <v>44927</v>
      </c>
      <c r="B19" s="6">
        <f t="shared" si="0"/>
        <v>1</v>
      </c>
      <c r="C19" s="6" t="str">
        <f t="shared" si="1"/>
        <v>январь</v>
      </c>
      <c r="D19" s="16">
        <f>IF(Ввод_данных!C19="","",Ввод_данных!C19)</f>
        <v>7.5</v>
      </c>
      <c r="E19" s="16">
        <f>IF(Ввод_данных!D19="","",Ввод_данных!D19)</f>
        <v>1979</v>
      </c>
      <c r="F19" s="16">
        <f t="shared" si="2"/>
        <v>55.094654788418708</v>
      </c>
      <c r="G19" s="16">
        <f>IF(COUNT(D19,F19)=0,"",IF(COUNT(D19,F19)=2,D19*Настройки!$B$3+F19*Настройки!$B$4,IF(D19&lt;&gt;"",D19,F19)))</f>
        <v>31.297327394209354</v>
      </c>
      <c r="H19" s="16">
        <f>IF(OR(G19="",COUNT($G$4:G19)&lt;12),"",AVERAGE(G8:G19))</f>
        <v>30.000946547884194</v>
      </c>
      <c r="I19" s="16">
        <f t="shared" si="3"/>
        <v>1.0432113314910254</v>
      </c>
      <c r="J19" s="16">
        <f>IF(OR(G19="",IFERROR(VLOOKUP(B19,Сезонность!$A$3:$D$14,4,FALSE),0)=0),"",G19/IFERROR(VLOOKUP(B19,Сезонность!$A$3:$D$14,4,FALSE),1))</f>
        <v>34.518143519048877</v>
      </c>
      <c r="K19" s="16">
        <f>IF(OR(G19="",H19="",H19=0,IFERROR(VLOOKUP(B19,Сезонность!$A$3:$D$14,4,FALSE),0)=0),"",G19/(H19*IFERROR(VLOOKUP(B19,Сезонность!$A$3:$D$14,4,FALSE),1)))</f>
        <v>1.1505684816962303</v>
      </c>
      <c r="L19" s="6" t="str">
        <f>IF(K19="","",IF(K19&lt;Настройки!$B$10,"ниже тренда",IF(K19&gt;Настройки!$B$11,"выше тренда","норма")))</f>
        <v>выше тренда</v>
      </c>
      <c r="M19" s="10" t="str">
        <f t="shared" si="5"/>
        <v>возможная фаза повышенного интереса</v>
      </c>
      <c r="N19" s="25">
        <f>IF(G19="","",COUNT($G$4:G19))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>
      <c r="A20" s="18">
        <f>IF(Ввод_данных!A20="","",Ввод_данных!A20)</f>
        <v>44958</v>
      </c>
      <c r="B20" s="6">
        <f t="shared" si="0"/>
        <v>2</v>
      </c>
      <c r="C20" s="6" t="str">
        <f t="shared" si="1"/>
        <v>февраль</v>
      </c>
      <c r="D20" s="16">
        <f>IF(Ввод_данных!C20="","",Ввод_данных!C20)</f>
        <v>5.12</v>
      </c>
      <c r="E20" s="16">
        <f>IF(Ввод_данных!D20="","",Ввод_данных!D20)</f>
        <v>1815</v>
      </c>
      <c r="F20" s="16">
        <f t="shared" si="2"/>
        <v>50.528953229398667</v>
      </c>
      <c r="G20" s="16">
        <f>IF(COUNT(D20,F20)=0,"",IF(COUNT(D20,F20)=2,D20*Настройки!$B$3+F20*Настройки!$B$4,IF(D20&lt;&gt;"",D20,F20)))</f>
        <v>27.824476614699332</v>
      </c>
      <c r="H20" s="16">
        <f>IF(OR(G20="",COUNT($G$4:G20)&lt;12),"",AVERAGE(G9:G20))</f>
        <v>29.776907943578326</v>
      </c>
      <c r="I20" s="16">
        <f t="shared" si="3"/>
        <v>0.93443136095331036</v>
      </c>
      <c r="J20" s="16">
        <f>IF(OR(G20="",IFERROR(VLOOKUP(B20,Сезонность!$A$3:$D$14,4,FALSE),0)=0),"",G20/IFERROR(VLOOKUP(B20,Сезонность!$A$3:$D$14,4,FALSE),1))</f>
        <v>30.502871050012779</v>
      </c>
      <c r="K20" s="16">
        <f>IF(OR(G20="",H20="",H20=0,IFERROR(VLOOKUP(B20,Сезонность!$A$3:$D$14,4,FALSE),0)=0),"",G20/(H20*IFERROR(VLOOKUP(B20,Сезонность!$A$3:$D$14,4,FALSE),1)))</f>
        <v>1.0243800702144767</v>
      </c>
      <c r="L20" s="6" t="str">
        <f>IF(K20="","",IF(K20&lt;Настройки!$B$10,"ниже тренда",IF(K20&gt;Настройки!$B$11,"выше тренда","норма")))</f>
        <v>норма</v>
      </c>
      <c r="M20" s="6" t="str">
        <f t="shared" si="5"/>
        <v>без выраженного отклонения</v>
      </c>
      <c r="N20" s="25">
        <f>IF(G20="","",COUNT($G$4:G20))</f>
        <v>17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8">
        <f>IF(Ввод_данных!A21="","",Ввод_данных!A21)</f>
        <v>44986</v>
      </c>
      <c r="B21" s="6">
        <f t="shared" si="0"/>
        <v>3</v>
      </c>
      <c r="C21" s="6" t="str">
        <f t="shared" si="1"/>
        <v>март</v>
      </c>
      <c r="D21" s="16">
        <f>IF(Ввод_данных!C21="","",Ввод_данных!C21)</f>
        <v>6.75</v>
      </c>
      <c r="E21" s="16">
        <f>IF(Ввод_данных!D21="","",Ввод_данных!D21)</f>
        <v>2218</v>
      </c>
      <c r="F21" s="16">
        <f t="shared" si="2"/>
        <v>61.748329621380847</v>
      </c>
      <c r="G21" s="16">
        <f>IF(COUNT(D21,F21)=0,"",IF(COUNT(D21,F21)=2,D21*Настройки!$B$3+F21*Настройки!$B$4,IF(D21&lt;&gt;"",D21,F21)))</f>
        <v>34.249164810690424</v>
      </c>
      <c r="H21" s="16">
        <f>IF(OR(G21="",COUNT($G$4:G21)&lt;12),"",AVERAGE(G10:G21))</f>
        <v>29.700917780252414</v>
      </c>
      <c r="I21" s="16">
        <f t="shared" si="3"/>
        <v>1.1531348985270096</v>
      </c>
      <c r="J21" s="16">
        <f>IF(OR(G21="",IFERROR(VLOOKUP(B21,Сезонность!$A$3:$D$14,4,FALSE),0)=0),"",G21/IFERROR(VLOOKUP(B21,Сезонность!$A$3:$D$14,4,FALSE),1))</f>
        <v>33.142167887377987</v>
      </c>
      <c r="K21" s="16">
        <f>IF(OR(G21="",H21="",H21=0,IFERROR(VLOOKUP(B21,Сезонность!$A$3:$D$14,4,FALSE),0)=0),"",G21/(H21*IFERROR(VLOOKUP(B21,Сезонность!$A$3:$D$14,4,FALSE),1)))</f>
        <v>1.1158634265980021</v>
      </c>
      <c r="L21" s="6" t="str">
        <f>IF(K21="","",IF(K21&lt;Настройки!$B$10,"ниже тренда",IF(K21&gt;Настройки!$B$11,"выше тренда","норма")))</f>
        <v>выше тренда</v>
      </c>
      <c r="M21" s="10" t="str">
        <f t="shared" si="5"/>
        <v>возможная фаза повышенного интереса</v>
      </c>
      <c r="N21" s="25">
        <f>IF(G21="","",COUNT($G$4:G21))</f>
        <v>18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A22" s="18">
        <f>IF(Ввод_данных!A22="","",Ввод_данных!A22)</f>
        <v>45017</v>
      </c>
      <c r="B22" s="6">
        <f t="shared" si="0"/>
        <v>4</v>
      </c>
      <c r="C22" s="6" t="str">
        <f t="shared" si="1"/>
        <v>апрель</v>
      </c>
      <c r="D22" s="16">
        <f>IF(Ввод_данных!C22="","",Ввод_данных!C22)</f>
        <v>7.6</v>
      </c>
      <c r="E22" s="16">
        <f>IF(Ввод_данных!D22="","",Ввод_данных!D22)</f>
        <v>2146</v>
      </c>
      <c r="F22" s="16">
        <f t="shared" si="2"/>
        <v>59.743875278396445</v>
      </c>
      <c r="G22" s="16">
        <f>IF(COUNT(D22,F22)=0,"",IF(COUNT(D22,F22)=2,D22*Настройки!$B$3+F22*Настройки!$B$4,IF(D22&lt;&gt;"",D22,F22)))</f>
        <v>33.671937639198219</v>
      </c>
      <c r="H22" s="16">
        <f>IF(OR(G22="",COUNT($G$4:G22)&lt;12),"",AVERAGE(G11:G22))</f>
        <v>29.85730976243504</v>
      </c>
      <c r="I22" s="16">
        <f t="shared" si="3"/>
        <v>1.1277619419537439</v>
      </c>
      <c r="J22" s="16">
        <f>IF(OR(G22="",IFERROR(VLOOKUP(B22,Сезонность!$A$3:$D$14,4,FALSE),0)=0),"",G22/IFERROR(VLOOKUP(B22,Сезонность!$A$3:$D$14,4,FALSE),1))</f>
        <v>29.945003643187754</v>
      </c>
      <c r="K22" s="16">
        <f>IF(OR(G22="",H22="",H22=0,IFERROR(VLOOKUP(B22,Сезонность!$A$3:$D$14,4,FALSE),0)=0),"",G22/(H22*IFERROR(VLOOKUP(B22,Сезонность!$A$3:$D$14,4,FALSE),1)))</f>
        <v>1.0029370992045321</v>
      </c>
      <c r="L22" s="6" t="str">
        <f>IF(K22="","",IF(K22&lt;Настройки!$B$10,"ниже тренда",IF(K22&gt;Настройки!$B$11,"выше тренда","норма")))</f>
        <v>норма</v>
      </c>
      <c r="M22" s="6" t="str">
        <f t="shared" si="5"/>
        <v>без выраженного отклонения</v>
      </c>
      <c r="N22" s="25">
        <f>IF(G22="","",COUNT($G$4:G22))</f>
        <v>19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>
      <c r="A23" s="18">
        <f>IF(Ввод_данных!A23="","",Ввод_данных!A23)</f>
        <v>45047</v>
      </c>
      <c r="B23" s="6">
        <f t="shared" si="0"/>
        <v>5</v>
      </c>
      <c r="C23" s="6" t="str">
        <f t="shared" si="1"/>
        <v>май</v>
      </c>
      <c r="D23" s="16">
        <f>IF(Ввод_данных!C23="","",Ввод_данных!C23)</f>
        <v>6.25</v>
      </c>
      <c r="E23" s="16">
        <f>IF(Ввод_данных!D23="","",Ввод_данных!D23)</f>
        <v>2267</v>
      </c>
      <c r="F23" s="16">
        <f t="shared" si="2"/>
        <v>63.112472160356347</v>
      </c>
      <c r="G23" s="16">
        <f>IF(COUNT(D23,F23)=0,"",IF(COUNT(D23,F23)=2,D23*Настройки!$B$3+F23*Настройки!$B$4,IF(D23&lt;&gt;"",D23,F23)))</f>
        <v>34.681236080178174</v>
      </c>
      <c r="H23" s="16">
        <f>IF(OR(G23="",COUNT($G$4:G23)&lt;12),"",AVERAGE(G12:G23))</f>
        <v>30.246095025983667</v>
      </c>
      <c r="I23" s="16">
        <f t="shared" si="3"/>
        <v>1.146635162336969</v>
      </c>
      <c r="J23" s="16">
        <f>IF(OR(G23="",IFERROR(VLOOKUP(B23,Сезонность!$A$3:$D$14,4,FALSE),0)=0),"",G23/IFERROR(VLOOKUP(B23,Сезонность!$A$3:$D$14,4,FALSE),1))</f>
        <v>31.421611966477528</v>
      </c>
      <c r="K23" s="16">
        <f>IF(OR(G23="",H23="",H23=0,IFERROR(VLOOKUP(B23,Сезонность!$A$3:$D$14,4,FALSE),0)=0),"",G23/(H23*IFERROR(VLOOKUP(B23,Сезонность!$A$3:$D$14,4,FALSE),1)))</f>
        <v>1.0388650812438434</v>
      </c>
      <c r="L23" s="6" t="str">
        <f>IF(K23="","",IF(K23&lt;Настройки!$B$10,"ниже тренда",IF(K23&gt;Настройки!$B$11,"выше тренда","норма")))</f>
        <v>норма</v>
      </c>
      <c r="M23" s="6" t="str">
        <f t="shared" si="5"/>
        <v>без выраженного отклонения</v>
      </c>
      <c r="N23" s="25">
        <f>IF(G23="","",COUNT($G$4:G23))</f>
        <v>20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>
      <c r="A24" s="18">
        <f>IF(Ввод_данных!A24="","",Ввод_данных!A24)</f>
        <v>45078</v>
      </c>
      <c r="B24" s="6">
        <f t="shared" si="0"/>
        <v>6</v>
      </c>
      <c r="C24" s="6" t="str">
        <f t="shared" si="1"/>
        <v>июнь</v>
      </c>
      <c r="D24" s="16">
        <f>IF(Ввод_данных!C24="","",Ввод_данных!C24)</f>
        <v>7.25</v>
      </c>
      <c r="E24" s="16">
        <f>IF(Ввод_данных!D24="","",Ввод_данных!D24)</f>
        <v>1932</v>
      </c>
      <c r="F24" s="16">
        <f t="shared" si="2"/>
        <v>53.786191536748326</v>
      </c>
      <c r="G24" s="16">
        <f>IF(COUNT(D24,F24)=0,"",IF(COUNT(D24,F24)=2,D24*Настройки!$B$3+F24*Настройки!$B$4,IF(D24&lt;&gt;"",D24,F24)))</f>
        <v>30.518095768374163</v>
      </c>
      <c r="H24" s="16">
        <f>IF(OR(G24="",COUNT($G$4:G24)&lt;12),"",AVERAGE(G13:G24))</f>
        <v>30.481003155159616</v>
      </c>
      <c r="I24" s="16">
        <f t="shared" si="3"/>
        <v>1.0012169092016339</v>
      </c>
      <c r="J24" s="16">
        <f>IF(OR(G24="",IFERROR(VLOOKUP(B24,Сезонность!$A$3:$D$14,4,FALSE),0)=0),"",G24/IFERROR(VLOOKUP(B24,Сезонность!$A$3:$D$14,4,FALSE),1))</f>
        <v>28.992804004468905</v>
      </c>
      <c r="K24" s="16">
        <f>IF(OR(G24="",H24="",H24=0,IFERROR(VLOOKUP(B24,Сезонность!$A$3:$D$14,4,FALSE),0)=0),"",G24/(H24*IFERROR(VLOOKUP(B24,Сезонность!$A$3:$D$14,4,FALSE),1)))</f>
        <v>0.95117617543244148</v>
      </c>
      <c r="L24" s="6" t="str">
        <f>IF(K24="","",IF(K24&lt;Настройки!$B$10,"ниже тренда",IF(K24&gt;Настройки!$B$11,"выше тренда","норма")))</f>
        <v>норма</v>
      </c>
      <c r="M24" s="6" t="str">
        <f t="shared" si="5"/>
        <v>без выраженного отклонения</v>
      </c>
      <c r="N24" s="25">
        <f>IF(G24="","",COUNT($G$4:G24))</f>
        <v>21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>
      <c r="A25" s="18">
        <f>IF(Ввод_данных!A25="","",Ввод_данных!A25)</f>
        <v>45108</v>
      </c>
      <c r="B25" s="6">
        <f t="shared" si="0"/>
        <v>7</v>
      </c>
      <c r="C25" s="6" t="str">
        <f t="shared" si="1"/>
        <v>июль</v>
      </c>
      <c r="D25" s="16">
        <f>IF(Ввод_данных!C25="","",Ввод_данных!C25)</f>
        <v>5.8</v>
      </c>
      <c r="E25" s="16">
        <f>IF(Ввод_данных!D25="","",Ввод_данных!D25)</f>
        <v>1795</v>
      </c>
      <c r="F25" s="16">
        <f t="shared" si="2"/>
        <v>49.972160356347437</v>
      </c>
      <c r="G25" s="16">
        <f>IF(COUNT(D25,F25)=0,"",IF(COUNT(D25,F25)=2,D25*Настройки!$B$3+F25*Настройки!$B$4,IF(D25&lt;&gt;"",D25,F25)))</f>
        <v>27.886080178173717</v>
      </c>
      <c r="H25" s="16">
        <f>IF(OR(G25="",COUNT($G$4:G25)&lt;12),"",AVERAGE(G14:G25))</f>
        <v>31.183527282850775</v>
      </c>
      <c r="I25" s="16">
        <f t="shared" si="3"/>
        <v>0.89425676336203075</v>
      </c>
      <c r="J25" s="16">
        <f>IF(OR(G25="",IFERROR(VLOOKUP(B25,Сезонность!$A$3:$D$14,4,FALSE),0)=0),"",G25/IFERROR(VLOOKUP(B25,Сезонность!$A$3:$D$14,4,FALSE),1))</f>
        <v>38.984473326679627</v>
      </c>
      <c r="K25" s="16">
        <f>IF(OR(G25="",H25="",H25=0,IFERROR(VLOOKUP(B25,Сезонность!$A$3:$D$14,4,FALSE),0)=0),"",G25/(H25*IFERROR(VLOOKUP(B25,Сезонность!$A$3:$D$14,4,FALSE),1)))</f>
        <v>1.2501624005863807</v>
      </c>
      <c r="L25" s="6" t="str">
        <f>IF(K25="","",IF(K25&lt;Настройки!$B$10,"ниже тренда",IF(K25&gt;Настройки!$B$11,"выше тренда","норма")))</f>
        <v>выше тренда</v>
      </c>
      <c r="M25" s="10" t="str">
        <f t="shared" si="5"/>
        <v>возможная фаза повышенного интереса</v>
      </c>
      <c r="N25" s="25">
        <f>IF(G25="","",COUNT($G$4:G25))</f>
        <v>22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>
      <c r="A26" s="18">
        <f>IF(Ввод_данных!A26="","",Ввод_данных!A26)</f>
        <v>45139</v>
      </c>
      <c r="B26" s="6">
        <f t="shared" si="0"/>
        <v>8</v>
      </c>
      <c r="C26" s="6" t="str">
        <f t="shared" si="1"/>
        <v>август</v>
      </c>
      <c r="D26" s="16">
        <f>IF(Ввод_данных!C26="","",Ввод_данных!C26)</f>
        <v>5.88</v>
      </c>
      <c r="E26" s="16">
        <f>IF(Ввод_данных!D26="","",Ввод_данных!D26)</f>
        <v>1936</v>
      </c>
      <c r="F26" s="16">
        <f t="shared" si="2"/>
        <v>53.897550111358569</v>
      </c>
      <c r="G26" s="16">
        <f>IF(COUNT(D26,F26)=0,"",IF(COUNT(D26,F26)=2,D26*Настройки!$B$3+F26*Настройки!$B$4,IF(D26&lt;&gt;"",D26,F26)))</f>
        <v>29.888775055679286</v>
      </c>
      <c r="H26" s="16">
        <f>IF(OR(G26="",COUNT($G$4:G26)&lt;12),"",AVERAGE(G15:G26))</f>
        <v>31.864531365998513</v>
      </c>
      <c r="I26" s="16">
        <f t="shared" si="3"/>
        <v>0.93799512418288744</v>
      </c>
      <c r="J26" s="16">
        <f>IF(OR(G26="",IFERROR(VLOOKUP(B26,Сезонность!$A$3:$D$14,4,FALSE),0)=0),"",G26/IFERROR(VLOOKUP(B26,Сезонность!$A$3:$D$14,4,FALSE),1))</f>
        <v>41.288110919266714</v>
      </c>
      <c r="K26" s="16">
        <f>IF(OR(G26="",H26="",H26=0,IFERROR(VLOOKUP(B26,Сезонность!$A$3:$D$14,4,FALSE),0)=0),"",G26/(H26*IFERROR(VLOOKUP(B26,Сезонность!$A$3:$D$14,4,FALSE),1)))</f>
        <v>1.2957388403120769</v>
      </c>
      <c r="L26" s="6" t="str">
        <f>IF(K26="","",IF(K26&lt;Настройки!$B$10,"ниже тренда",IF(K26&gt;Настройки!$B$11,"выше тренда","норма")))</f>
        <v>выше тренда</v>
      </c>
      <c r="M26" s="10" t="str">
        <f t="shared" si="5"/>
        <v>возможная фаза повышенного интереса</v>
      </c>
      <c r="N26" s="25">
        <f>IF(G26="","",COUNT($G$4:G26))</f>
        <v>23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>
      <c r="A27" s="18">
        <f>IF(Ввод_данных!A27="","",Ввод_данных!A27)</f>
        <v>45170</v>
      </c>
      <c r="B27" s="6">
        <f t="shared" si="0"/>
        <v>9</v>
      </c>
      <c r="C27" s="6" t="str">
        <f t="shared" si="1"/>
        <v>сентябрь</v>
      </c>
      <c r="D27" s="16">
        <f>IF(Ввод_данных!C27="","",Ввод_данных!C27)</f>
        <v>8.3800000000000008</v>
      </c>
      <c r="E27" s="16">
        <f>IF(Ввод_данных!D27="","",Ввод_данных!D27)</f>
        <v>2438</v>
      </c>
      <c r="F27" s="16">
        <f t="shared" si="2"/>
        <v>67.873051224944319</v>
      </c>
      <c r="G27" s="16">
        <f>IF(COUNT(D27,F27)=0,"",IF(COUNT(D27,F27)=2,D27*Настройки!$B$3+F27*Настройки!$B$4,IF(D27&lt;&gt;"",D27,F27)))</f>
        <v>38.126525612472157</v>
      </c>
      <c r="H27" s="16">
        <f>IF(OR(G27="",COUNT($G$4:G27)&lt;12),"",AVERAGE(G16:G27))</f>
        <v>32.800279324424643</v>
      </c>
      <c r="I27" s="16">
        <f t="shared" si="3"/>
        <v>1.1623841747006507</v>
      </c>
      <c r="J27" s="16">
        <f>IF(OR(G27="",IFERROR(VLOOKUP(B27,Сезонность!$A$3:$D$14,4,FALSE),0)=0),"",G27/IFERROR(VLOOKUP(B27,Сезонность!$A$3:$D$14,4,FALSE),1))</f>
        <v>41.65463734130568</v>
      </c>
      <c r="K27" s="16">
        <f>IF(OR(G27="",H27="",H27=0,IFERROR(VLOOKUP(B27,Сезонность!$A$3:$D$14,4,FALSE),0)=0),"",G27/(H27*IFERROR(VLOOKUP(B27,Сезонность!$A$3:$D$14,4,FALSE),1)))</f>
        <v>1.2699476406680372</v>
      </c>
      <c r="L27" s="6" t="str">
        <f>IF(K27="","",IF(K27&lt;Настройки!$B$10,"ниже тренда",IF(K27&gt;Настройки!$B$11,"выше тренда","норма")))</f>
        <v>выше тренда</v>
      </c>
      <c r="M27" s="10" t="str">
        <f t="shared" si="5"/>
        <v>возможная фаза повышенного интереса</v>
      </c>
      <c r="N27" s="25">
        <f>IF(G27="","",COUNT($G$4:G27))</f>
        <v>24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>
      <c r="A28" s="18">
        <f>IF(Ввод_данных!A28="","",Ввод_данных!A28)</f>
        <v>45200</v>
      </c>
      <c r="B28" s="6">
        <f t="shared" si="0"/>
        <v>10</v>
      </c>
      <c r="C28" s="6" t="str">
        <f t="shared" si="1"/>
        <v>октябрь</v>
      </c>
      <c r="D28" s="16">
        <f>IF(Ввод_данных!C28="","",Ввод_данных!C28)</f>
        <v>6.9</v>
      </c>
      <c r="E28" s="16">
        <f>IF(Ввод_данных!D28="","",Ввод_данных!D28)</f>
        <v>2726</v>
      </c>
      <c r="F28" s="16">
        <f t="shared" si="2"/>
        <v>75.890868596881958</v>
      </c>
      <c r="G28" s="16">
        <f>IF(COUNT(D28,F28)=0,"",IF(COUNT(D28,F28)=2,D28*Настройки!$B$3+F28*Настройки!$B$4,IF(D28&lt;&gt;"",D28,F28)))</f>
        <v>41.395434298440982</v>
      </c>
      <c r="H28" s="16">
        <f>IF(OR(G28="",COUNT($G$4:G28)&lt;12),"",AVERAGE(G17:G28))</f>
        <v>33.795546585003713</v>
      </c>
      <c r="I28" s="16">
        <f t="shared" si="3"/>
        <v>1.2248783784076926</v>
      </c>
      <c r="J28" s="16">
        <f>IF(OR(G28="",IFERROR(VLOOKUP(B28,Сезонность!$A$3:$D$14,4,FALSE),0)=0),"",G28/IFERROR(VLOOKUP(B28,Сезонность!$A$3:$D$14,4,FALSE),1))</f>
        <v>38.412656912172508</v>
      </c>
      <c r="K28" s="16">
        <f>IF(OR(G28="",H28="",H28=0,IFERROR(VLOOKUP(B28,Сезонность!$A$3:$D$14,4,FALSE),0)=0),"",G28/(H28*IFERROR(VLOOKUP(B28,Сезонность!$A$3:$D$14,4,FALSE),1)))</f>
        <v>1.1366188978644178</v>
      </c>
      <c r="L28" s="6" t="str">
        <f>IF(K28="","",IF(K28&lt;Настройки!$B$10,"ниже тренда",IF(K28&gt;Настройки!$B$11,"выше тренда","норма")))</f>
        <v>выше тренда</v>
      </c>
      <c r="M28" s="10" t="str">
        <f t="shared" si="5"/>
        <v>возможная фаза повышенного интереса</v>
      </c>
      <c r="N28" s="25">
        <f>IF(G28="","",COUNT($G$4:G28))</f>
        <v>25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>
      <c r="A29" s="18">
        <f>IF(Ввод_данных!A29="","",Ввод_данных!A29)</f>
        <v>45231</v>
      </c>
      <c r="B29" s="6">
        <f t="shared" si="0"/>
        <v>11</v>
      </c>
      <c r="C29" s="6" t="str">
        <f t="shared" si="1"/>
        <v>ноябрь</v>
      </c>
      <c r="D29" s="16">
        <f>IF(Ввод_данных!C29="","",Ввод_данных!C29)</f>
        <v>5.5</v>
      </c>
      <c r="E29" s="16">
        <f>IF(Ввод_данных!D29="","",Ввод_данных!D29)</f>
        <v>2727</v>
      </c>
      <c r="F29" s="16">
        <f t="shared" si="2"/>
        <v>75.918708240534514</v>
      </c>
      <c r="G29" s="16">
        <f>IF(COUNT(D29,F29)=0,"",IF(COUNT(D29,F29)=2,D29*Настройки!$B$3+F29*Настройки!$B$4,IF(D29&lt;&gt;"",D29,F29)))</f>
        <v>40.709354120267257</v>
      </c>
      <c r="H29" s="16">
        <f>IF(OR(G29="",COUNT($G$4:G29)&lt;12),"",AVERAGE(G18:G29))</f>
        <v>34.256467149220491</v>
      </c>
      <c r="I29" s="16">
        <f t="shared" si="3"/>
        <v>1.1883698906527085</v>
      </c>
      <c r="J29" s="16">
        <f>IF(OR(G29="",IFERROR(VLOOKUP(B29,Сезонность!$A$3:$D$14,4,FALSE),0)=0),"",G29/IFERROR(VLOOKUP(B29,Сезонность!$A$3:$D$14,4,FALSE),1))</f>
        <v>34.93221754961916</v>
      </c>
      <c r="K29" s="16">
        <f>IF(OR(G29="",H29="",H29=0,IFERROR(VLOOKUP(B29,Сезонность!$A$3:$D$14,4,FALSE),0)=0),"",G29/(H29*IFERROR(VLOOKUP(B29,Сезонность!$A$3:$D$14,4,FALSE),1)))</f>
        <v>1.0197262139570644</v>
      </c>
      <c r="L29" s="6" t="str">
        <f>IF(K29="","",IF(K29&lt;Настройки!$B$10,"ниже тренда",IF(K29&gt;Настройки!$B$11,"выше тренда","норма")))</f>
        <v>норма</v>
      </c>
      <c r="M29" s="6" t="str">
        <f t="shared" si="5"/>
        <v>без выраженного отклонения</v>
      </c>
      <c r="N29" s="25">
        <f>IF(G29="","",COUNT($G$4:G29))</f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>
      <c r="A30" s="18">
        <f>IF(Ввод_данных!A30="","",Ввод_данных!A30)</f>
        <v>45261</v>
      </c>
      <c r="B30" s="6">
        <f t="shared" si="0"/>
        <v>12</v>
      </c>
      <c r="C30" s="6" t="str">
        <f t="shared" si="1"/>
        <v>декабрь</v>
      </c>
      <c r="D30" s="16">
        <f>IF(Ввод_данных!C30="","",Ввод_данных!C30)</f>
        <v>5.2</v>
      </c>
      <c r="E30" s="16">
        <f>IF(Ввод_данных!D30="","",Ввод_данных!D30)</f>
        <v>2621</v>
      </c>
      <c r="F30" s="16">
        <f t="shared" si="2"/>
        <v>72.967706013363028</v>
      </c>
      <c r="G30" s="16">
        <f>IF(COUNT(D30,F30)=0,"",IF(COUNT(D30,F30)=2,D30*Настройки!$B$3+F30*Настройки!$B$4,IF(D30&lt;&gt;"",D30,F30)))</f>
        <v>39.083853006681515</v>
      </c>
      <c r="H30" s="16">
        <f>IF(OR(G30="",COUNT($G$4:G30)&lt;12),"",AVERAGE(G19:G30))</f>
        <v>34.111021714922053</v>
      </c>
      <c r="I30" s="16">
        <f t="shared" si="3"/>
        <v>1.1457837098319477</v>
      </c>
      <c r="J30" s="16">
        <f>IF(OR(G30="",IFERROR(VLOOKUP(B30,Сезонность!$A$3:$D$14,4,FALSE),0)=0),"",G30/IFERROR(VLOOKUP(B30,Сезонность!$A$3:$D$14,4,FALSE),1))</f>
        <v>30.790339993369781</v>
      </c>
      <c r="K30" s="16">
        <f>IF(OR(G30="",H30="",H30=0,IFERROR(VLOOKUP(B30,Сезонность!$A$3:$D$14,4,FALSE),0)=0),"",G30/(H30*IFERROR(VLOOKUP(B30,Сезонность!$A$3:$D$14,4,FALSE),1)))</f>
        <v>0.90265076932305366</v>
      </c>
      <c r="L30" s="6" t="str">
        <f>IF(K30="","",IF(K30&lt;Настройки!$B$10,"ниже тренда",IF(K30&gt;Настройки!$B$11,"выше тренда","норма")))</f>
        <v>норма</v>
      </c>
      <c r="M30" s="6" t="str">
        <f t="shared" si="5"/>
        <v>без выраженного отклонения</v>
      </c>
      <c r="N30" s="25">
        <f>IF(G30="","",COUNT($G$4:G30))</f>
        <v>27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>
      <c r="A31" s="18">
        <f>IF(Ввод_данных!A31="","",Ввод_данных!A31)</f>
        <v>45292</v>
      </c>
      <c r="B31" s="6">
        <f t="shared" si="0"/>
        <v>1</v>
      </c>
      <c r="C31" s="6" t="str">
        <f t="shared" si="1"/>
        <v>январь</v>
      </c>
      <c r="D31" s="16">
        <f>IF(Ввод_данных!C31="","",Ввод_данных!C31)</f>
        <v>7.25</v>
      </c>
      <c r="E31" s="16">
        <f>IF(Ввод_данных!D31="","",Ввод_данных!D31)</f>
        <v>1978</v>
      </c>
      <c r="F31" s="16">
        <f t="shared" si="2"/>
        <v>55.066815144766146</v>
      </c>
      <c r="G31" s="16">
        <f>IF(COUNT(D31,F31)=0,"",IF(COUNT(D31,F31)=2,D31*Настройки!$B$3+F31*Настройки!$B$4,IF(D31&lt;&gt;"",D31,F31)))</f>
        <v>31.158407572383073</v>
      </c>
      <c r="H31" s="16">
        <f>IF(OR(G31="",COUNT($G$4:G31)&lt;12),"",AVERAGE(G20:G31))</f>
        <v>34.099445063103197</v>
      </c>
      <c r="I31" s="16">
        <f t="shared" si="3"/>
        <v>0.91375116265741141</v>
      </c>
      <c r="J31" s="16">
        <f>IF(OR(G31="",IFERROR(VLOOKUP(B31,Сезонность!$A$3:$D$14,4,FALSE),0)=0),"",G31/IFERROR(VLOOKUP(B31,Сезонность!$A$3:$D$14,4,FALSE),1))</f>
        <v>34.36492742212657</v>
      </c>
      <c r="K31" s="16">
        <f>IF(OR(G31="",H31="",H31=0,IFERROR(VLOOKUP(B31,Сезонность!$A$3:$D$14,4,FALSE),0)=0),"",G31/(H31*IFERROR(VLOOKUP(B31,Сезонность!$A$3:$D$14,4,FALSE),1)))</f>
        <v>1.0077855331232541</v>
      </c>
      <c r="L31" s="6" t="str">
        <f>IF(K31="","",IF(K31&lt;Настройки!$B$10,"ниже тренда",IF(K31&gt;Настройки!$B$11,"выше тренда","норма")))</f>
        <v>норма</v>
      </c>
      <c r="M31" s="6" t="str">
        <f t="shared" si="5"/>
        <v>без выраженного отклонения</v>
      </c>
      <c r="N31" s="25">
        <f>IF(G31="","",COUNT($G$4:G31))</f>
        <v>28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>
      <c r="A32" s="18">
        <f>IF(Ввод_данных!A32="","",Ввод_данных!A32)</f>
        <v>45323</v>
      </c>
      <c r="B32" s="6">
        <f t="shared" si="0"/>
        <v>2</v>
      </c>
      <c r="C32" s="6" t="str">
        <f t="shared" si="1"/>
        <v>февраль</v>
      </c>
      <c r="D32" s="16">
        <f>IF(Ввод_данных!C32="","",Ввод_данных!C32)</f>
        <v>6.88</v>
      </c>
      <c r="E32" s="16">
        <f>IF(Ввод_данных!D32="","",Ввод_данных!D32)</f>
        <v>1950</v>
      </c>
      <c r="F32" s="16">
        <f t="shared" si="2"/>
        <v>54.287305122494431</v>
      </c>
      <c r="G32" s="16">
        <f>IF(COUNT(D32,F32)=0,"",IF(COUNT(D32,F32)=2,D32*Настройки!$B$3+F32*Настройки!$B$4,IF(D32&lt;&gt;"",D32,F32)))</f>
        <v>30.583652561247217</v>
      </c>
      <c r="H32" s="16">
        <f>IF(OR(G32="",COUNT($G$4:G32)&lt;12),"",AVERAGE(G21:G32))</f>
        <v>34.329376391982187</v>
      </c>
      <c r="I32" s="16">
        <f t="shared" si="3"/>
        <v>0.89088867248955317</v>
      </c>
      <c r="J32" s="16">
        <f>IF(OR(G32="",IFERROR(VLOOKUP(B32,Сезонность!$A$3:$D$14,4,FALSE),0)=0),"",G32/IFERROR(VLOOKUP(B32,Сезонность!$A$3:$D$14,4,FALSE),1))</f>
        <v>33.527646296185239</v>
      </c>
      <c r="K32" s="16">
        <f>IF(OR(G32="",H32="",H32=0,IFERROR(VLOOKUP(B32,Сезонность!$A$3:$D$14,4,FALSE),0)=0),"",G32/(H32*IFERROR(VLOOKUP(B32,Сезонность!$A$3:$D$14,4,FALSE),1)))</f>
        <v>0.97664594641503022</v>
      </c>
      <c r="L32" s="6" t="str">
        <f>IF(K32="","",IF(K32&lt;Настройки!$B$10,"ниже тренда",IF(K32&gt;Настройки!$B$11,"выше тренда","норма")))</f>
        <v>норма</v>
      </c>
      <c r="M32" s="6" t="str">
        <f t="shared" si="5"/>
        <v>без выраженного отклонения</v>
      </c>
      <c r="N32" s="25">
        <f>IF(G32="","",COUNT($G$4:G32))</f>
        <v>29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>
      <c r="A33" s="18">
        <f>IF(Ввод_данных!A33="","",Ввод_данных!A33)</f>
        <v>45352</v>
      </c>
      <c r="B33" s="6">
        <f t="shared" si="0"/>
        <v>3</v>
      </c>
      <c r="C33" s="6" t="str">
        <f t="shared" si="1"/>
        <v>март</v>
      </c>
      <c r="D33" s="16">
        <f>IF(Ввод_данных!C33="","",Ввод_данных!C33)</f>
        <v>9.4</v>
      </c>
      <c r="E33" s="16">
        <f>IF(Ввод_данных!D33="","",Ввод_данных!D33)</f>
        <v>2248</v>
      </c>
      <c r="F33" s="16">
        <f t="shared" si="2"/>
        <v>62.58351893095768</v>
      </c>
      <c r="G33" s="16">
        <f>IF(COUNT(D33,F33)=0,"",IF(COUNT(D33,F33)=2,D33*Настройки!$B$3+F33*Настройки!$B$4,IF(D33&lt;&gt;"",D33,F33)))</f>
        <v>35.991759465478843</v>
      </c>
      <c r="H33" s="16">
        <f>IF(OR(G33="",COUNT($G$4:G33)&lt;12),"",AVERAGE(G22:G33))</f>
        <v>34.474592613214547</v>
      </c>
      <c r="I33" s="16">
        <f t="shared" si="3"/>
        <v>1.0440082604974061</v>
      </c>
      <c r="J33" s="16">
        <f>IF(OR(G33="",IFERROR(VLOOKUP(B33,Сезонность!$A$3:$D$14,4,FALSE),0)=0),"",G33/IFERROR(VLOOKUP(B33,Сезонность!$A$3:$D$14,4,FALSE),1))</f>
        <v>34.828438630850783</v>
      </c>
      <c r="K33" s="16">
        <f>IF(OR(G33="",H33="",H33=0,IFERROR(VLOOKUP(B33,Сезонность!$A$3:$D$14,4,FALSE),0)=0),"",G33/(H33*IFERROR(VLOOKUP(B33,Сезонность!$A$3:$D$14,4,FALSE),1)))</f>
        <v>1.0102639651643224</v>
      </c>
      <c r="L33" s="6" t="str">
        <f>IF(K33="","",IF(K33&lt;Настройки!$B$10,"ниже тренда",IF(K33&gt;Настройки!$B$11,"выше тренда","норма")))</f>
        <v>норма</v>
      </c>
      <c r="M33" s="6" t="str">
        <f t="shared" si="5"/>
        <v>без выраженного отклонения</v>
      </c>
      <c r="N33" s="25">
        <f>IF(G33="","",COUNT($G$4:G33))</f>
        <v>30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>
      <c r="A34" s="18">
        <f>IF(Ввод_данных!A34="","",Ввод_данных!A34)</f>
        <v>45383</v>
      </c>
      <c r="B34" s="6">
        <f t="shared" si="0"/>
        <v>4</v>
      </c>
      <c r="C34" s="6" t="str">
        <f t="shared" si="1"/>
        <v>апрель</v>
      </c>
      <c r="D34" s="16">
        <f>IF(Ввод_данных!C34="","",Ввод_данных!C34)</f>
        <v>8.25</v>
      </c>
      <c r="E34" s="16">
        <f>IF(Ввод_данных!D34="","",Ввод_данных!D34)</f>
        <v>2221</v>
      </c>
      <c r="F34" s="16">
        <f t="shared" si="2"/>
        <v>61.831848552338528</v>
      </c>
      <c r="G34" s="16">
        <f>IF(COUNT(D34,F34)=0,"",IF(COUNT(D34,F34)=2,D34*Настройки!$B$3+F34*Настройки!$B$4,IF(D34&lt;&gt;"",D34,F34)))</f>
        <v>35.040924276169264</v>
      </c>
      <c r="H34" s="16">
        <f>IF(OR(G34="",COUNT($G$4:G34)&lt;12),"",AVERAGE(G23:G34))</f>
        <v>34.588674832962134</v>
      </c>
      <c r="I34" s="16">
        <f t="shared" si="3"/>
        <v>1.0130750728494562</v>
      </c>
      <c r="J34" s="16">
        <f>IF(OR(G34="",IFERROR(VLOOKUP(B34,Сезонность!$A$3:$D$14,4,FALSE),0)=0),"",G34/IFERROR(VLOOKUP(B34,Сезонность!$A$3:$D$14,4,FALSE),1))</f>
        <v>31.162465800276419</v>
      </c>
      <c r="K34" s="16">
        <f>IF(OR(G34="",H34="",H34=0,IFERROR(VLOOKUP(B34,Сезонность!$A$3:$D$14,4,FALSE),0)=0),"",G34/(H34*IFERROR(VLOOKUP(B34,Сезонность!$A$3:$D$14,4,FALSE),1)))</f>
        <v>0.90094419490680744</v>
      </c>
      <c r="L34" s="6" t="str">
        <f>IF(K34="","",IF(K34&lt;Настройки!$B$10,"ниже тренда",IF(K34&gt;Настройки!$B$11,"выше тренда","норма")))</f>
        <v>норма</v>
      </c>
      <c r="M34" s="6" t="str">
        <f t="shared" si="5"/>
        <v>без выраженного отклонения</v>
      </c>
      <c r="N34" s="25">
        <f>IF(G34="","",COUNT($G$4:G34))</f>
        <v>31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>
      <c r="A35" s="18">
        <f>IF(Ввод_данных!A35="","",Ввод_данных!A35)</f>
        <v>45413</v>
      </c>
      <c r="B35" s="6">
        <f t="shared" si="0"/>
        <v>5</v>
      </c>
      <c r="C35" s="6" t="str">
        <f t="shared" si="1"/>
        <v>май</v>
      </c>
      <c r="D35" s="16">
        <f>IF(Ввод_данных!C35="","",Ввод_данных!C35)</f>
        <v>7.38</v>
      </c>
      <c r="E35" s="16">
        <f>IF(Ввод_данных!D35="","",Ввод_данных!D35)</f>
        <v>2379</v>
      </c>
      <c r="F35" s="16">
        <f t="shared" si="2"/>
        <v>66.230512249443208</v>
      </c>
      <c r="G35" s="16">
        <f>IF(COUNT(D35,F35)=0,"",IF(COUNT(D35,F35)=2,D35*Настройки!$B$3+F35*Настройки!$B$4,IF(D35&lt;&gt;"",D35,F35)))</f>
        <v>36.805256124721602</v>
      </c>
      <c r="H35" s="16">
        <f>IF(OR(G35="",COUNT($G$4:G35)&lt;12),"",AVERAGE(G24:G35))</f>
        <v>34.765676503340757</v>
      </c>
      <c r="I35" s="16">
        <f t="shared" si="3"/>
        <v>1.0586664729847801</v>
      </c>
      <c r="J35" s="16">
        <f>IF(OR(G35="",IFERROR(VLOOKUP(B35,Сезонность!$A$3:$D$14,4,FALSE),0)=0),"",G35/IFERROR(VLOOKUP(B35,Сезонность!$A$3:$D$14,4,FALSE),1))</f>
        <v>33.345999364157649</v>
      </c>
      <c r="K35" s="16">
        <f>IF(OR(G35="",H35="",H35=0,IFERROR(VLOOKUP(B35,Сезонность!$A$3:$D$14,4,FALSE),0)=0),"",G35/(H35*IFERROR(VLOOKUP(B35,Сезонность!$A$3:$D$14,4,FALSE),1)))</f>
        <v>0.95916440345848908</v>
      </c>
      <c r="L35" s="6" t="str">
        <f>IF(K35="","",IF(K35&lt;Настройки!$B$10,"ниже тренда",IF(K35&gt;Настройки!$B$11,"выше тренда","норма")))</f>
        <v>норма</v>
      </c>
      <c r="M35" s="6" t="str">
        <f t="shared" si="5"/>
        <v>без выраженного отклонения</v>
      </c>
      <c r="N35" s="25">
        <f>IF(G35="","",COUNT($G$4:G35))</f>
        <v>32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>
      <c r="A36" s="18">
        <f>IF(Ввод_данных!A36="","",Ввод_данных!A36)</f>
        <v>45444</v>
      </c>
      <c r="B36" s="6">
        <f t="shared" ref="B36:B63" si="6">IF(A36="","",MONTH(A36))</f>
        <v>6</v>
      </c>
      <c r="C36" s="6" t="str">
        <f t="shared" ref="C36:C63" si="7">IF(A36="","",CHOOSE(MONTH(A36),"январь","февраль","март","апрель","май","июнь","июль","август","сентябрь","октябрь","ноябрь","декабрь"))</f>
        <v>июнь</v>
      </c>
      <c r="D36" s="16">
        <f>IF(Ввод_данных!C36="","",Ввод_данных!C36)</f>
        <v>6.5</v>
      </c>
      <c r="E36" s="16">
        <f>IF(Ввод_данных!D36="","",Ввод_данных!D36)</f>
        <v>2085</v>
      </c>
      <c r="F36" s="16">
        <f t="shared" ref="F36:F63" si="8">IF(E36="","",IF(MAX($E$4:$E$63)=0,"",E36/MAX($E$4:$E$63)*100))</f>
        <v>58.045657015590201</v>
      </c>
      <c r="G36" s="16">
        <f>IF(COUNT(D36,F36)=0,"",IF(COUNT(D36,F36)=2,D36*Настройки!$B$3+F36*Настройки!$B$4,IF(D36&lt;&gt;"",D36,F36)))</f>
        <v>32.272828507795097</v>
      </c>
      <c r="H36" s="16">
        <f>IF(OR(G36="",COUNT($G$4:G36)&lt;12),"",AVERAGE(G25:G36))</f>
        <v>34.911904231625833</v>
      </c>
      <c r="I36" s="16">
        <f t="shared" ref="I36:I63" si="9">IF(OR(G36="",H36="",H36=0),"",G36/H36)</f>
        <v>0.92440756865275597</v>
      </c>
      <c r="J36" s="16">
        <f>IF(OR(G36="",IFERROR(VLOOKUP(B36,Сезонность!$A$3:$D$14,4,FALSE),0)=0),"",G36/IFERROR(VLOOKUP(B36,Сезонность!$A$3:$D$14,4,FALSE),1))</f>
        <v>30.659835354667933</v>
      </c>
      <c r="K36" s="16">
        <f>IF(OR(G36="",H36="",H36=0,IFERROR(VLOOKUP(B36,Сезонность!$A$3:$D$14,4,FALSE),0)=0),"",G36/(H36*IFERROR(VLOOKUP(B36,Сезонность!$A$3:$D$14,4,FALSE),1)))</f>
        <v>0.87820575902284759</v>
      </c>
      <c r="L36" s="6" t="str">
        <f>IF(K36="","",IF(K36&lt;Настройки!$B$10,"ниже тренда",IF(K36&gt;Настройки!$B$11,"выше тренда","норма")))</f>
        <v>ниже тренда</v>
      </c>
      <c r="M36" s="10" t="str">
        <f t="shared" ref="M36:M63" si="10">IF(L36="","",IF(L36="ниже тренда","возможное ослабление интереса",IF(L36="выше тренда","возможная фаза повышенного интереса","без выраженного отклонения")))</f>
        <v>возможное ослабление интереса</v>
      </c>
      <c r="N36" s="25">
        <f>IF(G36="","",COUNT($G$4:G36))</f>
        <v>33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>
      <c r="A37" s="18">
        <f>IF(Ввод_данных!A37="","",Ввод_данных!A37)</f>
        <v>45474</v>
      </c>
      <c r="B37" s="6">
        <f t="shared" si="6"/>
        <v>7</v>
      </c>
      <c r="C37" s="6" t="str">
        <f t="shared" si="7"/>
        <v>июль</v>
      </c>
      <c r="D37" s="16">
        <f>IF(Ввод_данных!C37="","",Ввод_данных!C37)</f>
        <v>7.38</v>
      </c>
      <c r="E37" s="16">
        <f>IF(Ввод_данных!D37="","",Ввод_данных!D37)</f>
        <v>1402</v>
      </c>
      <c r="F37" s="16">
        <f t="shared" si="8"/>
        <v>39.031180400890868</v>
      </c>
      <c r="G37" s="16">
        <f>IF(COUNT(D37,F37)=0,"",IF(COUNT(D37,F37)=2,D37*Настройки!$B$3+F37*Настройки!$B$4,IF(D37&lt;&gt;"",D37,F37)))</f>
        <v>23.205590200445435</v>
      </c>
      <c r="H37" s="16">
        <f>IF(OR(G37="",COUNT($G$4:G37)&lt;12),"",AVERAGE(G26:G37))</f>
        <v>34.521863400148483</v>
      </c>
      <c r="I37" s="16">
        <f t="shared" si="9"/>
        <v>0.67219981527259109</v>
      </c>
      <c r="J37" s="16">
        <f>IF(OR(G37="",IFERROR(VLOOKUP(B37,Сезонность!$A$3:$D$14,4,FALSE),0)=0),"",G37/IFERROR(VLOOKUP(B37,Сезонность!$A$3:$D$14,4,FALSE),1))</f>
        <v>32.441193112081557</v>
      </c>
      <c r="K37" s="16">
        <f>IF(OR(G37="",H37="",H37=0,IFERROR(VLOOKUP(B37,Сезонность!$A$3:$D$14,4,FALSE),0)=0),"",G37/(H37*IFERROR(VLOOKUP(B37,Сезонность!$A$3:$D$14,4,FALSE),1)))</f>
        <v>0.93972891138726933</v>
      </c>
      <c r="L37" s="6" t="str">
        <f>IF(K37="","",IF(K37&lt;Настройки!$B$10,"ниже тренда",IF(K37&gt;Настройки!$B$11,"выше тренда","норма")))</f>
        <v>норма</v>
      </c>
      <c r="M37" s="6" t="str">
        <f t="shared" si="10"/>
        <v>без выраженного отклонения</v>
      </c>
      <c r="N37" s="25">
        <f>IF(G37="","",COUNT($G$4:G37))</f>
        <v>34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>
      <c r="A38" s="18">
        <f>IF(Ввод_данных!A38="","",Ввод_данных!A38)</f>
        <v>45505</v>
      </c>
      <c r="B38" s="6">
        <f t="shared" si="6"/>
        <v>8</v>
      </c>
      <c r="C38" s="6" t="str">
        <f t="shared" si="7"/>
        <v>август</v>
      </c>
      <c r="D38" s="16">
        <f>IF(Ввод_данных!C38="","",Ввод_данных!C38)</f>
        <v>7</v>
      </c>
      <c r="E38" s="16">
        <f>IF(Ввод_данных!D38="","",Ввод_данных!D38)</f>
        <v>1397</v>
      </c>
      <c r="F38" s="16">
        <f t="shared" si="8"/>
        <v>38.891982182628063</v>
      </c>
      <c r="G38" s="16">
        <f>IF(COUNT(D38,F38)=0,"",IF(COUNT(D38,F38)=2,D38*Настройки!$B$3+F38*Настройки!$B$4,IF(D38&lt;&gt;"",D38,F38)))</f>
        <v>22.945991091314031</v>
      </c>
      <c r="H38" s="16">
        <f>IF(OR(G38="",COUNT($G$4:G38)&lt;12),"",AVERAGE(G27:G38))</f>
        <v>33.94329806978471</v>
      </c>
      <c r="I38" s="16">
        <f t="shared" si="9"/>
        <v>0.67600947451066495</v>
      </c>
      <c r="J38" s="16">
        <f>IF(OR(G38="",IFERROR(VLOOKUP(B38,Сезонность!$A$3:$D$14,4,FALSE),0)=0),"",G38/IFERROR(VLOOKUP(B38,Сезонность!$A$3:$D$14,4,FALSE),1))</f>
        <v>31.697405583393451</v>
      </c>
      <c r="K38" s="16">
        <f>IF(OR(G38="",H38="",H38=0,IFERROR(VLOOKUP(B38,Сезонность!$A$3:$D$14,4,FALSE),0)=0),"",G38/(H38*IFERROR(VLOOKUP(B38,Сезонность!$A$3:$D$14,4,FALSE),1)))</f>
        <v>0.9338339933328258</v>
      </c>
      <c r="L38" s="6" t="str">
        <f>IF(K38="","",IF(K38&lt;Настройки!$B$10,"ниже тренда",IF(K38&gt;Настройки!$B$11,"выше тренда","норма")))</f>
        <v>норма</v>
      </c>
      <c r="M38" s="6" t="str">
        <f t="shared" si="10"/>
        <v>без выраженного отклонения</v>
      </c>
      <c r="N38" s="25">
        <f>IF(G38="","",COUNT($G$4:G38))</f>
        <v>35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>
      <c r="A39" s="18">
        <f>IF(Ввод_данных!A39="","",Ввод_данных!A39)</f>
        <v>45536</v>
      </c>
      <c r="B39" s="6">
        <f t="shared" si="6"/>
        <v>9</v>
      </c>
      <c r="C39" s="6" t="str">
        <f t="shared" si="7"/>
        <v>сентябрь</v>
      </c>
      <c r="D39" s="16">
        <f>IF(Ввод_данных!C39="","",Ввод_данных!C39)</f>
        <v>10.6</v>
      </c>
      <c r="E39" s="16">
        <f>IF(Ввод_данных!D39="","",Ввод_данных!D39)</f>
        <v>1638</v>
      </c>
      <c r="F39" s="16">
        <f t="shared" si="8"/>
        <v>45.601336302895326</v>
      </c>
      <c r="G39" s="16">
        <f>IF(COUNT(D39,F39)=0,"",IF(COUNT(D39,F39)=2,D39*Настройки!$B$3+F39*Настройки!$B$4,IF(D39&lt;&gt;"",D39,F39)))</f>
        <v>28.100668151447664</v>
      </c>
      <c r="H39" s="16">
        <f>IF(OR(G39="",COUNT($G$4:G39)&lt;12),"",AVERAGE(G28:G39))</f>
        <v>33.107809948032674</v>
      </c>
      <c r="I39" s="16">
        <f t="shared" si="9"/>
        <v>0.84876251843766115</v>
      </c>
      <c r="J39" s="16">
        <f>IF(OR(G39="",IFERROR(VLOOKUP(B39,Сезонность!$A$3:$D$14,4,FALSE),0)=0),"",G39/IFERROR(VLOOKUP(B39,Сезонность!$A$3:$D$14,4,FALSE),1))</f>
        <v>30.701017784689597</v>
      </c>
      <c r="K39" s="16">
        <f>IF(OR(G39="",H39="",H39=0,IFERROR(VLOOKUP(B39,Сезонность!$A$3:$D$14,4,FALSE),0)=0),"",G39/(H39*IFERROR(VLOOKUP(B39,Сезонность!$A$3:$D$14,4,FALSE),1)))</f>
        <v>0.92730439835431955</v>
      </c>
      <c r="L39" s="6" t="str">
        <f>IF(K39="","",IF(K39&lt;Настройки!$B$10,"ниже тренда",IF(K39&gt;Настройки!$B$11,"выше тренда","норма")))</f>
        <v>норма</v>
      </c>
      <c r="M39" s="6" t="str">
        <f t="shared" si="10"/>
        <v>без выраженного отклонения</v>
      </c>
      <c r="N39" s="25">
        <f>IF(G39="","",COUNT($G$4:G39))</f>
        <v>36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>
      <c r="A40" s="18">
        <f>IF(Ввод_данных!A40="","",Ввод_данных!A40)</f>
        <v>45566</v>
      </c>
      <c r="B40" s="6">
        <f t="shared" si="6"/>
        <v>10</v>
      </c>
      <c r="C40" s="6" t="str">
        <f t="shared" si="7"/>
        <v>октябрь</v>
      </c>
      <c r="D40" s="16">
        <f>IF(Ввод_данных!C40="","",Ввод_данных!C40)</f>
        <v>7.75</v>
      </c>
      <c r="E40" s="16">
        <f>IF(Ввод_данных!D40="","",Ввод_данных!D40)</f>
        <v>2670</v>
      </c>
      <c r="F40" s="16">
        <f t="shared" si="8"/>
        <v>74.331848552338528</v>
      </c>
      <c r="G40" s="16">
        <f>IF(COUNT(D40,F40)=0,"",IF(COUNT(D40,F40)=2,D40*Настройки!$B$3+F40*Настройки!$B$4,IF(D40&lt;&gt;"",D40,F40)))</f>
        <v>41.040924276169264</v>
      </c>
      <c r="H40" s="16">
        <f>IF(OR(G40="",COUNT($G$4:G40)&lt;12),"",AVERAGE(G29:G40))</f>
        <v>33.078267446176696</v>
      </c>
      <c r="I40" s="16">
        <f t="shared" si="9"/>
        <v>1.2407217017320815</v>
      </c>
      <c r="J40" s="16">
        <f>IF(OR(G40="",IFERROR(VLOOKUP(B40,Сезонность!$A$3:$D$14,4,FALSE),0)=0),"",G40/IFERROR(VLOOKUP(B40,Сезонность!$A$3:$D$14,4,FALSE),1))</f>
        <v>38.083691361061888</v>
      </c>
      <c r="K40" s="16">
        <f>IF(OR(G40="",H40="",H40=0,IFERROR(VLOOKUP(B40,Сезонность!$A$3:$D$14,4,FALSE),0)=0),"",G40/(H40*IFERROR(VLOOKUP(B40,Сезонность!$A$3:$D$14,4,FALSE),1)))</f>
        <v>1.1513206192866592</v>
      </c>
      <c r="L40" s="6" t="str">
        <f>IF(K40="","",IF(K40&lt;Настройки!$B$10,"ниже тренда",IF(K40&gt;Настройки!$B$11,"выше тренда","норма")))</f>
        <v>выше тренда</v>
      </c>
      <c r="M40" s="10" t="str">
        <f t="shared" si="10"/>
        <v>возможная фаза повышенного интереса</v>
      </c>
      <c r="N40" s="25">
        <f>IF(G40="","",COUNT($G$4:G40))</f>
        <v>37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>
      <c r="A41" s="18">
        <f>IF(Ввод_данных!A41="","",Ввод_данных!A41)</f>
        <v>45597</v>
      </c>
      <c r="B41" s="6">
        <f t="shared" si="6"/>
        <v>11</v>
      </c>
      <c r="C41" s="6" t="str">
        <f t="shared" si="7"/>
        <v>ноябрь</v>
      </c>
      <c r="D41" s="16">
        <f>IF(Ввод_данных!C41="","",Ввод_данных!C41)</f>
        <v>6.12</v>
      </c>
      <c r="E41" s="16">
        <f>IF(Ввод_данных!D41="","",Ввод_данных!D41)</f>
        <v>2610</v>
      </c>
      <c r="F41" s="16">
        <f t="shared" si="8"/>
        <v>72.661469933184847</v>
      </c>
      <c r="G41" s="16">
        <f>IF(COUNT(D41,F41)=0,"",IF(COUNT(D41,F41)=2,D41*Настройки!$B$3+F41*Настройки!$B$4,IF(D41&lt;&gt;"",D41,F41)))</f>
        <v>39.390734966592426</v>
      </c>
      <c r="H41" s="16">
        <f>IF(OR(G41="",COUNT($G$4:G41)&lt;12),"",AVERAGE(G30:G41))</f>
        <v>32.968382516703791</v>
      </c>
      <c r="I41" s="16">
        <f t="shared" si="9"/>
        <v>1.194803383109095</v>
      </c>
      <c r="J41" s="16">
        <f>IF(OR(G41="",IFERROR(VLOOKUP(B41,Сезонность!$A$3:$D$14,4,FALSE),0)=0),"",G41/IFERROR(VLOOKUP(B41,Сезонность!$A$3:$D$14,4,FALSE),1))</f>
        <v>33.800725976326632</v>
      </c>
      <c r="K41" s="16">
        <f>IF(OR(G41="",H41="",H41=0,IFERROR(VLOOKUP(B41,Сезонность!$A$3:$D$14,4,FALSE),0)=0),"",G41/(H41*IFERROR(VLOOKUP(B41,Сезонность!$A$3:$D$14,4,FALSE),1)))</f>
        <v>1.0252467181003231</v>
      </c>
      <c r="L41" s="6" t="str">
        <f>IF(K41="","",IF(K41&lt;Настройки!$B$10,"ниже тренда",IF(K41&gt;Настройки!$B$11,"выше тренда","норма")))</f>
        <v>норма</v>
      </c>
      <c r="M41" s="6" t="str">
        <f t="shared" si="10"/>
        <v>без выраженного отклонения</v>
      </c>
      <c r="N41" s="25">
        <f>IF(G41="","",COUNT($G$4:G41))</f>
        <v>38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>
      <c r="A42" s="18">
        <f>IF(Ввод_данных!A42="","",Ввод_данных!A42)</f>
        <v>45627</v>
      </c>
      <c r="B42" s="6">
        <f t="shared" si="6"/>
        <v>12</v>
      </c>
      <c r="C42" s="6" t="str">
        <f t="shared" si="7"/>
        <v>декабрь</v>
      </c>
      <c r="D42" s="16">
        <f>IF(Ввод_данных!C42="","",Ввод_данных!C42)</f>
        <v>6.6</v>
      </c>
      <c r="E42" s="16">
        <f>IF(Ввод_данных!D42="","",Ввод_данных!D42)</f>
        <v>3592</v>
      </c>
      <c r="F42" s="16">
        <f t="shared" si="8"/>
        <v>100</v>
      </c>
      <c r="G42" s="16">
        <f>IF(COUNT(D42,F42)=0,"",IF(COUNT(D42,F42)=2,D42*Настройки!$B$3+F42*Настройки!$B$4,IF(D42&lt;&gt;"",D42,F42)))</f>
        <v>53.3</v>
      </c>
      <c r="H42" s="16">
        <f>IF(OR(G42="",COUNT($G$4:G42)&lt;12),"",AVERAGE(G31:G42))</f>
        <v>34.153061432813665</v>
      </c>
      <c r="I42" s="16">
        <f t="shared" si="9"/>
        <v>1.560621442527266</v>
      </c>
      <c r="J42" s="16">
        <f>IF(OR(G42="",IFERROR(VLOOKUP(B42,Сезонность!$A$3:$D$14,4,FALSE),0)=0),"",G42/IFERROR(VLOOKUP(B42,Сезонность!$A$3:$D$14,4,FALSE),1))</f>
        <v>41.9898499097838</v>
      </c>
      <c r="K42" s="16">
        <f>IF(OR(G42="",H42="",H42=0,IFERROR(VLOOKUP(B42,Сезонность!$A$3:$D$14,4,FALSE),0)=0),"",G42/(H42*IFERROR(VLOOKUP(B42,Сезонность!$A$3:$D$14,4,FALSE),1)))</f>
        <v>1.2294607905761761</v>
      </c>
      <c r="L42" s="6" t="str">
        <f>IF(K42="","",IF(K42&lt;Настройки!$B$10,"ниже тренда",IF(K42&gt;Настройки!$B$11,"выше тренда","норма")))</f>
        <v>выше тренда</v>
      </c>
      <c r="M42" s="10" t="str">
        <f t="shared" si="10"/>
        <v>возможная фаза повышенного интереса</v>
      </c>
      <c r="N42" s="25">
        <f>IF(G42="","",COUNT($G$4:G42))</f>
        <v>39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>
      <c r="A43" s="18">
        <f>IF(Ввод_данных!A43="","",Ввод_данных!A43)</f>
        <v>45658</v>
      </c>
      <c r="B43" s="6">
        <f t="shared" si="6"/>
        <v>1</v>
      </c>
      <c r="C43" s="6" t="str">
        <f t="shared" si="7"/>
        <v>январь</v>
      </c>
      <c r="D43" s="16">
        <f>IF(Ввод_данных!C43="","",Ввод_данных!C43)</f>
        <v>6.5</v>
      </c>
      <c r="E43" s="16">
        <f>IF(Ввод_данных!D43="","",Ввод_данных!D43)</f>
        <v>2441</v>
      </c>
      <c r="F43" s="16">
        <f t="shared" si="8"/>
        <v>67.956570155902014</v>
      </c>
      <c r="G43" s="16">
        <f>IF(COUNT(D43,F43)=0,"",IF(COUNT(D43,F43)=2,D43*Настройки!$B$3+F43*Настройки!$B$4,IF(D43&lt;&gt;"",D43,F43)))</f>
        <v>37.228285077951007</v>
      </c>
      <c r="H43" s="16">
        <f>IF(OR(G43="",COUNT($G$4:G43)&lt;12),"",AVERAGE(G32:G43))</f>
        <v>34.658884558277656</v>
      </c>
      <c r="I43" s="16">
        <f t="shared" si="9"/>
        <v>1.0741339645640644</v>
      </c>
      <c r="J43" s="16">
        <f>IF(OR(G43="",IFERROR(VLOOKUP(B43,Сезонность!$A$3:$D$14,4,FALSE),0)=0),"",G43/IFERROR(VLOOKUP(B43,Сезонность!$A$3:$D$14,4,FALSE),1))</f>
        <v>41.059457604886077</v>
      </c>
      <c r="K43" s="16">
        <f>IF(OR(G43="",H43="",H43=0,IFERROR(VLOOKUP(B43,Сезонность!$A$3:$D$14,4,FALSE),0)=0),"",G43/(H43*IFERROR(VLOOKUP(B43,Сезонность!$A$3:$D$14,4,FALSE),1)))</f>
        <v>1.1846733710037924</v>
      </c>
      <c r="L43" s="6" t="str">
        <f>IF(K43="","",IF(K43&lt;Настройки!$B$10,"ниже тренда",IF(K43&gt;Настройки!$B$11,"выше тренда","норма")))</f>
        <v>выше тренда</v>
      </c>
      <c r="M43" s="10" t="str">
        <f t="shared" si="10"/>
        <v>возможная фаза повышенного интереса</v>
      </c>
      <c r="N43" s="25">
        <f>IF(G43="","",COUNT($G$4:G43))</f>
        <v>40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>
      <c r="A44" s="18">
        <f>IF(Ввод_данных!A44="","",Ввод_данных!A44)</f>
        <v>45689</v>
      </c>
      <c r="B44" s="6">
        <f t="shared" si="6"/>
        <v>2</v>
      </c>
      <c r="C44" s="6" t="str">
        <f t="shared" si="7"/>
        <v>февраль</v>
      </c>
      <c r="D44" s="16">
        <f>IF(Ввод_данных!C44="","",Ввод_данных!C44)</f>
        <v>7.12</v>
      </c>
      <c r="E44" s="16">
        <f>IF(Ввод_данных!D44="","",Ввод_данных!D44)</f>
        <v>2515</v>
      </c>
      <c r="F44" s="16">
        <f t="shared" si="8"/>
        <v>70.016703786191542</v>
      </c>
      <c r="G44" s="16">
        <f>IF(COUNT(D44,F44)=0,"",IF(COUNT(D44,F44)=2,D44*Настройки!$B$3+F44*Настройки!$B$4,IF(D44&lt;&gt;"",D44,F44)))</f>
        <v>38.568351893095773</v>
      </c>
      <c r="H44" s="16">
        <f>IF(OR(G44="",COUNT($G$4:G44)&lt;12),"",AVERAGE(G33:G44))</f>
        <v>35.32427616926504</v>
      </c>
      <c r="I44" s="16">
        <f t="shared" si="9"/>
        <v>1.0918370049052368</v>
      </c>
      <c r="J44" s="16">
        <f>IF(OR(G44="",IFERROR(VLOOKUP(B44,Сезонность!$A$3:$D$14,4,FALSE),0)=0),"",G44/IFERROR(VLOOKUP(B44,Сезонность!$A$3:$D$14,4,FALSE),1))</f>
        <v>42.280955746176183</v>
      </c>
      <c r="K44" s="16">
        <f>IF(OR(G44="",H44="",H44=0,IFERROR(VLOOKUP(B44,Сезонность!$A$3:$D$14,4,FALSE),0)=0),"",G44/(H44*IFERROR(VLOOKUP(B44,Сезонность!$A$3:$D$14,4,FALSE),1)))</f>
        <v>1.196937639813948</v>
      </c>
      <c r="L44" s="6" t="str">
        <f>IF(K44="","",IF(K44&lt;Настройки!$B$10,"ниже тренда",IF(K44&gt;Настройки!$B$11,"выше тренда","норма")))</f>
        <v>выше тренда</v>
      </c>
      <c r="M44" s="10" t="str">
        <f t="shared" si="10"/>
        <v>возможная фаза повышенного интереса</v>
      </c>
      <c r="N44" s="25">
        <f>IF(G44="","",COUNT($G$4:G44))</f>
        <v>41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>
      <c r="A45" s="18">
        <f>IF(Ввод_данных!A45="","",Ввод_данных!A45)</f>
        <v>45717</v>
      </c>
      <c r="B45" s="6">
        <f t="shared" si="6"/>
        <v>3</v>
      </c>
      <c r="C45" s="6" t="str">
        <f t="shared" si="7"/>
        <v>март</v>
      </c>
      <c r="D45" s="16">
        <f>IF(Ввод_данных!C45="","",Ввод_данных!C45)</f>
        <v>7.7</v>
      </c>
      <c r="E45" s="16">
        <f>IF(Ввод_данных!D45="","",Ввод_данных!D45)</f>
        <v>2430</v>
      </c>
      <c r="F45" s="16">
        <f t="shared" si="8"/>
        <v>67.650334075723833</v>
      </c>
      <c r="G45" s="16">
        <f>IF(COUNT(D45,F45)=0,"",IF(COUNT(D45,F45)=2,D45*Настройки!$B$3+F45*Настройки!$B$4,IF(D45&lt;&gt;"",D45,F45)))</f>
        <v>37.675167037861918</v>
      </c>
      <c r="H45" s="16">
        <f>IF(OR(G45="",COUNT($G$4:G45)&lt;12),"",AVERAGE(G34:G45))</f>
        <v>35.464560133630293</v>
      </c>
      <c r="I45" s="16">
        <f t="shared" si="9"/>
        <v>1.0623328442789666</v>
      </c>
      <c r="J45" s="16">
        <f>IF(OR(G45="",IFERROR(VLOOKUP(B45,Сезонность!$A$3:$D$14,4,FALSE),0)=0),"",G45/IFERROR(VLOOKUP(B45,Сезонность!$A$3:$D$14,4,FALSE),1))</f>
        <v>36.457435328877956</v>
      </c>
      <c r="K45" s="16">
        <f>IF(OR(G45="",H45="",H45=0,IFERROR(VLOOKUP(B45,Сезонность!$A$3:$D$14,4,FALSE),0)=0),"",G45/(H45*IFERROR(VLOOKUP(B45,Сезонность!$A$3:$D$14,4,FALSE),1)))</f>
        <v>1.0279962642002753</v>
      </c>
      <c r="L45" s="6" t="str">
        <f>IF(K45="","",IF(K45&lt;Настройки!$B$10,"ниже тренда",IF(K45&gt;Настройки!$B$11,"выше тренда","норма")))</f>
        <v>норма</v>
      </c>
      <c r="M45" s="6" t="str">
        <f t="shared" si="10"/>
        <v>без выраженного отклонения</v>
      </c>
      <c r="N45" s="25">
        <f>IF(G45="","",COUNT($G$4:G45))</f>
        <v>42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>
      <c r="A46" s="18">
        <f>IF(Ввод_данных!A46="","",Ввод_данных!A46)</f>
        <v>45748</v>
      </c>
      <c r="B46" s="6">
        <f t="shared" si="6"/>
        <v>4</v>
      </c>
      <c r="C46" s="6" t="str">
        <f t="shared" si="7"/>
        <v>апрель</v>
      </c>
      <c r="D46" s="16">
        <f>IF(Ввод_данных!C46="","",Ввод_данных!C46)</f>
        <v>5.62</v>
      </c>
      <c r="E46" s="16">
        <f>IF(Ввод_данных!D46="","",Ввод_данных!D46)</f>
        <v>3285</v>
      </c>
      <c r="F46" s="16">
        <f t="shared" si="8"/>
        <v>91.453229398663694</v>
      </c>
      <c r="G46" s="16">
        <f>IF(COUNT(D46,F46)=0,"",IF(COUNT(D46,F46)=2,D46*Настройки!$B$3+F46*Настройки!$B$4,IF(D46&lt;&gt;"",D46,F46)))</f>
        <v>48.536614699331849</v>
      </c>
      <c r="H46" s="16">
        <f>IF(OR(G46="",COUNT($G$4:G46)&lt;12),"",AVERAGE(G35:G46))</f>
        <v>36.589201002227171</v>
      </c>
      <c r="I46" s="16">
        <f t="shared" si="9"/>
        <v>1.3265284119316365</v>
      </c>
      <c r="J46" s="16">
        <f>IF(OR(G46="",IFERROR(VLOOKUP(B46,Сезонность!$A$3:$D$14,4,FALSE),0)=0),"",G46/IFERROR(VLOOKUP(B46,Сезонность!$A$3:$D$14,4,FALSE),1))</f>
        <v>43.164403533092937</v>
      </c>
      <c r="K46" s="16">
        <f>IF(OR(G46="",H46="",H46=0,IFERROR(VLOOKUP(B46,Сезонность!$A$3:$D$14,4,FALSE),0)=0),"",G46/(H46*IFERROR(VLOOKUP(B46,Сезонность!$A$3:$D$14,4,FALSE),1)))</f>
        <v>1.1797033646748813</v>
      </c>
      <c r="L46" s="6" t="str">
        <f>IF(K46="","",IF(K46&lt;Настройки!$B$10,"ниже тренда",IF(K46&gt;Настройки!$B$11,"выше тренда","норма")))</f>
        <v>выше тренда</v>
      </c>
      <c r="M46" s="10" t="str">
        <f t="shared" si="10"/>
        <v>возможная фаза повышенного интереса</v>
      </c>
      <c r="N46" s="25">
        <f>IF(G46="","",COUNT($G$4:G46))</f>
        <v>43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>
      <c r="A47" s="18">
        <f>IF(Ввод_данных!A47="","",Ввод_данных!A47)</f>
        <v>45778</v>
      </c>
      <c r="B47" s="6">
        <f t="shared" si="6"/>
        <v>5</v>
      </c>
      <c r="C47" s="6" t="str">
        <f t="shared" si="7"/>
        <v>май</v>
      </c>
      <c r="D47" s="16">
        <f>IF(Ввод_данных!C47="","",Ввод_данных!C47)</f>
        <v>7</v>
      </c>
      <c r="E47" s="16">
        <f>IF(Ввод_данных!D47="","",Ввод_данных!D47)</f>
        <v>2702</v>
      </c>
      <c r="F47" s="16">
        <f t="shared" si="8"/>
        <v>75.222717149220486</v>
      </c>
      <c r="G47" s="16">
        <f>IF(COUNT(D47,F47)=0,"",IF(COUNT(D47,F47)=2,D47*Настройки!$B$3+F47*Настройки!$B$4,IF(D47&lt;&gt;"",D47,F47)))</f>
        <v>41.111358574610243</v>
      </c>
      <c r="H47" s="16">
        <f>IF(OR(G47="",COUNT($G$4:G47)&lt;12),"",AVERAGE(G36:G47))</f>
        <v>36.948042873051222</v>
      </c>
      <c r="I47" s="16">
        <f t="shared" si="9"/>
        <v>1.1126802768921658</v>
      </c>
      <c r="J47" s="16">
        <f>IF(OR(G47="",IFERROR(VLOOKUP(B47,Сезонность!$A$3:$D$14,4,FALSE),0)=0),"",G47/IFERROR(VLOOKUP(B47,Сезонность!$A$3:$D$14,4,FALSE),1))</f>
        <v>37.247379348293556</v>
      </c>
      <c r="K47" s="16">
        <f>IF(OR(G47="",H47="",H47=0,IFERROR(VLOOKUP(B47,Сезонность!$A$3:$D$14,4,FALSE),0)=0),"",G47/(H47*IFERROR(VLOOKUP(B47,Сезонность!$A$3:$D$14,4,FALSE),1)))</f>
        <v>1.0081015515834171</v>
      </c>
      <c r="L47" s="6" t="str">
        <f>IF(K47="","",IF(K47&lt;Настройки!$B$10,"ниже тренда",IF(K47&gt;Настройки!$B$11,"выше тренда","норма")))</f>
        <v>норма</v>
      </c>
      <c r="M47" s="6" t="str">
        <f t="shared" si="10"/>
        <v>без выраженного отклонения</v>
      </c>
      <c r="N47" s="25">
        <f>IF(G47="","",COUNT($G$4:G47))</f>
        <v>44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>
      <c r="A48" s="18">
        <f>IF(Ввод_данных!A48="","",Ввод_данных!A48)</f>
        <v>45809</v>
      </c>
      <c r="B48" s="6">
        <f t="shared" si="6"/>
        <v>6</v>
      </c>
      <c r="C48" s="6" t="str">
        <f t="shared" si="7"/>
        <v>июнь</v>
      </c>
      <c r="D48" s="16">
        <f>IF(Ввод_данных!C48="","",Ввод_данных!C48)</f>
        <v>12.7</v>
      </c>
      <c r="E48" s="16">
        <f>IF(Ввод_данных!D48="","",Ввод_данных!D48)</f>
        <v>3006</v>
      </c>
      <c r="F48" s="16">
        <f t="shared" si="8"/>
        <v>83.685968819599111</v>
      </c>
      <c r="G48" s="16">
        <f>IF(COUNT(D48,F48)=0,"",IF(COUNT(D48,F48)=2,D48*Настройки!$B$3+F48*Настройки!$B$4,IF(D48&lt;&gt;"",D48,F48)))</f>
        <v>48.192984409799557</v>
      </c>
      <c r="H48" s="16">
        <f>IF(OR(G48="",COUNT($G$4:G48)&lt;12),"",AVERAGE(G37:G48))</f>
        <v>38.274722531551596</v>
      </c>
      <c r="I48" s="16">
        <f t="shared" si="9"/>
        <v>1.2591334756266852</v>
      </c>
      <c r="J48" s="16">
        <f>IF(OR(G48="",IFERROR(VLOOKUP(B48,Сезонность!$A$3:$D$14,4,FALSE),0)=0),"",G48/IFERROR(VLOOKUP(B48,Сезонность!$A$3:$D$14,4,FALSE),1))</f>
        <v>45.784303253668632</v>
      </c>
      <c r="K48" s="16">
        <f>IF(OR(G48="",H48="",H48=0,IFERROR(VLOOKUP(B48,Сезонность!$A$3:$D$14,4,FALSE),0)=0),"",G48/(H48*IFERROR(VLOOKUP(B48,Сезонность!$A$3:$D$14,4,FALSE),1)))</f>
        <v>1.1962020943698952</v>
      </c>
      <c r="L48" s="6" t="str">
        <f>IF(K48="","",IF(K48&lt;Настройки!$B$10,"ниже тренда",IF(K48&gt;Настройки!$B$11,"выше тренда","норма")))</f>
        <v>выше тренда</v>
      </c>
      <c r="M48" s="10" t="str">
        <f t="shared" si="10"/>
        <v>возможная фаза повышенного интереса</v>
      </c>
      <c r="N48" s="25">
        <f>IF(G48="","",COUNT($G$4:G48))</f>
        <v>45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>
      <c r="A49" s="18">
        <f>IF(Ввод_данных!A49="","",Ввод_данных!A49)</f>
        <v>45839</v>
      </c>
      <c r="B49" s="6">
        <f t="shared" si="6"/>
        <v>7</v>
      </c>
      <c r="C49" s="6" t="str">
        <f t="shared" si="7"/>
        <v>июль</v>
      </c>
      <c r="D49" s="16">
        <f>IF(Ввод_данных!C49="","",Ввод_данных!C49)</f>
        <v>11.38</v>
      </c>
      <c r="E49" s="16">
        <f>IF(Ввод_данных!D49="","",Ввод_данных!D49)</f>
        <v>1505</v>
      </c>
      <c r="F49" s="16">
        <f t="shared" si="8"/>
        <v>41.898663697104674</v>
      </c>
      <c r="G49" s="16">
        <f>IF(COUNT(D49,F49)=0,"",IF(COUNT(D49,F49)=2,D49*Настройки!$B$3+F49*Настройки!$B$4,IF(D49&lt;&gt;"",D49,F49)))</f>
        <v>26.639331848552338</v>
      </c>
      <c r="H49" s="16">
        <f>IF(OR(G49="",COUNT($G$4:G49)&lt;12),"",AVERAGE(G38:G49))</f>
        <v>38.560867668893835</v>
      </c>
      <c r="I49" s="16">
        <f t="shared" si="9"/>
        <v>0.69083849661509755</v>
      </c>
      <c r="J49" s="16">
        <f>IF(OR(G49="",IFERROR(VLOOKUP(B49,Сезонность!$A$3:$D$14,4,FALSE),0)=0),"",G49/IFERROR(VLOOKUP(B49,Сезонность!$A$3:$D$14,4,FALSE),1))</f>
        <v>37.241531088449634</v>
      </c>
      <c r="K49" s="16">
        <f>IF(OR(G49="",H49="",H49=0,IFERROR(VLOOKUP(B49,Сезонность!$A$3:$D$14,4,FALSE),0)=0),"",G49/(H49*IFERROR(VLOOKUP(B49,Сезонность!$A$3:$D$14,4,FALSE),1)))</f>
        <v>0.96578560960368443</v>
      </c>
      <c r="L49" s="6" t="str">
        <f>IF(K49="","",IF(K49&lt;Настройки!$B$10,"ниже тренда",IF(K49&gt;Настройки!$B$11,"выше тренда","норма")))</f>
        <v>норма</v>
      </c>
      <c r="M49" s="6" t="str">
        <f t="shared" si="10"/>
        <v>без выраженного отклонения</v>
      </c>
      <c r="N49" s="25">
        <f>IF(G49="","",COUNT($G$4:G49))</f>
        <v>46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>
      <c r="A50" s="18">
        <f>IF(Ввод_данных!A50="","",Ввод_данных!A50)</f>
        <v>45870</v>
      </c>
      <c r="B50" s="6">
        <f t="shared" si="6"/>
        <v>8</v>
      </c>
      <c r="C50" s="6" t="str">
        <f t="shared" si="7"/>
        <v>август</v>
      </c>
      <c r="D50" s="16">
        <f>IF(Ввод_данных!C50="","",Ввод_данных!C50)</f>
        <v>21.3</v>
      </c>
      <c r="E50" s="16">
        <f>IF(Ввод_данных!D50="","",Ввод_данных!D50)</f>
        <v>1457</v>
      </c>
      <c r="F50" s="16">
        <f t="shared" si="8"/>
        <v>40.562360801781736</v>
      </c>
      <c r="G50" s="16">
        <f>IF(COUNT(D50,F50)=0,"",IF(COUNT(D50,F50)=2,D50*Настройки!$B$3+F50*Настройки!$B$4,IF(D50&lt;&gt;"",D50,F50)))</f>
        <v>30.931180400890867</v>
      </c>
      <c r="H50" s="16">
        <f>IF(OR(G50="",COUNT($G$4:G50)&lt;12),"",AVERAGE(G39:G50))</f>
        <v>39.226300111358576</v>
      </c>
      <c r="I50" s="16">
        <f t="shared" si="9"/>
        <v>0.78853168188386624</v>
      </c>
      <c r="J50" s="16">
        <f>IF(OR(G50="",IFERROR(VLOOKUP(B50,Сезонность!$A$3:$D$14,4,FALSE),0)=0),"",G50/IFERROR(VLOOKUP(B50,Сезонность!$A$3:$D$14,4,FALSE),1))</f>
        <v>42.728081190238193</v>
      </c>
      <c r="K50" s="16">
        <f>IF(OR(G50="",H50="",H50=0,IFERROR(VLOOKUP(B50,Сезонность!$A$3:$D$14,4,FALSE),0)=0),"",G50/(H50*IFERROR(VLOOKUP(B50,Сезонность!$A$3:$D$14,4,FALSE),1)))</f>
        <v>1.0892712559924973</v>
      </c>
      <c r="L50" s="6" t="str">
        <f>IF(K50="","",IF(K50&lt;Настройки!$B$10,"ниже тренда",IF(K50&gt;Настройки!$B$11,"выше тренда","норма")))</f>
        <v>норма</v>
      </c>
      <c r="M50" s="6" t="str">
        <f t="shared" si="10"/>
        <v>без выраженного отклонения</v>
      </c>
      <c r="N50" s="25">
        <f>IF(G50="","",COUNT($G$4:G50))</f>
        <v>47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>
      <c r="A51" s="18">
        <f>IF(Ввод_данных!A51="","",Ввод_данных!A51)</f>
        <v>45901</v>
      </c>
      <c r="B51" s="6">
        <f t="shared" si="6"/>
        <v>9</v>
      </c>
      <c r="C51" s="6" t="str">
        <f t="shared" si="7"/>
        <v>сентябрь</v>
      </c>
      <c r="D51" s="16">
        <f>IF(Ввод_данных!C51="","",Ввод_данных!C51)</f>
        <v>20.75</v>
      </c>
      <c r="E51" s="16">
        <f>IF(Ввод_данных!D51="","",Ввод_данных!D51)</f>
        <v>2190</v>
      </c>
      <c r="F51" s="16">
        <f t="shared" si="8"/>
        <v>60.968819599109139</v>
      </c>
      <c r="G51" s="16">
        <f>IF(COUNT(D51,F51)=0,"",IF(COUNT(D51,F51)=2,D51*Настройки!$B$3+F51*Настройки!$B$4,IF(D51&lt;&gt;"",D51,F51)))</f>
        <v>40.85940979955457</v>
      </c>
      <c r="H51" s="16">
        <f>IF(OR(G51="",COUNT($G$4:G51)&lt;12),"",AVERAGE(G40:G51))</f>
        <v>40.289528582034144</v>
      </c>
      <c r="I51" s="16">
        <f t="shared" si="9"/>
        <v>1.0141446484378709</v>
      </c>
      <c r="J51" s="16">
        <f>IF(OR(G51="",IFERROR(VLOOKUP(B51,Сезонность!$A$3:$D$14,4,FALSE),0)=0),"",G51/IFERROR(VLOOKUP(B51,Сезонность!$A$3:$D$14,4,FALSE),1))</f>
        <v>44.640414248065518</v>
      </c>
      <c r="K51" s="16">
        <f>IF(OR(G51="",H51="",H51=0,IFERROR(VLOOKUP(B51,Сезонность!$A$3:$D$14,4,FALSE),0)=0),"",G51/(H51*IFERROR(VLOOKUP(B51,Сезонность!$A$3:$D$14,4,FALSE),1)))</f>
        <v>1.1079904833627543</v>
      </c>
      <c r="L51" s="6" t="str">
        <f>IF(K51="","",IF(K51&lt;Настройки!$B$10,"ниже тренда",IF(K51&gt;Настройки!$B$11,"выше тренда","норма")))</f>
        <v>выше тренда</v>
      </c>
      <c r="M51" s="10" t="str">
        <f t="shared" si="10"/>
        <v>возможная фаза повышенного интереса</v>
      </c>
      <c r="N51" s="25">
        <f>IF(G51="","",COUNT($G$4:G51))</f>
        <v>48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>
      <c r="A52" s="18">
        <f>IF(Ввод_данных!A52="","",Ввод_данных!A52)</f>
        <v>45931</v>
      </c>
      <c r="B52" s="6">
        <f t="shared" si="6"/>
        <v>10</v>
      </c>
      <c r="C52" s="6" t="str">
        <f t="shared" si="7"/>
        <v>октябрь</v>
      </c>
      <c r="D52" s="16">
        <f>IF(Ввод_данных!C52="","",Ввод_данных!C52)</f>
        <v>18.75</v>
      </c>
      <c r="E52" s="16">
        <f>IF(Ввод_данных!D52="","",Ввод_данных!D52)</f>
        <v>2600</v>
      </c>
      <c r="F52" s="16">
        <f t="shared" si="8"/>
        <v>72.38307349665925</v>
      </c>
      <c r="G52" s="16">
        <f>IF(COUNT(D52,F52)=0,"",IF(COUNT(D52,F52)=2,D52*Настройки!$B$3+F52*Настройки!$B$4,IF(D52&lt;&gt;"",D52,F52)))</f>
        <v>45.566536748329625</v>
      </c>
      <c r="H52" s="16">
        <f>IF(OR(G52="",COUNT($G$4:G52)&lt;12),"",AVERAGE(G41:G52))</f>
        <v>40.666662954714177</v>
      </c>
      <c r="I52" s="16">
        <f t="shared" si="9"/>
        <v>1.1204887108409136</v>
      </c>
      <c r="J52" s="16">
        <f>IF(OR(G52="",IFERROR(VLOOKUP(B52,Сезонность!$A$3:$D$14,4,FALSE),0)=0),"",G52/IFERROR(VLOOKUP(B52,Сезонность!$A$3:$D$14,4,FALSE),1))</f>
        <v>42.283207615855524</v>
      </c>
      <c r="K52" s="16">
        <f>IF(OR(G52="",H52="",H52=0,IFERROR(VLOOKUP(B52,Сезонность!$A$3:$D$14,4,FALSE),0)=0),"",G52/(H52*IFERROR(VLOOKUP(B52,Сезонность!$A$3:$D$14,4,FALSE),1)))</f>
        <v>1.0397511018531691</v>
      </c>
      <c r="L52" s="6" t="str">
        <f>IF(K52="","",IF(K52&lt;Настройки!$B$10,"ниже тренда",IF(K52&gt;Настройки!$B$11,"выше тренда","норма")))</f>
        <v>норма</v>
      </c>
      <c r="M52" s="6" t="str">
        <f t="shared" si="10"/>
        <v>без выраженного отклонения</v>
      </c>
      <c r="N52" s="25">
        <f>IF(G52="","",COUNT($G$4:G52))</f>
        <v>49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>
      <c r="A53" s="18">
        <f>IF(Ввод_данных!A53="","",Ввод_данных!A53)</f>
        <v>45962</v>
      </c>
      <c r="B53" s="6">
        <f t="shared" si="6"/>
        <v>11</v>
      </c>
      <c r="C53" s="6" t="str">
        <f t="shared" si="7"/>
        <v>ноябрь</v>
      </c>
      <c r="D53" s="16">
        <f>IF(Ввод_данных!C53="","",Ввод_данных!C53)</f>
        <v>25.7</v>
      </c>
      <c r="E53" s="16">
        <f>IF(Ввод_данных!D53="","",Ввод_данных!D53)</f>
        <v>3283</v>
      </c>
      <c r="F53" s="16">
        <f t="shared" si="8"/>
        <v>91.397550111358569</v>
      </c>
      <c r="G53" s="16">
        <f>IF(COUNT(D53,F53)=0,"",IF(COUNT(D53,F53)=2,D53*Настройки!$B$3+F53*Настройки!$B$4,IF(D53&lt;&gt;"",D53,F53)))</f>
        <v>58.548775055679286</v>
      </c>
      <c r="H53" s="16">
        <f>IF(OR(G53="",COUNT($G$4:G53)&lt;12),"",AVERAGE(G42:G53))</f>
        <v>42.263166295471414</v>
      </c>
      <c r="I53" s="16">
        <f t="shared" si="9"/>
        <v>1.3853381132485785</v>
      </c>
      <c r="J53" s="16">
        <f>IF(OR(G53="",IFERROR(VLOOKUP(B53,Сезонность!$A$3:$D$14,4,FALSE),0)=0),"",G53/IFERROR(VLOOKUP(B53,Сезонность!$A$3:$D$14,4,FALSE),1))</f>
        <v>50.240014652811141</v>
      </c>
      <c r="K53" s="16">
        <f>IF(OR(G53="",H53="",H53=0,IFERROR(VLOOKUP(B53,Сезонность!$A$3:$D$14,4,FALSE),0)=0),"",G53/(H53*IFERROR(VLOOKUP(B53,Сезонность!$A$3:$D$14,4,FALSE),1)))</f>
        <v>1.1887423271027959</v>
      </c>
      <c r="L53" s="6" t="str">
        <f>IF(K53="","",IF(K53&lt;Настройки!$B$10,"ниже тренда",IF(K53&gt;Настройки!$B$11,"выше тренда","норма")))</f>
        <v>выше тренда</v>
      </c>
      <c r="M53" s="10" t="str">
        <f t="shared" si="10"/>
        <v>возможная фаза повышенного интереса</v>
      </c>
      <c r="N53" s="25">
        <f>IF(G53="","",COUNT($G$4:G53))</f>
        <v>50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>
      <c r="A54" s="18">
        <f>IF(Ввод_данных!A54="","",Ввод_данных!A54)</f>
        <v>45992</v>
      </c>
      <c r="B54" s="6">
        <f t="shared" si="6"/>
        <v>12</v>
      </c>
      <c r="C54" s="6" t="str">
        <f t="shared" si="7"/>
        <v>декабрь</v>
      </c>
      <c r="D54" s="16">
        <f>IF(Ввод_данных!C54="","",Ввод_данных!C54)</f>
        <v>18</v>
      </c>
      <c r="E54" s="16">
        <f>IF(Ввод_данных!D54="","",Ввод_данных!D54)</f>
        <v>3403</v>
      </c>
      <c r="F54" s="16">
        <f t="shared" si="8"/>
        <v>94.738307349665931</v>
      </c>
      <c r="G54" s="16">
        <f>IF(COUNT(D54,F54)=0,"",IF(COUNT(D54,F54)=2,D54*Настройки!$B$3+F54*Настройки!$B$4,IF(D54&lt;&gt;"",D54,F54)))</f>
        <v>56.369153674832965</v>
      </c>
      <c r="H54" s="16">
        <f>IF(OR(G54="",COUNT($G$4:G54)&lt;12),"",AVERAGE(G43:G54))</f>
        <v>42.518929101707492</v>
      </c>
      <c r="I54" s="16">
        <f t="shared" si="9"/>
        <v>1.325742554333742</v>
      </c>
      <c r="J54" s="16">
        <f>IF(OR(G54="",IFERROR(VLOOKUP(B54,Сезонность!$A$3:$D$14,4,FALSE),0)=0),"",G54/IFERROR(VLOOKUP(B54,Сезонность!$A$3:$D$14,4,FALSE),1))</f>
        <v>44.40773550371059</v>
      </c>
      <c r="K54" s="16">
        <f>IF(OR(G54="",H54="",H54=0,IFERROR(VLOOKUP(B54,Сезонность!$A$3:$D$14,4,FALSE),0)=0),"",G54/(H54*IFERROR(VLOOKUP(B54,Сезонность!$A$3:$D$14,4,FALSE),1)))</f>
        <v>1.0444227181142067</v>
      </c>
      <c r="L54" s="6" t="str">
        <f>IF(K54="","",IF(K54&lt;Настройки!$B$10,"ниже тренда",IF(K54&gt;Настройки!$B$11,"выше тренда","норма")))</f>
        <v>норма</v>
      </c>
      <c r="M54" s="6" t="str">
        <f t="shared" si="10"/>
        <v>без выраженного отклонения</v>
      </c>
      <c r="N54" s="25">
        <f>IF(G54="","",COUNT($G$4:G54))</f>
        <v>51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>
      <c r="A55" s="18">
        <f>IF(Ввод_данных!A55="","",Ввод_данных!A55)</f>
        <v>46023</v>
      </c>
      <c r="B55" s="6">
        <f t="shared" si="6"/>
        <v>1</v>
      </c>
      <c r="C55" s="6" t="str">
        <f t="shared" si="7"/>
        <v>январь</v>
      </c>
      <c r="D55" s="16">
        <f>IF(Ввод_данных!C55="","",Ввод_данных!C55)</f>
        <v>22.88</v>
      </c>
      <c r="E55" s="16">
        <f>IF(Ввод_данных!D55="","",Ввод_данных!D55)</f>
        <v>1703</v>
      </c>
      <c r="F55" s="16">
        <f t="shared" si="8"/>
        <v>47.410913140311806</v>
      </c>
      <c r="G55" s="16">
        <f>IF(COUNT(D55,F55)=0,"",IF(COUNT(D55,F55)=2,D55*Настройки!$B$3+F55*Настройки!$B$4,IF(D55&lt;&gt;"",D55,F55)))</f>
        <v>35.145456570155901</v>
      </c>
      <c r="H55" s="16">
        <f>IF(OR(G55="",COUNT($G$4:G55)&lt;12),"",AVERAGE(G44:G55))</f>
        <v>42.345360059391233</v>
      </c>
      <c r="I55" s="16">
        <f t="shared" si="9"/>
        <v>0.82997184392487988</v>
      </c>
      <c r="J55" s="16">
        <f>IF(OR(G55="",IFERROR(VLOOKUP(B55,Сезонность!$A$3:$D$14,4,FALSE),0)=0),"",G55/IFERROR(VLOOKUP(B55,Сезонность!$A$3:$D$14,4,FALSE),1))</f>
        <v>38.762284672128246</v>
      </c>
      <c r="K55" s="16">
        <f>IF(OR(G55="",H55="",H55=0,IFERROR(VLOOKUP(B55,Сезонность!$A$3:$D$14,4,FALSE),0)=0),"",G55/(H55*IFERROR(VLOOKUP(B55,Сезонность!$A$3:$D$14,4,FALSE),1)))</f>
        <v>0.91538446284935204</v>
      </c>
      <c r="L55" s="6" t="str">
        <f>IF(K55="","",IF(K55&lt;Настройки!$B$10,"ниже тренда",IF(K55&gt;Настройки!$B$11,"выше тренда","норма")))</f>
        <v>норма</v>
      </c>
      <c r="M55" s="6" t="str">
        <f t="shared" si="10"/>
        <v>без выраженного отклонения</v>
      </c>
      <c r="N55" s="25">
        <f>IF(G55="","",COUNT($G$4:G55))</f>
        <v>52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>
      <c r="A56" s="18">
        <f>IF(Ввод_данных!A56="","",Ввод_данных!A56)</f>
        <v>46054</v>
      </c>
      <c r="B56" s="6">
        <f t="shared" si="6"/>
        <v>2</v>
      </c>
      <c r="C56" s="6" t="str">
        <f t="shared" si="7"/>
        <v>февраль</v>
      </c>
      <c r="D56" s="16">
        <f>IF(Ввод_данных!C56="","",Ввод_данных!C56)</f>
        <v>31.62</v>
      </c>
      <c r="E56" s="16">
        <f>IF(Ввод_данных!D56="","",Ввод_данных!D56)</f>
        <v>1822</v>
      </c>
      <c r="F56" s="16">
        <f t="shared" si="8"/>
        <v>50.72383073496659</v>
      </c>
      <c r="G56" s="16">
        <f>IF(COUNT(D56,F56)=0,"",IF(COUNT(D56,F56)=2,D56*Настройки!$B$3+F56*Настройки!$B$4,IF(D56&lt;&gt;"",D56,F56)))</f>
        <v>41.171915367483294</v>
      </c>
      <c r="H56" s="16">
        <f>IF(OR(G56="",COUNT($G$4:G56)&lt;12),"",AVERAGE(G45:G56))</f>
        <v>42.562323682256867</v>
      </c>
      <c r="I56" s="16">
        <f t="shared" si="9"/>
        <v>0.96733241527992042</v>
      </c>
      <c r="J56" s="16">
        <f>IF(OR(G56="",IFERROR(VLOOKUP(B56,Сезонность!$A$3:$D$14,4,FALSE),0)=0),"",G56/IFERROR(VLOOKUP(B56,Сезонность!$A$3:$D$14,4,FALSE),1))</f>
        <v>45.135139205922236</v>
      </c>
      <c r="K56" s="16">
        <f>IF(OR(G56="",H56="",H56=0,IFERROR(VLOOKUP(B56,Сезонность!$A$3:$D$14,4,FALSE),0)=0),"",G56/(H56*IFERROR(VLOOKUP(B56,Сезонность!$A$3:$D$14,4,FALSE),1)))</f>
        <v>1.0604481922291737</v>
      </c>
      <c r="L56" s="6" t="str">
        <f>IF(K56="","",IF(K56&lt;Настройки!$B$10,"ниже тренда",IF(K56&gt;Настройки!$B$11,"выше тренда","норма")))</f>
        <v>норма</v>
      </c>
      <c r="M56" s="6" t="str">
        <f t="shared" si="10"/>
        <v>без выраженного отклонения</v>
      </c>
      <c r="N56" s="25">
        <f>IF(G56="","",COUNT($G$4:G56))</f>
        <v>53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>
      <c r="A57" s="18">
        <f>IF(Ввод_данных!A57="","",Ввод_данных!A57)</f>
        <v>46082</v>
      </c>
      <c r="B57" s="6">
        <f t="shared" si="6"/>
        <v>3</v>
      </c>
      <c r="C57" s="6" t="str">
        <f t="shared" si="7"/>
        <v>март</v>
      </c>
      <c r="D57" s="16">
        <f>IF(Ввод_данных!C57="","",Ввод_данных!C57)</f>
        <v>42.5</v>
      </c>
      <c r="E57" s="16">
        <f>IF(Ввод_данных!D57="","",Ввод_данных!D57)</f>
        <v>2045</v>
      </c>
      <c r="F57" s="16">
        <f t="shared" si="8"/>
        <v>56.93207126948775</v>
      </c>
      <c r="G57" s="16">
        <f>IF(COUNT(D57,F57)=0,"",IF(COUNT(D57,F57)=2,D57*Настройки!$B$3+F57*Настройки!$B$4,IF(D57&lt;&gt;"",D57,F57)))</f>
        <v>49.716035634743875</v>
      </c>
      <c r="H57" s="16">
        <f>IF(OR(G57="",COUNT($G$4:G57)&lt;12),"",AVERAGE(G46:G57))</f>
        <v>43.565729398663684</v>
      </c>
      <c r="I57" s="16">
        <f t="shared" si="9"/>
        <v>1.1411730348825249</v>
      </c>
      <c r="J57" s="16">
        <f>IF(OR(G57="",IFERROR(VLOOKUP(B57,Сезонность!$A$3:$D$14,4,FALSE),0)=0),"",G57/IFERROR(VLOOKUP(B57,Сезонность!$A$3:$D$14,4,FALSE),1))</f>
        <v>48.109120581744556</v>
      </c>
      <c r="K57" s="16">
        <f>IF(OR(G57="",H57="",H57=0,IFERROR(VLOOKUP(B57,Сезонность!$A$3:$D$14,4,FALSE),0)=0),"",G57/(H57*IFERROR(VLOOKUP(B57,Сезонность!$A$3:$D$14,4,FALSE),1)))</f>
        <v>1.1042881927100303</v>
      </c>
      <c r="L57" s="6" t="str">
        <f>IF(K57="","",IF(K57&lt;Настройки!$B$10,"ниже тренда",IF(K57&gt;Настройки!$B$11,"выше тренда","норма")))</f>
        <v>выше тренда</v>
      </c>
      <c r="M57" s="10" t="str">
        <f t="shared" si="10"/>
        <v>возможная фаза повышенного интереса</v>
      </c>
      <c r="N57" s="25">
        <f>IF(G57="","",COUNT($G$4:G57))</f>
        <v>54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>
      <c r="A58" s="18">
        <f>IF(Ввод_данных!A58="","",Ввод_данных!A58)</f>
        <v>46113</v>
      </c>
      <c r="B58" s="6">
        <f t="shared" si="6"/>
        <v>4</v>
      </c>
      <c r="C58" s="6" t="str">
        <f t="shared" si="7"/>
        <v>апрель</v>
      </c>
      <c r="D58" s="16">
        <f>IF(Ввод_данных!C58="","",Ввод_данных!C58)</f>
        <v>54</v>
      </c>
      <c r="E58" s="16">
        <f>IF(Ввод_данных!D58="","",Ввод_данных!D58)</f>
        <v>2275</v>
      </c>
      <c r="F58" s="16">
        <f t="shared" si="8"/>
        <v>63.335189309576833</v>
      </c>
      <c r="G58" s="16">
        <f>IF(COUNT(D58,F58)=0,"",IF(COUNT(D58,F58)=2,D58*Настройки!$B$3+F58*Настройки!$B$4,IF(D58&lt;&gt;"",D58,F58)))</f>
        <v>58.667594654788417</v>
      </c>
      <c r="H58" s="16">
        <f>IF(OR(G58="",COUNT($G$4:G58)&lt;12),"",AVERAGE(G47:G58))</f>
        <v>44.409977728285071</v>
      </c>
      <c r="I58" s="16">
        <f t="shared" si="9"/>
        <v>1.3210453518742153</v>
      </c>
      <c r="J58" s="16">
        <f>IF(OR(G58="",IFERROR(VLOOKUP(B58,Сезонность!$A$3:$D$14,4,FALSE),0)=0),"",G58/IFERROR(VLOOKUP(B58,Сезонность!$A$3:$D$14,4,FALSE),1))</f>
        <v>52.174049337439129</v>
      </c>
      <c r="K58" s="16">
        <f>IF(OR(G58="",H58="",H58=0,IFERROR(VLOOKUP(B58,Сезонность!$A$3:$D$14,4,FALSE),0)=0),"",G58/(H58*IFERROR(VLOOKUP(B58,Сезонность!$A$3:$D$14,4,FALSE),1)))</f>
        <v>1.1748271898864084</v>
      </c>
      <c r="L58" s="6" t="str">
        <f>IF(K58="","",IF(K58&lt;Настройки!$B$10,"ниже тренда",IF(K58&gt;Настройки!$B$11,"выше тренда","норма")))</f>
        <v>выше тренда</v>
      </c>
      <c r="M58" s="10" t="str">
        <f t="shared" si="10"/>
        <v>возможная фаза повышенного интереса</v>
      </c>
      <c r="N58" s="25">
        <f>IF(G58="","",COUNT($G$4:G58))</f>
        <v>55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>
      <c r="A59" s="18">
        <f>IF(Ввод_данных!A59="","",Ввод_данных!A59)</f>
        <v>46143</v>
      </c>
      <c r="B59" s="6">
        <f t="shared" si="6"/>
        <v>5</v>
      </c>
      <c r="C59" s="6" t="str">
        <f t="shared" si="7"/>
        <v>май</v>
      </c>
      <c r="D59" s="16">
        <f>IF(Ввод_данных!C59="","",Ввод_данных!C59)</f>
        <v>68.3</v>
      </c>
      <c r="E59" s="16">
        <f>IF(Ввод_данных!D59="","",Ввод_данных!D59)</f>
        <v>2146</v>
      </c>
      <c r="F59" s="16">
        <f t="shared" si="8"/>
        <v>59.743875278396445</v>
      </c>
      <c r="G59" s="16">
        <f>IF(COUNT(D59,F59)=0,"",IF(COUNT(D59,F59)=2,D59*Настройки!$B$3+F59*Настройки!$B$4,IF(D59&lt;&gt;"",D59,F59)))</f>
        <v>64.021937639198228</v>
      </c>
      <c r="H59" s="16">
        <f>IF(OR(G59="",COUNT($G$4:G59)&lt;12),"",AVERAGE(G48:G59))</f>
        <v>46.319192650334067</v>
      </c>
      <c r="I59" s="16">
        <f t="shared" si="9"/>
        <v>1.3821902752602595</v>
      </c>
      <c r="J59" s="16">
        <f>IF(OR(G59="",IFERROR(VLOOKUP(B59,Сезонность!$A$3:$D$14,4,FALSE),0)=0),"",G59/IFERROR(VLOOKUP(B59,Сезонность!$A$3:$D$14,4,FALSE),1))</f>
        <v>58.004636201264667</v>
      </c>
      <c r="K59" s="16">
        <f>IF(OR(G59="",H59="",H59=0,IFERROR(VLOOKUP(B59,Сезонность!$A$3:$D$14,4,FALSE),0)=0),"",G59/(H59*IFERROR(VLOOKUP(B59,Сезонность!$A$3:$D$14,4,FALSE),1)))</f>
        <v>1.2522808123868783</v>
      </c>
      <c r="L59" s="6" t="str">
        <f>IF(K59="","",IF(K59&lt;Настройки!$B$10,"ниже тренда",IF(K59&gt;Настройки!$B$11,"выше тренда","норма")))</f>
        <v>выше тренда</v>
      </c>
      <c r="M59" s="10" t="str">
        <f t="shared" si="10"/>
        <v>возможная фаза повышенного интереса</v>
      </c>
      <c r="N59" s="25">
        <f>IF(G59="","",COUNT($G$4:G59))</f>
        <v>56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>
      <c r="A60" s="18">
        <f>IF(Ввод_данных!A60="","",Ввод_данных!A60)</f>
        <v>46174</v>
      </c>
      <c r="B60" s="6">
        <f t="shared" si="6"/>
        <v>6</v>
      </c>
      <c r="C60" s="6" t="str">
        <f t="shared" si="7"/>
        <v>июнь</v>
      </c>
      <c r="D60" s="16">
        <f>IF(Ввод_данных!C60="","",Ввод_данных!C60)</f>
        <v>59.38</v>
      </c>
      <c r="E60" s="16">
        <f>IF(Ввод_данных!D60="","",Ввод_данных!D60)</f>
        <v>2289</v>
      </c>
      <c r="F60" s="16">
        <f t="shared" si="8"/>
        <v>63.724944320712694</v>
      </c>
      <c r="G60" s="16">
        <f>IF(COUNT(D60,F60)=0,"",IF(COUNT(D60,F60)=2,D60*Настройки!$B$3+F60*Настройки!$B$4,IF(D60&lt;&gt;"",D60,F60)))</f>
        <v>61.552472160356345</v>
      </c>
      <c r="H60" s="16">
        <f>IF(OR(G60="",COUNT($G$4:G60)&lt;12),"",AVERAGE(G49:G60))</f>
        <v>47.43248329621381</v>
      </c>
      <c r="I60" s="16">
        <f t="shared" si="9"/>
        <v>1.2976860556923366</v>
      </c>
      <c r="J60" s="16">
        <f>IF(OR(G60="",IFERROR(VLOOKUP(B60,Сезонность!$A$3:$D$14,4,FALSE),0)=0),"",G60/IFERROR(VLOOKUP(B60,Сезонность!$A$3:$D$14,4,FALSE),1))</f>
        <v>58.476084972021596</v>
      </c>
      <c r="K60" s="16">
        <f>IF(OR(G60="",H60="",H60=0,IFERROR(VLOOKUP(B60,Сезонность!$A$3:$D$14,4,FALSE),0)=0),"",G60/(H60*IFERROR(VLOOKUP(B60,Сезонность!$A$3:$D$14,4,FALSE),1)))</f>
        <v>1.2328278198474445</v>
      </c>
      <c r="L60" s="6" t="str">
        <f>IF(K60="","",IF(K60&lt;Настройки!$B$10,"ниже тренда",IF(K60&gt;Настройки!$B$11,"выше тренда","норма")))</f>
        <v>выше тренда</v>
      </c>
      <c r="M60" s="10" t="str">
        <f t="shared" si="10"/>
        <v>возможная фаза повышенного интереса</v>
      </c>
      <c r="N60" s="25">
        <f>IF(G60="","",COUNT($G$4:G60))</f>
        <v>57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>
      <c r="A61" s="18">
        <f>IF(Ввод_данных!A61="","",Ввод_данных!A61)</f>
        <v>46204</v>
      </c>
      <c r="B61" s="6">
        <f t="shared" si="6"/>
        <v>7</v>
      </c>
      <c r="C61" s="6" t="str">
        <f t="shared" si="7"/>
        <v>июль</v>
      </c>
      <c r="D61" s="16">
        <f>IF(Ввод_данных!C61="","",Ввод_данных!C61)</f>
        <v>45.75</v>
      </c>
      <c r="E61" s="16">
        <f>IF(Ввод_данных!D61="","",Ввод_данных!D61)</f>
        <v>1099</v>
      </c>
      <c r="F61" s="16">
        <f t="shared" si="8"/>
        <v>30.595768374164813</v>
      </c>
      <c r="G61" s="16">
        <f>IF(COUNT(D61,F61)=0,"",IF(COUNT(D61,F61)=2,D61*Настройки!$B$3+F61*Настройки!$B$4,IF(D61&lt;&gt;"",D61,F61)))</f>
        <v>38.172884187082403</v>
      </c>
      <c r="H61" s="16">
        <f>IF(OR(G61="",COUNT($G$4:G61)&lt;12),"",AVERAGE(G50:G61))</f>
        <v>48.393612657757984</v>
      </c>
      <c r="I61" s="16">
        <f t="shared" si="9"/>
        <v>0.7888000521276004</v>
      </c>
      <c r="J61" s="16">
        <f>IF(OR(G61="",IFERROR(VLOOKUP(B61,Сезонность!$A$3:$D$14,4,FALSE),0)=0),"",G61/IFERROR(VLOOKUP(B61,Сезонность!$A$3:$D$14,4,FALSE),1))</f>
        <v>53.365326926030683</v>
      </c>
      <c r="K61" s="16">
        <f>IF(OR(G61="",H61="",H61=0,IFERROR(VLOOKUP(B61,Сезонность!$A$3:$D$14,4,FALSE),0)=0),"",G61/(H61*IFERROR(VLOOKUP(B61,Сезонность!$A$3:$D$14,4,FALSE),1)))</f>
        <v>1.1027349270952946</v>
      </c>
      <c r="L61" s="6" t="str">
        <f>IF(K61="","",IF(K61&lt;Настройки!$B$10,"ниже тренда",IF(K61&gt;Настройки!$B$11,"выше тренда","норма")))</f>
        <v>выше тренда</v>
      </c>
      <c r="M61" s="10" t="str">
        <f t="shared" si="10"/>
        <v>возможная фаза повышенного интереса</v>
      </c>
      <c r="N61" s="25">
        <f>IF(G61="","",COUNT($G$4:G61))</f>
        <v>58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>
      <c r="A62" s="18">
        <f>IF(Ввод_данных!A62="","",Ввод_данных!A62)</f>
        <v>46235</v>
      </c>
      <c r="B62" s="6">
        <f t="shared" si="6"/>
        <v>8</v>
      </c>
      <c r="C62" s="6" t="str">
        <f t="shared" si="7"/>
        <v>август</v>
      </c>
      <c r="D62" s="16">
        <f>IF(Ввод_данных!C62="","",Ввод_данных!C62)</f>
        <v>39.9</v>
      </c>
      <c r="E62" s="16">
        <f>IF(Ввод_данных!D62="","",Ввод_данных!D62)</f>
        <v>940</v>
      </c>
      <c r="F62" s="16">
        <f t="shared" si="8"/>
        <v>26.169265033407573</v>
      </c>
      <c r="G62" s="16">
        <f>IF(COUNT(D62,F62)=0,"",IF(COUNT(D62,F62)=2,D62*Настройки!$B$3+F62*Настройки!$B$4,IF(D62&lt;&gt;"",D62,F62)))</f>
        <v>33.034632516703788</v>
      </c>
      <c r="H62" s="16">
        <f>IF(OR(G62="",COUNT($G$4:G62)&lt;12),"",AVERAGE(G51:G62))</f>
        <v>48.568900334075721</v>
      </c>
      <c r="I62" s="16">
        <f t="shared" si="9"/>
        <v>0.68016019076978851</v>
      </c>
      <c r="J62" s="16">
        <f>IF(OR(G62="",IFERROR(VLOOKUP(B62,Сезонность!$A$3:$D$14,4,FALSE),0)=0),"",G62/IFERROR(VLOOKUP(B62,Сезонность!$A$3:$D$14,4,FALSE),1))</f>
        <v>45.633772845692903</v>
      </c>
      <c r="K62" s="16">
        <f>IF(OR(G62="",H62="",H62=0,IFERROR(VLOOKUP(B62,Сезонность!$A$3:$D$14,4,FALSE),0)=0),"",G62/(H62*IFERROR(VLOOKUP(B62,Сезонность!$A$3:$D$14,4,FALSE),1)))</f>
        <v>0.93956775903522893</v>
      </c>
      <c r="L62" s="6" t="str">
        <f>IF(K62="","",IF(K62&lt;Настройки!$B$10,"ниже тренда",IF(K62&gt;Настройки!$B$11,"выше тренда","норма")))</f>
        <v>норма</v>
      </c>
      <c r="M62" s="6" t="str">
        <f t="shared" si="10"/>
        <v>без выраженного отклонения</v>
      </c>
      <c r="N62" s="25">
        <f>IF(G62="","",COUNT($G$4:G62))</f>
        <v>59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>
      <c r="A63" s="19">
        <f>IF(Ввод_данных!A63="","",Ввод_данных!A63)</f>
        <v>46266</v>
      </c>
      <c r="B63" s="7">
        <f t="shared" si="6"/>
        <v>9</v>
      </c>
      <c r="C63" s="7" t="str">
        <f t="shared" si="7"/>
        <v>сентябрь</v>
      </c>
      <c r="D63" s="17">
        <f>IF(Ввод_данных!C63="","",Ввод_данных!C63)</f>
        <v>50.5</v>
      </c>
      <c r="E63" s="17">
        <f>IF(Ввод_данных!D63="","",Ввод_данных!D63)</f>
        <v>1419</v>
      </c>
      <c r="F63" s="17">
        <f t="shared" si="8"/>
        <v>39.50445434298441</v>
      </c>
      <c r="G63" s="17">
        <f>IF(COUNT(D63,F63)=0,"",IF(COUNT(D63,F63)=2,D63*Настройки!$B$3+F63*Настройки!$B$4,IF(D63&lt;&gt;"",D63,F63)))</f>
        <v>45.002227171492208</v>
      </c>
      <c r="H63" s="17">
        <f>IF(OR(G63="",COUNT($G$4:G63)&lt;12),"",AVERAGE(G52:G63))</f>
        <v>48.914135115070529</v>
      </c>
      <c r="I63" s="17">
        <f t="shared" si="9"/>
        <v>0.92002500025042755</v>
      </c>
      <c r="J63" s="17">
        <f>IF(OR(G63="",IFERROR(VLOOKUP(B63,Сезонность!$A$3:$D$14,4,FALSE),0)=0),"",G63/IFERROR(VLOOKUP(B63,Сезонность!$A$3:$D$14,4,FALSE),1))</f>
        <v>49.166595231702594</v>
      </c>
      <c r="K63" s="17">
        <f>IF(OR(G63="",H63="",H63=0,IFERROR(VLOOKUP(B63,Сезонность!$A$3:$D$14,4,FALSE),0)=0),"",G63/(H63*IFERROR(VLOOKUP(B63,Сезонность!$A$3:$D$14,4,FALSE),1)))</f>
        <v>1.0051612916396897</v>
      </c>
      <c r="L63" s="7" t="str">
        <f>IF(K63="","",IF(K63&lt;Настройки!$B$10,"ниже тренда",IF(K63&gt;Настройки!$B$11,"выше тренда","норма")))</f>
        <v>норма</v>
      </c>
      <c r="M63" s="7" t="str">
        <f t="shared" si="10"/>
        <v>без выраженного отклонения</v>
      </c>
      <c r="N63" s="22">
        <f>IF(G63="","",COUNT($G$4:G63))</f>
        <v>60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workbookViewId="0"/>
  </sheetViews>
  <sheetFormatPr defaultRowHeight="13.5"/>
  <cols>
    <col min="1" max="1" width="32.9375" customWidth="1"/>
    <col min="2" max="2" width="25.625" customWidth="1"/>
    <col min="3" max="3" width="15.125" customWidth="1"/>
    <col min="4" max="4" width="19.3125" customWidth="1"/>
    <col min="5" max="5" width="26.6875" customWidth="1"/>
    <col min="6" max="6" width="28.75" customWidth="1"/>
    <col min="7" max="26" width="10.5625" customWidth="1"/>
  </cols>
  <sheetData>
    <row r="1" spans="1:26" ht="20" customHeight="1">
      <c r="A1" s="31" t="s">
        <v>41</v>
      </c>
      <c r="B1" s="31"/>
      <c r="C1" s="31"/>
      <c r="D1" s="31"/>
      <c r="E1" s="31"/>
      <c r="F1" s="3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>
      <c r="A2" s="26" t="s">
        <v>31</v>
      </c>
      <c r="B2" s="26" t="s">
        <v>32</v>
      </c>
      <c r="C2" s="26" t="s">
        <v>42</v>
      </c>
      <c r="D2" s="26" t="s">
        <v>43</v>
      </c>
      <c r="E2" s="26" t="s">
        <v>44</v>
      </c>
      <c r="F2" s="27" t="s">
        <v>45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6">
        <v>1</v>
      </c>
      <c r="B3" s="6" t="s">
        <v>46</v>
      </c>
      <c r="C3" s="16">
        <f>IFERROR(SUMIFS(Расчет!$I$4:$I$63,Расчет!$B$4:$B$63,A3)/COUNTIFS(Расчет!$B$4:$B$63,A3,Расчет!$I$4:$I$63,"&gt;0"),"")</f>
        <v>0.96526707565934522</v>
      </c>
      <c r="D3" s="16">
        <f t="shared" ref="D3:D14" si="0">IF(C3="","",C3/AVERAGE($C$3:$C$14))</f>
        <v>0.90669208142488567</v>
      </c>
      <c r="E3" s="16">
        <f t="shared" ref="E3:E14" si="1">IF(D3="","",D3-1)</f>
        <v>-9.3307918575114335E-2</v>
      </c>
      <c r="F3" s="11" t="str">
        <f t="shared" ref="F3:F14" si="2">IF(D3="","",IF(D3&gt;1.1,"сезонный максимум",IF(D3&lt;0.9,"сезонный минимум","средний сезонный уровень")))</f>
        <v>средний сезонный уровень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>
      <c r="A4" s="6">
        <v>2</v>
      </c>
      <c r="B4" s="6" t="s">
        <v>47</v>
      </c>
      <c r="C4" s="16">
        <f>IFERROR(SUMIFS(Расчет!$I$4:$I$63,Расчет!$B$4:$B$63,A4)/COUNTIFS(Расчет!$B$4:$B$63,A4,Расчет!$I$4:$I$63,"&gt;0"),"")</f>
        <v>0.9711223634070052</v>
      </c>
      <c r="D4" s="16">
        <f t="shared" si="0"/>
        <v>0.91219205461276331</v>
      </c>
      <c r="E4" s="16">
        <f t="shared" si="1"/>
        <v>-8.7807945387236686E-2</v>
      </c>
      <c r="F4" s="11" t="str">
        <f t="shared" si="2"/>
        <v>средний сезонный уровень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>
      <c r="A5" s="6">
        <v>3</v>
      </c>
      <c r="B5" s="6" t="s">
        <v>48</v>
      </c>
      <c r="C5" s="16">
        <f>IFERROR(SUMIFS(Расчет!$I$4:$I$63,Расчет!$B$4:$B$63,A5)/COUNTIFS(Расчет!$B$4:$B$63,A5,Расчет!$I$4:$I$63,"&gt;0"),"")</f>
        <v>1.1001622595464766</v>
      </c>
      <c r="D5" s="16">
        <f t="shared" si="0"/>
        <v>1.0334014638714697</v>
      </c>
      <c r="E5" s="16">
        <f t="shared" si="1"/>
        <v>3.3401463871469694E-2</v>
      </c>
      <c r="F5" s="11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>
      <c r="A6" s="6">
        <v>4</v>
      </c>
      <c r="B6" s="6" t="s">
        <v>49</v>
      </c>
      <c r="C6" s="16">
        <f>IFERROR(SUMIFS(Расчет!$I$4:$I$63,Расчет!$B$4:$B$63,A6)/COUNTIFS(Расчет!$B$4:$B$63,A6,Расчет!$I$4:$I$63,"&gt;0"),"")</f>
        <v>1.1971026946522629</v>
      </c>
      <c r="D6" s="16">
        <f t="shared" si="0"/>
        <v>1.1244592934574016</v>
      </c>
      <c r="E6" s="16">
        <f t="shared" si="1"/>
        <v>0.12445929345740159</v>
      </c>
      <c r="F6" s="11" t="str">
        <f t="shared" si="2"/>
        <v>сезонный максимум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>
      <c r="A7" s="6">
        <v>5</v>
      </c>
      <c r="B7" s="6" t="s">
        <v>50</v>
      </c>
      <c r="C7" s="16">
        <f>IFERROR(SUMIFS(Расчет!$I$4:$I$63,Расчет!$B$4:$B$63,A7)/COUNTIFS(Расчет!$B$4:$B$63,A7,Расчет!$I$4:$I$63,"&gt;0"),"")</f>
        <v>1.1750430468685438</v>
      </c>
      <c r="D7" s="16">
        <f t="shared" si="0"/>
        <v>1.1037382842477403</v>
      </c>
      <c r="E7" s="16">
        <f t="shared" si="1"/>
        <v>0.10373828424774034</v>
      </c>
      <c r="F7" s="11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6">
        <v>6</v>
      </c>
      <c r="B8" s="6" t="s">
        <v>51</v>
      </c>
      <c r="C8" s="16">
        <f>IFERROR(SUMIFS(Расчет!$I$4:$I$63,Расчет!$B$4:$B$63,A8)/COUNTIFS(Расчет!$B$4:$B$63,A8,Расчет!$I$4:$I$63,"&gt;0"),"")</f>
        <v>1.1206110022933529</v>
      </c>
      <c r="D8" s="16">
        <f t="shared" si="0"/>
        <v>1.0526093220810981</v>
      </c>
      <c r="E8" s="16">
        <f t="shared" si="1"/>
        <v>5.2609322081098142E-2</v>
      </c>
      <c r="F8" s="11" t="str">
        <f t="shared" si="2"/>
        <v>средний сезонный уровень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6">
        <v>7</v>
      </c>
      <c r="B9" s="6" t="s">
        <v>52</v>
      </c>
      <c r="C9" s="16">
        <f>IFERROR(SUMIFS(Расчет!$I$4:$I$63,Расчет!$B$4:$B$63,A9)/COUNTIFS(Расчет!$B$4:$B$63,A9,Расчет!$I$4:$I$63,"&gt;0"),"")</f>
        <v>0.76152378184432989</v>
      </c>
      <c r="D9" s="16">
        <f t="shared" si="0"/>
        <v>0.71531247695706202</v>
      </c>
      <c r="E9" s="16">
        <f t="shared" si="1"/>
        <v>-0.28468752304293798</v>
      </c>
      <c r="F9" s="11" t="str">
        <f t="shared" si="2"/>
        <v>сезонный минимум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>
      <c r="A10" s="6">
        <v>8</v>
      </c>
      <c r="B10" s="6" t="s">
        <v>53</v>
      </c>
      <c r="C10" s="16">
        <f>IFERROR(SUMIFS(Расчет!$I$4:$I$63,Расчет!$B$4:$B$63,A10)/COUNTIFS(Расчет!$B$4:$B$63,A10,Расчет!$I$4:$I$63,"&gt;0"),"")</f>
        <v>0.77067411783680173</v>
      </c>
      <c r="D10" s="16">
        <f t="shared" si="0"/>
        <v>0.72390754602754104</v>
      </c>
      <c r="E10" s="16">
        <f t="shared" si="1"/>
        <v>-0.27609245397245896</v>
      </c>
      <c r="F10" s="11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>
      <c r="A11" s="6">
        <v>9</v>
      </c>
      <c r="B11" s="6" t="s">
        <v>54</v>
      </c>
      <c r="C11" s="16">
        <f>IFERROR(SUMIFS(Расчет!$I$4:$I$63,Расчет!$B$4:$B$63,A11)/COUNTIFS(Расчет!$B$4:$B$63,A11,Расчет!$I$4:$I$63,"&gt;0"),"")</f>
        <v>0.97443201273459168</v>
      </c>
      <c r="D11" s="16">
        <f t="shared" si="0"/>
        <v>0.91530086554528789</v>
      </c>
      <c r="E11" s="16">
        <f t="shared" si="1"/>
        <v>-8.4699134454712111E-2</v>
      </c>
      <c r="F11" s="11" t="str">
        <f t="shared" si="2"/>
        <v>средний сезонный уровень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>
      <c r="A12" s="6">
        <v>10</v>
      </c>
      <c r="B12" s="6" t="s">
        <v>55</v>
      </c>
      <c r="C12" s="16">
        <f>IFERROR(SUMIFS(Расчет!$I$4:$I$63,Расчет!$B$4:$B$63,A12)/COUNTIFS(Расчет!$B$4:$B$63,A12,Расчет!$I$4:$I$63,"&gt;0"),"")</f>
        <v>1.147270340479688</v>
      </c>
      <c r="D12" s="16">
        <f t="shared" si="0"/>
        <v>1.0776509001470103</v>
      </c>
      <c r="E12" s="16">
        <f t="shared" si="1"/>
        <v>7.765090014701026E-2</v>
      </c>
      <c r="F12" s="11" t="str">
        <f t="shared" si="2"/>
        <v>средний сезонный уровень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>
      <c r="A13" s="6">
        <v>11</v>
      </c>
      <c r="B13" s="6" t="s">
        <v>56</v>
      </c>
      <c r="C13" s="16">
        <f>IFERROR(SUMIFS(Расчет!$I$4:$I$63,Расчет!$B$4:$B$63,A13)/COUNTIFS(Расчет!$B$4:$B$63,A13,Расчет!$I$4:$I$63,"&gt;0"),"")</f>
        <v>1.2406684151336247</v>
      </c>
      <c r="D13" s="16">
        <f t="shared" si="0"/>
        <v>1.1653813292111219</v>
      </c>
      <c r="E13" s="16">
        <f t="shared" si="1"/>
        <v>0.16538132921112192</v>
      </c>
      <c r="F13" s="11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>
      <c r="A14" s="6">
        <v>12</v>
      </c>
      <c r="B14" s="6" t="s">
        <v>57</v>
      </c>
      <c r="C14" s="17">
        <f>IFERROR(SUMIFS(Расчет!$I$4:$I$63,Расчет!$B$4:$B$63,A14)/COUNTIFS(Расчет!$B$4:$B$63,A14,Расчет!$I$4:$I$63,"&gt;0"),"")</f>
        <v>1.3513584355618606</v>
      </c>
      <c r="D14" s="17">
        <f t="shared" si="0"/>
        <v>1.2693543824166156</v>
      </c>
      <c r="E14" s="17">
        <f t="shared" si="1"/>
        <v>0.26935438241661558</v>
      </c>
      <c r="F14" s="8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>
      <c r="A15" s="4" t="s">
        <v>2</v>
      </c>
      <c r="B15" s="9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>
      <c r="A16" s="6" t="s">
        <v>58</v>
      </c>
      <c r="B16" s="24">
        <f>MAX($D$3:$D$14)</f>
        <v>1.2693543824166156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>
      <c r="A17" s="6" t="s">
        <v>59</v>
      </c>
      <c r="B17" s="24">
        <f>MIN($D$3:$D$14)</f>
        <v>0.71531247695706202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>
      <c r="A18" s="6" t="s">
        <v>60</v>
      </c>
      <c r="B18" s="24">
        <f>B16-B17</f>
        <v>0.55404190545955356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>
      <c r="A19" s="6" t="s">
        <v>61</v>
      </c>
      <c r="B19" s="11" t="str">
        <f>IF(B18&gt;=Настройки!$B$6,"выраженная сезонность",IF(B18&gt;=Настройки!$B$7,"умеренная сезонность","слабая сезонность"))</f>
        <v>выраженная сезонность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>
      <c r="A20" s="6" t="s">
        <v>15</v>
      </c>
      <c r="B20" s="11" t="str">
        <f>IFERROR(INDEX($B$3:$B$14,MATCH(B16,$D$3:$D$14,0)),"")</f>
        <v>декабрь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7" t="s">
        <v>17</v>
      </c>
      <c r="B21" s="8" t="str">
        <f>IFERROR(INDEX($B$3:$B$14,MATCH(B17,$D$3:$D$14,0)),"")</f>
        <v>июль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"/>
  <sheetViews>
    <sheetView workbookViewId="0"/>
  </sheetViews>
  <sheetFormatPr defaultRowHeight="13.5"/>
  <cols>
    <col min="1" max="1" width="43.4375" customWidth="1"/>
    <col min="2" max="2" width="52.5625" customWidth="1"/>
    <col min="3" max="4" width="49.75" customWidth="1"/>
    <col min="5" max="26" width="10.5625" customWidth="1"/>
  </cols>
  <sheetData>
    <row r="1" spans="1:26" ht="20" customHeight="1">
      <c r="A1" s="31" t="s">
        <v>62</v>
      </c>
      <c r="B1" s="31"/>
      <c r="C1" s="31"/>
      <c r="D1" s="3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>
      <c r="A2" s="26" t="s">
        <v>2</v>
      </c>
      <c r="B2" s="26" t="s">
        <v>63</v>
      </c>
      <c r="C2" s="26" t="s">
        <v>45</v>
      </c>
      <c r="D2" s="27" t="s">
        <v>29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6" t="s">
        <v>64</v>
      </c>
      <c r="B3" s="6">
        <f>COUNT(Расчет!$G$4:$G$63)</f>
        <v>60</v>
      </c>
      <c r="C3" s="10" t="s">
        <v>65</v>
      </c>
      <c r="D3" s="15" t="s">
        <v>66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>
      <c r="A4" s="10" t="s">
        <v>67</v>
      </c>
      <c r="B4" s="16">
        <f>IF(B3&lt;12,"",SUMIFS(Расчет!$G$4:$G$63,Расчет!$N$4:$N$63,"&gt;=1",Расчет!$N$4:$N$63,"&lt;=12")/COUNTIFS(Расчет!$N$4:$N$63,"&gt;=1",Расчет!$N$4:$N$63,"&lt;=12"))</f>
        <v>29.020588344469189</v>
      </c>
      <c r="C4" s="6" t="s">
        <v>68</v>
      </c>
      <c r="D4" s="15" t="s">
        <v>69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>
      <c r="A5" s="10" t="s">
        <v>70</v>
      </c>
      <c r="B5" s="16">
        <f>IF(B3&lt;12,"",SUMIFS(Расчет!$G$4:$G$63,Расчет!$N$4:$N$63,"&gt;="&amp;B3-11,Расчет!$N$4:$N$63,"&lt;="&amp;B3)/COUNTIFS(Расчет!$N$4:$N$63,"&gt;="&amp;B3-11,Расчет!$N$4:$N$63,"&lt;="&amp;B3))</f>
        <v>48.914135115070529</v>
      </c>
      <c r="C5" s="6" t="s">
        <v>71</v>
      </c>
      <c r="D5" s="11" t="s">
        <v>72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>
      <c r="A6" s="6" t="s">
        <v>73</v>
      </c>
      <c r="B6" s="16">
        <f>IF(OR(B4="",B5=""),"",B5-B4)</f>
        <v>19.89354677060134</v>
      </c>
      <c r="C6" s="10" t="s">
        <v>74</v>
      </c>
      <c r="D6" s="15" t="s">
        <v>75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>
      <c r="A7" s="6" t="s">
        <v>76</v>
      </c>
      <c r="B7" s="14">
        <f>IF(OR(B4="",B5=""),"",B6/B4)</f>
        <v>0.68549770716115399</v>
      </c>
      <c r="C7" s="10" t="s">
        <v>77</v>
      </c>
      <c r="D7" s="11" t="s">
        <v>78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6" t="s">
        <v>79</v>
      </c>
      <c r="B8" s="16">
        <f>IFERROR(SLOPE(Расчет!$G$4:$G$63,Расчет!$N$4:$N$63),"")</f>
        <v>0.35072853353845501</v>
      </c>
      <c r="C8" s="6" t="s">
        <v>80</v>
      </c>
      <c r="D8" s="15" t="s">
        <v>81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6" t="s">
        <v>8</v>
      </c>
      <c r="B9" s="6" t="str">
        <f>IF(B7="","",IF(B7&gt;=Настройки!$B$9,"растущий тренд",IF(B7&lt;=Настройки!$B$8,"снижающийся тренд","стабильный тренд")))</f>
        <v>растущий тренд</v>
      </c>
      <c r="C9" s="10" t="s">
        <v>82</v>
      </c>
      <c r="D9" s="15" t="s">
        <v>83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7" t="s">
        <v>84</v>
      </c>
      <c r="B10" s="12" t="str">
        <f>IF(B9="","Недостаточно данных",IF(B9="растущий тренд","Интерес аудитории растет; бизнес-идея может быть дополнительно проверена на платежеспособный спрос.",IF(B9="снижающийся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растет; бизнес-идея может быть дополнительно проверена на платежеспособный спрос.</v>
      </c>
      <c r="C10" s="12" t="s">
        <v>85</v>
      </c>
      <c r="D10" s="13" t="s">
        <v>86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0"/>
  <sheetViews>
    <sheetView workbookViewId="0"/>
  </sheetViews>
  <sheetFormatPr defaultRowHeight="13.5"/>
  <cols>
    <col min="1" max="1" width="36.125" customWidth="1"/>
    <col min="2" max="2" width="18.25" customWidth="1"/>
    <col min="3" max="3" width="10.5625" customWidth="1"/>
    <col min="4" max="4" width="19.3125" customWidth="1"/>
    <col min="5" max="5" width="28.75" customWidth="1"/>
    <col min="6" max="6" width="27.6875" customWidth="1"/>
    <col min="7" max="7" width="15.125" customWidth="1"/>
    <col min="8" max="8" width="52.5625" customWidth="1"/>
    <col min="9" max="26" width="10.5625" customWidth="1"/>
  </cols>
  <sheetData>
    <row r="1" spans="1:26" ht="20" customHeight="1">
      <c r="A1" s="31" t="s">
        <v>87</v>
      </c>
      <c r="B1" s="31"/>
      <c r="C1" s="31"/>
      <c r="D1" s="31"/>
      <c r="E1" s="31"/>
      <c r="F1" s="31"/>
      <c r="G1" s="31"/>
      <c r="H1" s="3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>
      <c r="A2" s="33" t="s">
        <v>189</v>
      </c>
      <c r="B2" s="33"/>
      <c r="C2" s="34"/>
      <c r="D2" s="34"/>
      <c r="E2" s="34"/>
      <c r="F2" s="34"/>
      <c r="G2" s="34"/>
      <c r="H2" s="3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4" t="s">
        <v>2</v>
      </c>
      <c r="B3" s="9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>
      <c r="A4" s="6" t="s">
        <v>88</v>
      </c>
      <c r="B4" s="28">
        <f>IFERROR(INDEX(Расчет!$A$4:$A$63,Оценка_тренда!$B$3),"")</f>
        <v>46266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>
      <c r="A5" s="10" t="s">
        <v>89</v>
      </c>
      <c r="B5" s="24">
        <f>IFERROR(INDEX(Расчет!$K$4:$K$63,Оценка_тренда!$B$3),"")</f>
        <v>1.0051612916396897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>
      <c r="A6" s="6" t="s">
        <v>20</v>
      </c>
      <c r="B6" s="24" t="str">
        <f>IFERROR(INDEX(Расчет!$L$4:$L$63,Оценка_тренда!$B$3),"")</f>
        <v>норма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>
      <c r="A7" s="6" t="s">
        <v>90</v>
      </c>
      <c r="B7" s="24">
        <f>MIN(Расчет!$K$4:$K$63)</f>
        <v>0.87820575902284759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6" t="s">
        <v>91</v>
      </c>
      <c r="B8" s="24">
        <f>MAX(Расчет!$K$4:$K$63)</f>
        <v>1.2957388403120769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10" t="s">
        <v>92</v>
      </c>
      <c r="B9" s="24">
        <f>B8-B7</f>
        <v>0.41753308128922928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>
      <c r="A10" s="4" t="s">
        <v>25</v>
      </c>
      <c r="B10" s="4" t="s">
        <v>35</v>
      </c>
      <c r="C10" s="5" t="s">
        <v>7</v>
      </c>
      <c r="D10" s="4" t="s">
        <v>43</v>
      </c>
      <c r="E10" s="4" t="s">
        <v>37</v>
      </c>
      <c r="F10" s="5" t="s">
        <v>38</v>
      </c>
      <c r="G10" s="5" t="s">
        <v>93</v>
      </c>
      <c r="H10" s="9" t="s">
        <v>94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18">
        <f>Расчет!A4</f>
        <v>44470</v>
      </c>
      <c r="B11" s="24">
        <f>Расчет!G4</f>
        <v>25.327060133630287</v>
      </c>
      <c r="C11" s="3" t="str">
        <f>Расчет!H4</f>
        <v/>
      </c>
      <c r="D11" s="16">
        <f>IFERROR(VLOOKUP(Расчет!B4,Сезонность!$A$3:$D$14,4,FALSE),"")</f>
        <v>1.0776509001470103</v>
      </c>
      <c r="E11" s="24">
        <f>Расчет!J4</f>
        <v>23.50210084747782</v>
      </c>
      <c r="F11" s="3" t="str">
        <f>Расчет!K4</f>
        <v/>
      </c>
      <c r="G11" s="2" t="str">
        <f>Расчет!L4</f>
        <v/>
      </c>
      <c r="H11" s="15" t="str">
        <f t="shared" ref="H11:H21" si="0">IF(B11="","","окно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>
      <c r="A12" s="18">
        <f>Расчет!A5</f>
        <v>44501</v>
      </c>
      <c r="B12" s="24">
        <f>Расчет!G5</f>
        <v>34.04775055679287</v>
      </c>
      <c r="C12" s="3" t="str">
        <f>Расчет!H5</f>
        <v/>
      </c>
      <c r="D12" s="16">
        <f>IFERROR(VLOOKUP(Расчет!B5,Сезонность!$A$3:$D$14,4,FALSE),"")</f>
        <v>1.1653813292111219</v>
      </c>
      <c r="E12" s="24">
        <f>Расчет!J5</f>
        <v>29.215973950638723</v>
      </c>
      <c r="F12" s="3" t="str">
        <f>Расчет!K5</f>
        <v/>
      </c>
      <c r="G12" s="2" t="str">
        <f>Расчет!L5</f>
        <v/>
      </c>
      <c r="H12" s="15" t="str">
        <f t="shared" si="0"/>
        <v>окно 12 мес. не накоплено, период входит в расчет сезонности после 12-го месяца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5">
      <c r="A13" s="18">
        <f>Расчет!A6</f>
        <v>44531</v>
      </c>
      <c r="B13" s="24">
        <f>Расчет!G6</f>
        <v>37.559710467706012</v>
      </c>
      <c r="C13" s="3" t="str">
        <f>Расчет!H6</f>
        <v/>
      </c>
      <c r="D13" s="16">
        <f>IFERROR(VLOOKUP(Расчет!B6,Сезонность!$A$3:$D$14,4,FALSE),"")</f>
        <v>1.2693543824166156</v>
      </c>
      <c r="E13" s="24">
        <f>Расчет!J6</f>
        <v>29.589617358234729</v>
      </c>
      <c r="F13" s="3" t="str">
        <f>Расчет!K6</f>
        <v/>
      </c>
      <c r="G13" s="2" t="str">
        <f>Расчет!L6</f>
        <v/>
      </c>
      <c r="H13" s="15" t="str">
        <f t="shared" si="0"/>
        <v>окно 12 мес. не накоплено, период входит в расчет сезонности после 12-го месяца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8">
        <f>Расчет!A7</f>
        <v>44562</v>
      </c>
      <c r="B14" s="24">
        <f>Расчет!G7</f>
        <v>28.058240534521161</v>
      </c>
      <c r="C14" s="3" t="str">
        <f>Расчет!H7</f>
        <v/>
      </c>
      <c r="D14" s="16">
        <f>IFERROR(VLOOKUP(Расчет!B7,Сезонность!$A$3:$D$14,4,FALSE),"")</f>
        <v>0.90669208142488567</v>
      </c>
      <c r="E14" s="24">
        <f>Расчет!J7</f>
        <v>30.945721385839221</v>
      </c>
      <c r="F14" s="3" t="str">
        <f>Расчет!K7</f>
        <v/>
      </c>
      <c r="G14" s="2" t="str">
        <f>Расчет!L7</f>
        <v/>
      </c>
      <c r="H14" s="15" t="str">
        <f t="shared" si="0"/>
        <v>окно 12 мес. не накоплено, период входит в расчет сезонности после 12-го месяца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>
      <c r="A15" s="18">
        <f>Расчет!A8</f>
        <v>44593</v>
      </c>
      <c r="B15" s="24">
        <f>Расчет!G8</f>
        <v>30.512939866369713</v>
      </c>
      <c r="C15" s="3" t="str">
        <f>Расчет!H8</f>
        <v/>
      </c>
      <c r="D15" s="16">
        <f>IFERROR(VLOOKUP(Расчет!B8,Сезонность!$A$3:$D$14,4,FALSE),"")</f>
        <v>0.91219205461276331</v>
      </c>
      <c r="E15" s="24">
        <f>Расчет!J8</f>
        <v>33.450126771080932</v>
      </c>
      <c r="F15" s="3" t="str">
        <f>Расчет!K8</f>
        <v/>
      </c>
      <c r="G15" s="2" t="str">
        <f>Расчет!L8</f>
        <v/>
      </c>
      <c r="H15" s="15" t="str">
        <f t="shared" si="0"/>
        <v>окно 12 мес. не накоплено, период входит в расчет сезонности после 12-го месяца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.5">
      <c r="A16" s="18">
        <f>Расчет!A9</f>
        <v>44621</v>
      </c>
      <c r="B16" s="24">
        <f>Расчет!G9</f>
        <v>35.161046770601331</v>
      </c>
      <c r="C16" s="3" t="str">
        <f>Расчет!H9</f>
        <v/>
      </c>
      <c r="D16" s="16">
        <f>IFERROR(VLOOKUP(Расчет!B9,Сезонность!$A$3:$D$14,4,FALSE),"")</f>
        <v>1.0334014638714697</v>
      </c>
      <c r="E16" s="24">
        <f>Расчет!J9</f>
        <v>34.024576120568106</v>
      </c>
      <c r="F16" s="3" t="str">
        <f>Расчет!K9</f>
        <v/>
      </c>
      <c r="G16" s="2" t="str">
        <f>Расчет!L9</f>
        <v/>
      </c>
      <c r="H16" s="15" t="str">
        <f t="shared" si="0"/>
        <v>окно 12 мес. не накоплено, период входит в расчет сезонности после 12-го месяца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5">
      <c r="A17" s="18">
        <f>Расчет!A10</f>
        <v>44652</v>
      </c>
      <c r="B17" s="24">
        <f>Расчет!G10</f>
        <v>31.795233853006685</v>
      </c>
      <c r="C17" s="3" t="str">
        <f>Расчет!H10</f>
        <v/>
      </c>
      <c r="D17" s="16">
        <f>IFERROR(VLOOKUP(Расчет!B10,Сезонность!$A$3:$D$14,4,FALSE),"")</f>
        <v>1.1244592934574016</v>
      </c>
      <c r="E17" s="24">
        <f>Расчет!J10</f>
        <v>28.276020339736025</v>
      </c>
      <c r="F17" s="3" t="str">
        <f>Расчет!K10</f>
        <v/>
      </c>
      <c r="G17" s="2" t="str">
        <f>Расчет!L10</f>
        <v/>
      </c>
      <c r="H17" s="15" t="str">
        <f t="shared" si="0"/>
        <v>окно 12 мес. не накоплено, период входит в расчет сезонности после 12-го месяца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5">
      <c r="A18" s="18">
        <f>Расчет!A11</f>
        <v>44682</v>
      </c>
      <c r="B18" s="24">
        <f>Расчет!G11</f>
        <v>30.015812917594655</v>
      </c>
      <c r="C18" s="3" t="str">
        <f>Расчет!H11</f>
        <v/>
      </c>
      <c r="D18" s="16">
        <f>IFERROR(VLOOKUP(Расчет!B11,Сезонность!$A$3:$D$14,4,FALSE),"")</f>
        <v>1.1037382842477403</v>
      </c>
      <c r="E18" s="24">
        <f>Расчет!J11</f>
        <v>27.194683147239129</v>
      </c>
      <c r="F18" s="3" t="str">
        <f>Расчет!K11</f>
        <v/>
      </c>
      <c r="G18" s="2" t="str">
        <f>Расчет!L11</f>
        <v/>
      </c>
      <c r="H18" s="15" t="str">
        <f t="shared" si="0"/>
        <v>окно 12 мес. не накоплено, период входит в расчет сезонности после 12-го месяца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.5">
      <c r="A19" s="18">
        <f>Расчет!A12</f>
        <v>44713</v>
      </c>
      <c r="B19" s="24">
        <f>Расчет!G12</f>
        <v>27.699198218262804</v>
      </c>
      <c r="C19" s="3" t="str">
        <f>Расчет!H12</f>
        <v/>
      </c>
      <c r="D19" s="16">
        <f>IFERROR(VLOOKUP(Расчет!B12,Сезонность!$A$3:$D$14,4,FALSE),"")</f>
        <v>1.0526093220810981</v>
      </c>
      <c r="E19" s="24">
        <f>Расчет!J12</f>
        <v>26.314794707973071</v>
      </c>
      <c r="F19" s="3" t="str">
        <f>Расчет!K12</f>
        <v/>
      </c>
      <c r="G19" s="2" t="str">
        <f>Расчет!L12</f>
        <v/>
      </c>
      <c r="H19" s="15" t="str">
        <f t="shared" si="0"/>
        <v>окно 12 мес. не накоплено, период входит в расчет сезонности после 12-го месяца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.5">
      <c r="A20" s="18">
        <f>Расчет!A13</f>
        <v>44743</v>
      </c>
      <c r="B20" s="24">
        <f>Расчет!G13</f>
        <v>19.455790645879734</v>
      </c>
      <c r="C20" s="3" t="str">
        <f>Расчет!H13</f>
        <v/>
      </c>
      <c r="D20" s="16">
        <f>IFERROR(VLOOKUP(Расчет!B13,Сезонность!$A$3:$D$14,4,FALSE),"")</f>
        <v>0.71531247695706202</v>
      </c>
      <c r="E20" s="24">
        <f>Расчет!J13</f>
        <v>27.199009205941202</v>
      </c>
      <c r="F20" s="3" t="str">
        <f>Расчет!K13</f>
        <v/>
      </c>
      <c r="G20" s="2" t="str">
        <f>Расчет!L13</f>
        <v/>
      </c>
      <c r="H20" s="15" t="str">
        <f t="shared" si="0"/>
        <v>окно 12 мес. не накоплено, период входит в расчет сезонности после 12-го месяца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.5">
      <c r="A21" s="18">
        <f>Расчет!A14</f>
        <v>44774</v>
      </c>
      <c r="B21" s="24">
        <f>Расчет!G14</f>
        <v>21.71672605790646</v>
      </c>
      <c r="C21" s="3" t="str">
        <f>Расчет!H14</f>
        <v/>
      </c>
      <c r="D21" s="16">
        <f>IFERROR(VLOOKUP(Расчет!B14,Сезонность!$A$3:$D$14,4,FALSE),"")</f>
        <v>0.72390754602754104</v>
      </c>
      <c r="E21" s="24">
        <f>Расчет!J14</f>
        <v>29.999308857985366</v>
      </c>
      <c r="F21" s="3" t="str">
        <f>Расчет!K14</f>
        <v/>
      </c>
      <c r="G21" s="2" t="str">
        <f>Расчет!L14</f>
        <v/>
      </c>
      <c r="H21" s="15" t="str">
        <f t="shared" si="0"/>
        <v>окно 12 мес. не накоплено, период входит в расчет сезонности после 12-го месяца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>
      <c r="A22" s="18">
        <f>Расчет!A15</f>
        <v>44805</v>
      </c>
      <c r="B22" s="16">
        <f>Расчет!G15</f>
        <v>26.897550111358576</v>
      </c>
      <c r="C22" s="16">
        <f>Расчет!H15</f>
        <v>29.020588344469189</v>
      </c>
      <c r="D22" s="16">
        <f>IFERROR(VLOOKUP(Расчет!B15,Сезонность!$A$3:$D$14,4,FALSE),"")</f>
        <v>0.91530086554528789</v>
      </c>
      <c r="E22" s="16">
        <f>Расчет!J15</f>
        <v>29.386566891679315</v>
      </c>
      <c r="F22" s="16">
        <f>Расчет!K15</f>
        <v>1.0126109968159855</v>
      </c>
      <c r="G22" s="6" t="str">
        <f>Расчет!L15</f>
        <v>норма</v>
      </c>
      <c r="H22" s="11" t="str">
        <f t="shared" ref="H22:H42" si="1"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>обычный режим анализа спроса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>
      <c r="A23" s="18">
        <f>Расчет!A16</f>
        <v>44835</v>
      </c>
      <c r="B23" s="16">
        <f>Расчет!G16</f>
        <v>29.452227171492204</v>
      </c>
      <c r="C23" s="16">
        <f>Расчет!H16</f>
        <v>29.364352264291014</v>
      </c>
      <c r="D23" s="16">
        <f>IFERROR(VLOOKUP(Расчет!B16,Сезонность!$A$3:$D$14,4,FALSE),"")</f>
        <v>1.0776509001470103</v>
      </c>
      <c r="E23" s="16">
        <f>Расчет!J16</f>
        <v>27.330026047836466</v>
      </c>
      <c r="F23" s="16">
        <f>Расчет!K16</f>
        <v>0.93072122966838189</v>
      </c>
      <c r="G23" s="6" t="str">
        <f>Расчет!L16</f>
        <v>норма</v>
      </c>
      <c r="H23" s="11" t="str">
        <f t="shared" si="1"/>
        <v>обычный режим анализа спроса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>
      <c r="A24" s="18">
        <f>Расчет!A17</f>
        <v>44866</v>
      </c>
      <c r="B24" s="16">
        <f>Расчет!G17</f>
        <v>35.178307349665921</v>
      </c>
      <c r="C24" s="16">
        <f>Расчет!H17</f>
        <v>29.458565330363772</v>
      </c>
      <c r="D24" s="16">
        <f>IFERROR(VLOOKUP(Расчет!B17,Сезонность!$A$3:$D$14,4,FALSE),"")</f>
        <v>1.1653813292111219</v>
      </c>
      <c r="E24" s="16">
        <f>Расчет!J17</f>
        <v>30.186091425953311</v>
      </c>
      <c r="F24" s="16">
        <f>Расчет!K17</f>
        <v>1.0246965895124451</v>
      </c>
      <c r="G24" s="6" t="str">
        <f>Расчет!L17</f>
        <v>норма</v>
      </c>
      <c r="H24" s="11" t="str">
        <f t="shared" si="1"/>
        <v>обычный режим анализа спроса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>
      <c r="A25" s="18">
        <f>Расчет!A18</f>
        <v>44896</v>
      </c>
      <c r="B25" s="16">
        <f>Расчет!G18</f>
        <v>40.829198218262803</v>
      </c>
      <c r="C25" s="16">
        <f>Расчет!H18</f>
        <v>29.731022642910176</v>
      </c>
      <c r="D25" s="16">
        <f>IFERROR(VLOOKUP(Расчет!B18,Сезонность!$A$3:$D$14,4,FALSE),"")</f>
        <v>1.2693543824166156</v>
      </c>
      <c r="E25" s="16">
        <f>Расчет!J18</f>
        <v>32.165326550125094</v>
      </c>
      <c r="F25" s="16">
        <f>Расчет!K18</f>
        <v>1.0818775706591921</v>
      </c>
      <c r="G25" s="6" t="str">
        <f>Расчет!L18</f>
        <v>норма</v>
      </c>
      <c r="H25" s="11" t="str">
        <f t="shared" si="1"/>
        <v>обычный режим анализа спроса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>
      <c r="A26" s="18">
        <f>Расчет!A19</f>
        <v>44927</v>
      </c>
      <c r="B26" s="16">
        <f>Расчет!G19</f>
        <v>31.297327394209354</v>
      </c>
      <c r="C26" s="16">
        <f>Расчет!H19</f>
        <v>30.000946547884194</v>
      </c>
      <c r="D26" s="16">
        <f>IFERROR(VLOOKUP(Расчет!B19,Сезонность!$A$3:$D$14,4,FALSE),"")</f>
        <v>0.90669208142488567</v>
      </c>
      <c r="E26" s="16">
        <f>Расчет!J19</f>
        <v>34.518143519048877</v>
      </c>
      <c r="F26" s="16">
        <f>Расчет!K19</f>
        <v>1.1505684816962303</v>
      </c>
      <c r="G26" s="6" t="str">
        <f>Расчет!L19</f>
        <v>выше тренда</v>
      </c>
      <c r="H26" s="15" t="str">
        <f t="shared" si="1"/>
        <v>период активизации продвижения и продаж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>
      <c r="A27" s="18">
        <f>Расчет!A20</f>
        <v>44958</v>
      </c>
      <c r="B27" s="16">
        <f>Расчет!G20</f>
        <v>27.824476614699332</v>
      </c>
      <c r="C27" s="16">
        <f>Расчет!H20</f>
        <v>29.776907943578326</v>
      </c>
      <c r="D27" s="16">
        <f>IFERROR(VLOOKUP(Расчет!B20,Сезонность!$A$3:$D$14,4,FALSE),"")</f>
        <v>0.91219205461276331</v>
      </c>
      <c r="E27" s="16">
        <f>Расчет!J20</f>
        <v>30.502871050012779</v>
      </c>
      <c r="F27" s="16">
        <f>Расчет!K20</f>
        <v>1.0243800702144767</v>
      </c>
      <c r="G27" s="6" t="str">
        <f>Расчет!L20</f>
        <v>норма</v>
      </c>
      <c r="H27" s="11" t="str">
        <f t="shared" si="1"/>
        <v>обычный режим анализа спроса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>
      <c r="A28" s="18">
        <f>Расчет!A21</f>
        <v>44986</v>
      </c>
      <c r="B28" s="16">
        <f>Расчет!G21</f>
        <v>34.249164810690424</v>
      </c>
      <c r="C28" s="16">
        <f>Расчет!H21</f>
        <v>29.700917780252414</v>
      </c>
      <c r="D28" s="16">
        <f>IFERROR(VLOOKUP(Расчет!B21,Сезонность!$A$3:$D$14,4,FALSE),"")</f>
        <v>1.0334014638714697</v>
      </c>
      <c r="E28" s="16">
        <f>Расчет!J21</f>
        <v>33.142167887377987</v>
      </c>
      <c r="F28" s="16">
        <f>Расчет!K21</f>
        <v>1.1158634265980021</v>
      </c>
      <c r="G28" s="6" t="str">
        <f>Расчет!L21</f>
        <v>выше тренда</v>
      </c>
      <c r="H28" s="15" t="str">
        <f t="shared" si="1"/>
        <v>период активизации продвижения и продаж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>
      <c r="A29" s="18">
        <f>Расчет!A22</f>
        <v>45017</v>
      </c>
      <c r="B29" s="16">
        <f>Расчет!G22</f>
        <v>33.671937639198219</v>
      </c>
      <c r="C29" s="16">
        <f>Расчет!H22</f>
        <v>29.85730976243504</v>
      </c>
      <c r="D29" s="16">
        <f>IFERROR(VLOOKUP(Расчет!B22,Сезонность!$A$3:$D$14,4,FALSE),"")</f>
        <v>1.1244592934574016</v>
      </c>
      <c r="E29" s="16">
        <f>Расчет!J22</f>
        <v>29.945003643187754</v>
      </c>
      <c r="F29" s="16">
        <f>Расчет!K22</f>
        <v>1.0029370992045321</v>
      </c>
      <c r="G29" s="6" t="str">
        <f>Расчет!L22</f>
        <v>норма</v>
      </c>
      <c r="H29" s="11" t="str">
        <f t="shared" si="1"/>
        <v>обычный режим анализа спроса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>
      <c r="A30" s="18">
        <f>Расчет!A23</f>
        <v>45047</v>
      </c>
      <c r="B30" s="16">
        <f>Расчет!G23</f>
        <v>34.681236080178174</v>
      </c>
      <c r="C30" s="16">
        <f>Расчет!H23</f>
        <v>30.246095025983667</v>
      </c>
      <c r="D30" s="16">
        <f>IFERROR(VLOOKUP(Расчет!B23,Сезонность!$A$3:$D$14,4,FALSE),"")</f>
        <v>1.1037382842477403</v>
      </c>
      <c r="E30" s="16">
        <f>Расчет!J23</f>
        <v>31.421611966477528</v>
      </c>
      <c r="F30" s="16">
        <f>Расчет!K23</f>
        <v>1.0388650812438434</v>
      </c>
      <c r="G30" s="6" t="str">
        <f>Расчет!L23</f>
        <v>норма</v>
      </c>
      <c r="H30" s="11" t="str">
        <f t="shared" si="1"/>
        <v>обычный режим анализа спроса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>
      <c r="A31" s="18">
        <f>Расчет!A24</f>
        <v>45078</v>
      </c>
      <c r="B31" s="16">
        <f>Расчет!G24</f>
        <v>30.518095768374163</v>
      </c>
      <c r="C31" s="16">
        <f>Расчет!H24</f>
        <v>30.481003155159616</v>
      </c>
      <c r="D31" s="16">
        <f>IFERROR(VLOOKUP(Расчет!B24,Сезонность!$A$3:$D$14,4,FALSE),"")</f>
        <v>1.0526093220810981</v>
      </c>
      <c r="E31" s="16">
        <f>Расчет!J24</f>
        <v>28.992804004468905</v>
      </c>
      <c r="F31" s="16">
        <f>Расчет!K24</f>
        <v>0.95117617543244148</v>
      </c>
      <c r="G31" s="6" t="str">
        <f>Расчет!L24</f>
        <v>норма</v>
      </c>
      <c r="H31" s="11" t="str">
        <f t="shared" si="1"/>
        <v>обычный режим анализа спроса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>
      <c r="A32" s="18">
        <f>Расчет!A25</f>
        <v>45108</v>
      </c>
      <c r="B32" s="16">
        <f>Расчет!G25</f>
        <v>27.886080178173717</v>
      </c>
      <c r="C32" s="16">
        <f>Расчет!H25</f>
        <v>31.183527282850775</v>
      </c>
      <c r="D32" s="16">
        <f>IFERROR(VLOOKUP(Расчет!B25,Сезонность!$A$3:$D$14,4,FALSE),"")</f>
        <v>0.71531247695706202</v>
      </c>
      <c r="E32" s="16">
        <f>Расчет!J25</f>
        <v>38.984473326679627</v>
      </c>
      <c r="F32" s="16">
        <f>Расчет!K25</f>
        <v>1.2501624005863807</v>
      </c>
      <c r="G32" s="6" t="str">
        <f>Расчет!L25</f>
        <v>выше тренда</v>
      </c>
      <c r="H32" s="15" t="str">
        <f t="shared" si="1"/>
        <v>период активизации продвижения и продаж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>
      <c r="A33" s="18">
        <f>Расчет!A26</f>
        <v>45139</v>
      </c>
      <c r="B33" s="16">
        <f>Расчет!G26</f>
        <v>29.888775055679286</v>
      </c>
      <c r="C33" s="16">
        <f>Расчет!H26</f>
        <v>31.864531365998513</v>
      </c>
      <c r="D33" s="16">
        <f>IFERROR(VLOOKUP(Расчет!B26,Сезонность!$A$3:$D$14,4,FALSE),"")</f>
        <v>0.72390754602754104</v>
      </c>
      <c r="E33" s="16">
        <f>Расчет!J26</f>
        <v>41.288110919266714</v>
      </c>
      <c r="F33" s="16">
        <f>Расчет!K26</f>
        <v>1.2957388403120769</v>
      </c>
      <c r="G33" s="6" t="str">
        <f>Расчет!L26</f>
        <v>выше тренда</v>
      </c>
      <c r="H33" s="15" t="str">
        <f t="shared" si="1"/>
        <v>период активизации продвижения и продаж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>
      <c r="A34" s="18">
        <f>Расчет!A27</f>
        <v>45170</v>
      </c>
      <c r="B34" s="16">
        <f>Расчет!G27</f>
        <v>38.126525612472157</v>
      </c>
      <c r="C34" s="16">
        <f>Расчет!H27</f>
        <v>32.800279324424643</v>
      </c>
      <c r="D34" s="16">
        <f>IFERROR(VLOOKUP(Расчет!B27,Сезонность!$A$3:$D$14,4,FALSE),"")</f>
        <v>0.91530086554528789</v>
      </c>
      <c r="E34" s="16">
        <f>Расчет!J27</f>
        <v>41.65463734130568</v>
      </c>
      <c r="F34" s="16">
        <f>Расчет!K27</f>
        <v>1.2699476406680372</v>
      </c>
      <c r="G34" s="6" t="str">
        <f>Расчет!L27</f>
        <v>выше тренда</v>
      </c>
      <c r="H34" s="15" t="str">
        <f t="shared" si="1"/>
        <v>период активизации продвижения и продаж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>
      <c r="A35" s="18">
        <f>Расчет!A28</f>
        <v>45200</v>
      </c>
      <c r="B35" s="16">
        <f>Расчет!G28</f>
        <v>41.395434298440982</v>
      </c>
      <c r="C35" s="16">
        <f>Расчет!H28</f>
        <v>33.795546585003713</v>
      </c>
      <c r="D35" s="16">
        <f>IFERROR(VLOOKUP(Расчет!B28,Сезонность!$A$3:$D$14,4,FALSE),"")</f>
        <v>1.0776509001470103</v>
      </c>
      <c r="E35" s="16">
        <f>Расчет!J28</f>
        <v>38.412656912172508</v>
      </c>
      <c r="F35" s="16">
        <f>Расчет!K28</f>
        <v>1.1366188978644178</v>
      </c>
      <c r="G35" s="6" t="str">
        <f>Расчет!L28</f>
        <v>выше тренда</v>
      </c>
      <c r="H35" s="15" t="str">
        <f t="shared" si="1"/>
        <v>период активизации продвижения и продаж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>
      <c r="A36" s="18">
        <f>Расчет!A29</f>
        <v>45231</v>
      </c>
      <c r="B36" s="16">
        <f>Расчет!G29</f>
        <v>40.709354120267257</v>
      </c>
      <c r="C36" s="16">
        <f>Расчет!H29</f>
        <v>34.256467149220491</v>
      </c>
      <c r="D36" s="16">
        <f>IFERROR(VLOOKUP(Расчет!B29,Сезонность!$A$3:$D$14,4,FALSE),"")</f>
        <v>1.1653813292111219</v>
      </c>
      <c r="E36" s="16">
        <f>Расчет!J29</f>
        <v>34.93221754961916</v>
      </c>
      <c r="F36" s="16">
        <f>Расчет!K29</f>
        <v>1.0197262139570644</v>
      </c>
      <c r="G36" s="6" t="str">
        <f>Расчет!L29</f>
        <v>норма</v>
      </c>
      <c r="H36" s="11" t="str">
        <f t="shared" si="1"/>
        <v>обычный режим анализа спроса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>
      <c r="A37" s="18">
        <f>Расчет!A30</f>
        <v>45261</v>
      </c>
      <c r="B37" s="16">
        <f>Расчет!G30</f>
        <v>39.083853006681515</v>
      </c>
      <c r="C37" s="16">
        <f>Расчет!H30</f>
        <v>34.111021714922053</v>
      </c>
      <c r="D37" s="16">
        <f>IFERROR(VLOOKUP(Расчет!B30,Сезонность!$A$3:$D$14,4,FALSE),"")</f>
        <v>1.2693543824166156</v>
      </c>
      <c r="E37" s="16">
        <f>Расчет!J30</f>
        <v>30.790339993369781</v>
      </c>
      <c r="F37" s="16">
        <f>Расчет!K30</f>
        <v>0.90265076932305366</v>
      </c>
      <c r="G37" s="6" t="str">
        <f>Расчет!L30</f>
        <v>норма</v>
      </c>
      <c r="H37" s="11" t="str">
        <f t="shared" si="1"/>
        <v>обычный режим анализа спроса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>
      <c r="A38" s="18">
        <f>Расчет!A31</f>
        <v>45292</v>
      </c>
      <c r="B38" s="16">
        <f>Расчет!G31</f>
        <v>31.158407572383073</v>
      </c>
      <c r="C38" s="16">
        <f>Расчет!H31</f>
        <v>34.099445063103197</v>
      </c>
      <c r="D38" s="16">
        <f>IFERROR(VLOOKUP(Расчет!B31,Сезонность!$A$3:$D$14,4,FALSE),"")</f>
        <v>0.90669208142488567</v>
      </c>
      <c r="E38" s="16">
        <f>Расчет!J31</f>
        <v>34.36492742212657</v>
      </c>
      <c r="F38" s="16">
        <f>Расчет!K31</f>
        <v>1.0077855331232541</v>
      </c>
      <c r="G38" s="6" t="str">
        <f>Расчет!L31</f>
        <v>норма</v>
      </c>
      <c r="H38" s="11" t="str">
        <f t="shared" si="1"/>
        <v>обычный режим анализа спроса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>
      <c r="A39" s="18">
        <f>Расчет!A32</f>
        <v>45323</v>
      </c>
      <c r="B39" s="16">
        <f>Расчет!G32</f>
        <v>30.583652561247217</v>
      </c>
      <c r="C39" s="16">
        <f>Расчет!H32</f>
        <v>34.329376391982187</v>
      </c>
      <c r="D39" s="16">
        <f>IFERROR(VLOOKUP(Расчет!B32,Сезонность!$A$3:$D$14,4,FALSE),"")</f>
        <v>0.91219205461276331</v>
      </c>
      <c r="E39" s="16">
        <f>Расчет!J32</f>
        <v>33.527646296185239</v>
      </c>
      <c r="F39" s="16">
        <f>Расчет!K32</f>
        <v>0.97664594641503022</v>
      </c>
      <c r="G39" s="6" t="str">
        <f>Расчет!L32</f>
        <v>норма</v>
      </c>
      <c r="H39" s="11" t="str">
        <f t="shared" si="1"/>
        <v>обычный режим анализа спроса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>
      <c r="A40" s="18">
        <f>Расчет!A33</f>
        <v>45352</v>
      </c>
      <c r="B40" s="16">
        <f>Расчет!G33</f>
        <v>35.991759465478843</v>
      </c>
      <c r="C40" s="16">
        <f>Расчет!H33</f>
        <v>34.474592613214547</v>
      </c>
      <c r="D40" s="16">
        <f>IFERROR(VLOOKUP(Расчет!B33,Сезонность!$A$3:$D$14,4,FALSE),"")</f>
        <v>1.0334014638714697</v>
      </c>
      <c r="E40" s="16">
        <f>Расчет!J33</f>
        <v>34.828438630850783</v>
      </c>
      <c r="F40" s="16">
        <f>Расчет!K33</f>
        <v>1.0102639651643224</v>
      </c>
      <c r="G40" s="6" t="str">
        <f>Расчет!L33</f>
        <v>норма</v>
      </c>
      <c r="H40" s="11" t="str">
        <f t="shared" si="1"/>
        <v>обычный режим анализа спроса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>
      <c r="A41" s="18">
        <f>Расчет!A34</f>
        <v>45383</v>
      </c>
      <c r="B41" s="16">
        <f>Расчет!G34</f>
        <v>35.040924276169264</v>
      </c>
      <c r="C41" s="16">
        <f>Расчет!H34</f>
        <v>34.588674832962134</v>
      </c>
      <c r="D41" s="16">
        <f>IFERROR(VLOOKUP(Расчет!B34,Сезонность!$A$3:$D$14,4,FALSE),"")</f>
        <v>1.1244592934574016</v>
      </c>
      <c r="E41" s="16">
        <f>Расчет!J34</f>
        <v>31.162465800276419</v>
      </c>
      <c r="F41" s="16">
        <f>Расчет!K34</f>
        <v>0.90094419490680744</v>
      </c>
      <c r="G41" s="6" t="str">
        <f>Расчет!L34</f>
        <v>норма</v>
      </c>
      <c r="H41" s="11" t="str">
        <f t="shared" si="1"/>
        <v>обычный режим анализа спроса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>
      <c r="A42" s="18">
        <f>Расчет!A35</f>
        <v>45413</v>
      </c>
      <c r="B42" s="16">
        <f>Расчет!G35</f>
        <v>36.805256124721602</v>
      </c>
      <c r="C42" s="16">
        <f>Расчет!H35</f>
        <v>34.765676503340757</v>
      </c>
      <c r="D42" s="16">
        <f>IFERROR(VLOOKUP(Расчет!B35,Сезонность!$A$3:$D$14,4,FALSE),"")</f>
        <v>1.1037382842477403</v>
      </c>
      <c r="E42" s="16">
        <f>Расчет!J35</f>
        <v>33.345999364157649</v>
      </c>
      <c r="F42" s="16">
        <f>Расчет!K35</f>
        <v>0.95916440345848908</v>
      </c>
      <c r="G42" s="6" t="str">
        <f>Расчет!L35</f>
        <v>норма</v>
      </c>
      <c r="H42" s="11" t="str">
        <f t="shared" si="1"/>
        <v>обычный режим анализа спроса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>
      <c r="A43" s="18">
        <f>Расчет!A36</f>
        <v>45444</v>
      </c>
      <c r="B43" s="16">
        <f>Расчет!G36</f>
        <v>32.272828507795097</v>
      </c>
      <c r="C43" s="16">
        <f>Расчет!H36</f>
        <v>34.911904231625833</v>
      </c>
      <c r="D43" s="16">
        <f>IFERROR(VLOOKUP(Расчет!B36,Сезонность!$A$3:$D$14,4,FALSE),"")</f>
        <v>1.0526093220810981</v>
      </c>
      <c r="E43" s="16">
        <f>Расчет!J36</f>
        <v>30.659835354667933</v>
      </c>
      <c r="F43" s="16">
        <f>Расчет!K36</f>
        <v>0.87820575902284759</v>
      </c>
      <c r="G43" s="6" t="str">
        <f>Расчет!L36</f>
        <v>ниже тренда</v>
      </c>
      <c r="H43" s="15" t="str">
        <f t="shared" ref="H43:H70" si="2"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>период осторожного планирования продаж и бюджета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>
      <c r="A44" s="18">
        <f>Расчет!A37</f>
        <v>45474</v>
      </c>
      <c r="B44" s="16">
        <f>Расчет!G37</f>
        <v>23.205590200445435</v>
      </c>
      <c r="C44" s="16">
        <f>Расчет!H37</f>
        <v>34.521863400148483</v>
      </c>
      <c r="D44" s="16">
        <f>IFERROR(VLOOKUP(Расчет!B37,Сезонность!$A$3:$D$14,4,FALSE),"")</f>
        <v>0.71531247695706202</v>
      </c>
      <c r="E44" s="16">
        <f>Расчет!J37</f>
        <v>32.441193112081557</v>
      </c>
      <c r="F44" s="16">
        <f>Расчет!K37</f>
        <v>0.93972891138726933</v>
      </c>
      <c r="G44" s="6" t="str">
        <f>Расчет!L37</f>
        <v>норма</v>
      </c>
      <c r="H44" s="11" t="str">
        <f t="shared" si="2"/>
        <v>обычный режим анализа спроса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>
      <c r="A45" s="18">
        <f>Расчет!A38</f>
        <v>45505</v>
      </c>
      <c r="B45" s="16">
        <f>Расчет!G38</f>
        <v>22.945991091314031</v>
      </c>
      <c r="C45" s="16">
        <f>Расчет!H38</f>
        <v>33.94329806978471</v>
      </c>
      <c r="D45" s="16">
        <f>IFERROR(VLOOKUP(Расчет!B38,Сезонность!$A$3:$D$14,4,FALSE),"")</f>
        <v>0.72390754602754104</v>
      </c>
      <c r="E45" s="16">
        <f>Расчет!J38</f>
        <v>31.697405583393451</v>
      </c>
      <c r="F45" s="16">
        <f>Расчет!K38</f>
        <v>0.9338339933328258</v>
      </c>
      <c r="G45" s="6" t="str">
        <f>Расчет!L38</f>
        <v>норма</v>
      </c>
      <c r="H45" s="11" t="str">
        <f t="shared" si="2"/>
        <v>обычный режим анализа спроса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>
      <c r="A46" s="18">
        <f>Расчет!A39</f>
        <v>45536</v>
      </c>
      <c r="B46" s="16">
        <f>Расчет!G39</f>
        <v>28.100668151447664</v>
      </c>
      <c r="C46" s="16">
        <f>Расчет!H39</f>
        <v>33.107809948032674</v>
      </c>
      <c r="D46" s="16">
        <f>IFERROR(VLOOKUP(Расчет!B39,Сезонность!$A$3:$D$14,4,FALSE),"")</f>
        <v>0.91530086554528789</v>
      </c>
      <c r="E46" s="16">
        <f>Расчет!J39</f>
        <v>30.701017784689597</v>
      </c>
      <c r="F46" s="16">
        <f>Расчет!K39</f>
        <v>0.92730439835431955</v>
      </c>
      <c r="G46" s="6" t="str">
        <f>Расчет!L39</f>
        <v>норма</v>
      </c>
      <c r="H46" s="11" t="str">
        <f t="shared" si="2"/>
        <v>обычный режим анализа спроса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>
      <c r="A47" s="18">
        <f>Расчет!A40</f>
        <v>45566</v>
      </c>
      <c r="B47" s="16">
        <f>Расчет!G40</f>
        <v>41.040924276169264</v>
      </c>
      <c r="C47" s="16">
        <f>Расчет!H40</f>
        <v>33.078267446176696</v>
      </c>
      <c r="D47" s="16">
        <f>IFERROR(VLOOKUP(Расчет!B40,Сезонность!$A$3:$D$14,4,FALSE),"")</f>
        <v>1.0776509001470103</v>
      </c>
      <c r="E47" s="16">
        <f>Расчет!J40</f>
        <v>38.083691361061888</v>
      </c>
      <c r="F47" s="16">
        <f>Расчет!K40</f>
        <v>1.1513206192866592</v>
      </c>
      <c r="G47" s="6" t="str">
        <f>Расчет!L40</f>
        <v>выше тренда</v>
      </c>
      <c r="H47" s="15" t="str">
        <f t="shared" si="2"/>
        <v>период активизации продвижения и продаж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>
      <c r="A48" s="18">
        <f>Расчет!A41</f>
        <v>45597</v>
      </c>
      <c r="B48" s="16">
        <f>Расчет!G41</f>
        <v>39.390734966592426</v>
      </c>
      <c r="C48" s="16">
        <f>Расчет!H41</f>
        <v>32.968382516703791</v>
      </c>
      <c r="D48" s="16">
        <f>IFERROR(VLOOKUP(Расчет!B41,Сезонность!$A$3:$D$14,4,FALSE),"")</f>
        <v>1.1653813292111219</v>
      </c>
      <c r="E48" s="16">
        <f>Расчет!J41</f>
        <v>33.800725976326632</v>
      </c>
      <c r="F48" s="16">
        <f>Расчет!K41</f>
        <v>1.0252467181003231</v>
      </c>
      <c r="G48" s="6" t="str">
        <f>Расчет!L41</f>
        <v>норма</v>
      </c>
      <c r="H48" s="11" t="str">
        <f t="shared" si="2"/>
        <v>обычный режим анализа спроса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>
      <c r="A49" s="18">
        <f>Расчет!A42</f>
        <v>45627</v>
      </c>
      <c r="B49" s="16">
        <f>Расчет!G42</f>
        <v>53.3</v>
      </c>
      <c r="C49" s="16">
        <f>Расчет!H42</f>
        <v>34.153061432813665</v>
      </c>
      <c r="D49" s="16">
        <f>IFERROR(VLOOKUP(Расчет!B42,Сезонность!$A$3:$D$14,4,FALSE),"")</f>
        <v>1.2693543824166156</v>
      </c>
      <c r="E49" s="16">
        <f>Расчет!J42</f>
        <v>41.9898499097838</v>
      </c>
      <c r="F49" s="16">
        <f>Расчет!K42</f>
        <v>1.2294607905761761</v>
      </c>
      <c r="G49" s="6" t="str">
        <f>Расчет!L42</f>
        <v>выше тренда</v>
      </c>
      <c r="H49" s="15" t="str">
        <f t="shared" si="2"/>
        <v>период активизации продвижения и продаж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>
      <c r="A50" s="18">
        <f>Расчет!A43</f>
        <v>45658</v>
      </c>
      <c r="B50" s="16">
        <f>Расчет!G43</f>
        <v>37.228285077951007</v>
      </c>
      <c r="C50" s="16">
        <f>Расчет!H43</f>
        <v>34.658884558277656</v>
      </c>
      <c r="D50" s="16">
        <f>IFERROR(VLOOKUP(Расчет!B43,Сезонность!$A$3:$D$14,4,FALSE),"")</f>
        <v>0.90669208142488567</v>
      </c>
      <c r="E50" s="16">
        <f>Расчет!J43</f>
        <v>41.059457604886077</v>
      </c>
      <c r="F50" s="16">
        <f>Расчет!K43</f>
        <v>1.1846733710037924</v>
      </c>
      <c r="G50" s="6" t="str">
        <f>Расчет!L43</f>
        <v>выше тренда</v>
      </c>
      <c r="H50" s="15" t="str">
        <f t="shared" si="2"/>
        <v>период активизации продвижения и продаж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>
      <c r="A51" s="18">
        <f>Расчет!A44</f>
        <v>45689</v>
      </c>
      <c r="B51" s="16">
        <f>Расчет!G44</f>
        <v>38.568351893095773</v>
      </c>
      <c r="C51" s="16">
        <f>Расчет!H44</f>
        <v>35.32427616926504</v>
      </c>
      <c r="D51" s="16">
        <f>IFERROR(VLOOKUP(Расчет!B44,Сезонность!$A$3:$D$14,4,FALSE),"")</f>
        <v>0.91219205461276331</v>
      </c>
      <c r="E51" s="16">
        <f>Расчет!J44</f>
        <v>42.280955746176183</v>
      </c>
      <c r="F51" s="16">
        <f>Расчет!K44</f>
        <v>1.196937639813948</v>
      </c>
      <c r="G51" s="6" t="str">
        <f>Расчет!L44</f>
        <v>выше тренда</v>
      </c>
      <c r="H51" s="15" t="str">
        <f t="shared" si="2"/>
        <v>период активизации продвижения и продаж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>
      <c r="A52" s="18">
        <f>Расчет!A45</f>
        <v>45717</v>
      </c>
      <c r="B52" s="16">
        <f>Расчет!G45</f>
        <v>37.675167037861918</v>
      </c>
      <c r="C52" s="16">
        <f>Расчет!H45</f>
        <v>35.464560133630293</v>
      </c>
      <c r="D52" s="16">
        <f>IFERROR(VLOOKUP(Расчет!B45,Сезонность!$A$3:$D$14,4,FALSE),"")</f>
        <v>1.0334014638714697</v>
      </c>
      <c r="E52" s="16">
        <f>Расчет!J45</f>
        <v>36.457435328877956</v>
      </c>
      <c r="F52" s="16">
        <f>Расчет!K45</f>
        <v>1.0279962642002753</v>
      </c>
      <c r="G52" s="6" t="str">
        <f>Расчет!L45</f>
        <v>норма</v>
      </c>
      <c r="H52" s="11" t="str">
        <f t="shared" si="2"/>
        <v>обычный режим анализа спроса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>
      <c r="A53" s="18">
        <f>Расчет!A46</f>
        <v>45748</v>
      </c>
      <c r="B53" s="16">
        <f>Расчет!G46</f>
        <v>48.536614699331849</v>
      </c>
      <c r="C53" s="16">
        <f>Расчет!H46</f>
        <v>36.589201002227171</v>
      </c>
      <c r="D53" s="16">
        <f>IFERROR(VLOOKUP(Расчет!B46,Сезонность!$A$3:$D$14,4,FALSE),"")</f>
        <v>1.1244592934574016</v>
      </c>
      <c r="E53" s="16">
        <f>Расчет!J46</f>
        <v>43.164403533092937</v>
      </c>
      <c r="F53" s="16">
        <f>Расчет!K46</f>
        <v>1.1797033646748813</v>
      </c>
      <c r="G53" s="6" t="str">
        <f>Расчет!L46</f>
        <v>выше тренда</v>
      </c>
      <c r="H53" s="15" t="str">
        <f t="shared" si="2"/>
        <v>период активизации продвижения и продаж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>
      <c r="A54" s="18">
        <f>Расчет!A47</f>
        <v>45778</v>
      </c>
      <c r="B54" s="16">
        <f>Расчет!G47</f>
        <v>41.111358574610243</v>
      </c>
      <c r="C54" s="16">
        <f>Расчет!H47</f>
        <v>36.948042873051222</v>
      </c>
      <c r="D54" s="16">
        <f>IFERROR(VLOOKUP(Расчет!B47,Сезонность!$A$3:$D$14,4,FALSE),"")</f>
        <v>1.1037382842477403</v>
      </c>
      <c r="E54" s="16">
        <f>Расчет!J47</f>
        <v>37.247379348293556</v>
      </c>
      <c r="F54" s="16">
        <f>Расчет!K47</f>
        <v>1.0081015515834171</v>
      </c>
      <c r="G54" s="6" t="str">
        <f>Расчет!L47</f>
        <v>норма</v>
      </c>
      <c r="H54" s="11" t="str">
        <f t="shared" si="2"/>
        <v>обычный режим анализа спроса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>
      <c r="A55" s="18">
        <f>Расчет!A48</f>
        <v>45809</v>
      </c>
      <c r="B55" s="16">
        <f>Расчет!G48</f>
        <v>48.192984409799557</v>
      </c>
      <c r="C55" s="16">
        <f>Расчет!H48</f>
        <v>38.274722531551596</v>
      </c>
      <c r="D55" s="16">
        <f>IFERROR(VLOOKUP(Расчет!B48,Сезонность!$A$3:$D$14,4,FALSE),"")</f>
        <v>1.0526093220810981</v>
      </c>
      <c r="E55" s="16">
        <f>Расчет!J48</f>
        <v>45.784303253668632</v>
      </c>
      <c r="F55" s="16">
        <f>Расчет!K48</f>
        <v>1.1962020943698952</v>
      </c>
      <c r="G55" s="6" t="str">
        <f>Расчет!L48</f>
        <v>выше тренда</v>
      </c>
      <c r="H55" s="15" t="str">
        <f t="shared" si="2"/>
        <v>период активизации продвижения и продаж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>
      <c r="A56" s="18">
        <f>Расчет!A49</f>
        <v>45839</v>
      </c>
      <c r="B56" s="16">
        <f>Расчет!G49</f>
        <v>26.639331848552338</v>
      </c>
      <c r="C56" s="16">
        <f>Расчет!H49</f>
        <v>38.560867668893835</v>
      </c>
      <c r="D56" s="16">
        <f>IFERROR(VLOOKUP(Расчет!B49,Сезонность!$A$3:$D$14,4,FALSE),"")</f>
        <v>0.71531247695706202</v>
      </c>
      <c r="E56" s="16">
        <f>Расчет!J49</f>
        <v>37.241531088449634</v>
      </c>
      <c r="F56" s="16">
        <f>Расчет!K49</f>
        <v>0.96578560960368443</v>
      </c>
      <c r="G56" s="6" t="str">
        <f>Расчет!L49</f>
        <v>норма</v>
      </c>
      <c r="H56" s="11" t="str">
        <f t="shared" si="2"/>
        <v>обычный режим анализа спроса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>
      <c r="A57" s="18">
        <f>Расчет!A50</f>
        <v>45870</v>
      </c>
      <c r="B57" s="16">
        <f>Расчет!G50</f>
        <v>30.931180400890867</v>
      </c>
      <c r="C57" s="16">
        <f>Расчет!H50</f>
        <v>39.226300111358576</v>
      </c>
      <c r="D57" s="16">
        <f>IFERROR(VLOOKUP(Расчет!B50,Сезонность!$A$3:$D$14,4,FALSE),"")</f>
        <v>0.72390754602754104</v>
      </c>
      <c r="E57" s="16">
        <f>Расчет!J50</f>
        <v>42.728081190238193</v>
      </c>
      <c r="F57" s="16">
        <f>Расчет!K50</f>
        <v>1.0892712559924973</v>
      </c>
      <c r="G57" s="6" t="str">
        <f>Расчет!L50</f>
        <v>норма</v>
      </c>
      <c r="H57" s="11" t="str">
        <f t="shared" si="2"/>
        <v>обычный режим анализа спроса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>
      <c r="A58" s="18">
        <f>Расчет!A51</f>
        <v>45901</v>
      </c>
      <c r="B58" s="16">
        <f>Расчет!G51</f>
        <v>40.85940979955457</v>
      </c>
      <c r="C58" s="16">
        <f>Расчет!H51</f>
        <v>40.289528582034144</v>
      </c>
      <c r="D58" s="16">
        <f>IFERROR(VLOOKUP(Расчет!B51,Сезонность!$A$3:$D$14,4,FALSE),"")</f>
        <v>0.91530086554528789</v>
      </c>
      <c r="E58" s="16">
        <f>Расчет!J51</f>
        <v>44.640414248065518</v>
      </c>
      <c r="F58" s="16">
        <f>Расчет!K51</f>
        <v>1.1079904833627543</v>
      </c>
      <c r="G58" s="6" t="str">
        <f>Расчет!L51</f>
        <v>выше тренда</v>
      </c>
      <c r="H58" s="15" t="str">
        <f t="shared" si="2"/>
        <v>период активизации продвижения и продаж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>
      <c r="A59" s="18">
        <f>Расчет!A52</f>
        <v>45931</v>
      </c>
      <c r="B59" s="16">
        <f>Расчет!G52</f>
        <v>45.566536748329625</v>
      </c>
      <c r="C59" s="16">
        <f>Расчет!H52</f>
        <v>40.666662954714177</v>
      </c>
      <c r="D59" s="16">
        <f>IFERROR(VLOOKUP(Расчет!B52,Сезонность!$A$3:$D$14,4,FALSE),"")</f>
        <v>1.0776509001470103</v>
      </c>
      <c r="E59" s="16">
        <f>Расчет!J52</f>
        <v>42.283207615855524</v>
      </c>
      <c r="F59" s="16">
        <f>Расчет!K52</f>
        <v>1.0397511018531691</v>
      </c>
      <c r="G59" s="6" t="str">
        <f>Расчет!L52</f>
        <v>норма</v>
      </c>
      <c r="H59" s="11" t="str">
        <f t="shared" si="2"/>
        <v>обычный режим анализа спроса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>
      <c r="A60" s="18">
        <f>Расчет!A53</f>
        <v>45962</v>
      </c>
      <c r="B60" s="16">
        <f>Расчет!G53</f>
        <v>58.548775055679286</v>
      </c>
      <c r="C60" s="16">
        <f>Расчет!H53</f>
        <v>42.263166295471414</v>
      </c>
      <c r="D60" s="16">
        <f>IFERROR(VLOOKUP(Расчет!B53,Сезонность!$A$3:$D$14,4,FALSE),"")</f>
        <v>1.1653813292111219</v>
      </c>
      <c r="E60" s="16">
        <f>Расчет!J53</f>
        <v>50.240014652811141</v>
      </c>
      <c r="F60" s="16">
        <f>Расчет!K53</f>
        <v>1.1887423271027959</v>
      </c>
      <c r="G60" s="6" t="str">
        <f>Расчет!L53</f>
        <v>выше тренда</v>
      </c>
      <c r="H60" s="15" t="str">
        <f t="shared" si="2"/>
        <v>период активизации продвижения и продаж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>
      <c r="A61" s="18">
        <f>Расчет!A54</f>
        <v>45992</v>
      </c>
      <c r="B61" s="16">
        <f>Расчет!G54</f>
        <v>56.369153674832965</v>
      </c>
      <c r="C61" s="16">
        <f>Расчет!H54</f>
        <v>42.518929101707492</v>
      </c>
      <c r="D61" s="16">
        <f>IFERROR(VLOOKUP(Расчет!B54,Сезонность!$A$3:$D$14,4,FALSE),"")</f>
        <v>1.2693543824166156</v>
      </c>
      <c r="E61" s="16">
        <f>Расчет!J54</f>
        <v>44.40773550371059</v>
      </c>
      <c r="F61" s="16">
        <f>Расчет!K54</f>
        <v>1.0444227181142067</v>
      </c>
      <c r="G61" s="6" t="str">
        <f>Расчет!L54</f>
        <v>норма</v>
      </c>
      <c r="H61" s="11" t="str">
        <f t="shared" si="2"/>
        <v>обычный режим анализа спроса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>
      <c r="A62" s="18">
        <f>Расчет!A55</f>
        <v>46023</v>
      </c>
      <c r="B62" s="16">
        <f>Расчет!G55</f>
        <v>35.145456570155901</v>
      </c>
      <c r="C62" s="16">
        <f>Расчет!H55</f>
        <v>42.345360059391233</v>
      </c>
      <c r="D62" s="16">
        <f>IFERROR(VLOOKUP(Расчет!B55,Сезонность!$A$3:$D$14,4,FALSE),"")</f>
        <v>0.90669208142488567</v>
      </c>
      <c r="E62" s="16">
        <f>Расчет!J55</f>
        <v>38.762284672128246</v>
      </c>
      <c r="F62" s="16">
        <f>Расчет!K55</f>
        <v>0.91538446284935204</v>
      </c>
      <c r="G62" s="6" t="str">
        <f>Расчет!L55</f>
        <v>норма</v>
      </c>
      <c r="H62" s="11" t="str">
        <f t="shared" si="2"/>
        <v>обычный режим анализа спроса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>
      <c r="A63" s="18">
        <f>Расчет!A56</f>
        <v>46054</v>
      </c>
      <c r="B63" s="16">
        <f>Расчет!G56</f>
        <v>41.171915367483294</v>
      </c>
      <c r="C63" s="16">
        <f>Расчет!H56</f>
        <v>42.562323682256867</v>
      </c>
      <c r="D63" s="16">
        <f>IFERROR(VLOOKUP(Расчет!B56,Сезонность!$A$3:$D$14,4,FALSE),"")</f>
        <v>0.91219205461276331</v>
      </c>
      <c r="E63" s="16">
        <f>Расчет!J56</f>
        <v>45.135139205922236</v>
      </c>
      <c r="F63" s="16">
        <f>Расчет!K56</f>
        <v>1.0604481922291737</v>
      </c>
      <c r="G63" s="6" t="str">
        <f>Расчет!L56</f>
        <v>норма</v>
      </c>
      <c r="H63" s="11" t="str">
        <f t="shared" si="2"/>
        <v>обычный режим анализа спроса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>
      <c r="A64" s="18">
        <f>Расчет!A57</f>
        <v>46082</v>
      </c>
      <c r="B64" s="16">
        <f>Расчет!G57</f>
        <v>49.716035634743875</v>
      </c>
      <c r="C64" s="16">
        <f>Расчет!H57</f>
        <v>43.565729398663684</v>
      </c>
      <c r="D64" s="16">
        <f>IFERROR(VLOOKUP(Расчет!B57,Сезонность!$A$3:$D$14,4,FALSE),"")</f>
        <v>1.0334014638714697</v>
      </c>
      <c r="E64" s="16">
        <f>Расчет!J57</f>
        <v>48.109120581744556</v>
      </c>
      <c r="F64" s="16">
        <f>Расчет!K57</f>
        <v>1.1042881927100303</v>
      </c>
      <c r="G64" s="6" t="str">
        <f>Расчет!L57</f>
        <v>выше тренда</v>
      </c>
      <c r="H64" s="15" t="str">
        <f t="shared" si="2"/>
        <v>период активизации продвижения и продаж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>
      <c r="A65" s="18">
        <f>Расчет!A58</f>
        <v>46113</v>
      </c>
      <c r="B65" s="16">
        <f>Расчет!G58</f>
        <v>58.667594654788417</v>
      </c>
      <c r="C65" s="16">
        <f>Расчет!H58</f>
        <v>44.409977728285071</v>
      </c>
      <c r="D65" s="16">
        <f>IFERROR(VLOOKUP(Расчет!B58,Сезонность!$A$3:$D$14,4,FALSE),"")</f>
        <v>1.1244592934574016</v>
      </c>
      <c r="E65" s="16">
        <f>Расчет!J58</f>
        <v>52.174049337439129</v>
      </c>
      <c r="F65" s="16">
        <f>Расчет!K58</f>
        <v>1.1748271898864084</v>
      </c>
      <c r="G65" s="6" t="str">
        <f>Расчет!L58</f>
        <v>выше тренда</v>
      </c>
      <c r="H65" s="15" t="str">
        <f t="shared" si="2"/>
        <v>период активизации продвижения и продаж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>
      <c r="A66" s="18">
        <f>Расчет!A59</f>
        <v>46143</v>
      </c>
      <c r="B66" s="16">
        <f>Расчет!G59</f>
        <v>64.021937639198228</v>
      </c>
      <c r="C66" s="16">
        <f>Расчет!H59</f>
        <v>46.319192650334067</v>
      </c>
      <c r="D66" s="16">
        <f>IFERROR(VLOOKUP(Расчет!B59,Сезонность!$A$3:$D$14,4,FALSE),"")</f>
        <v>1.1037382842477403</v>
      </c>
      <c r="E66" s="16">
        <f>Расчет!J59</f>
        <v>58.004636201264667</v>
      </c>
      <c r="F66" s="16">
        <f>Расчет!K59</f>
        <v>1.2522808123868783</v>
      </c>
      <c r="G66" s="6" t="str">
        <f>Расчет!L59</f>
        <v>выше тренда</v>
      </c>
      <c r="H66" s="15" t="str">
        <f t="shared" si="2"/>
        <v>период активизации продвижения и продаж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>
      <c r="A67" s="18">
        <f>Расчет!A60</f>
        <v>46174</v>
      </c>
      <c r="B67" s="16">
        <f>Расчет!G60</f>
        <v>61.552472160356345</v>
      </c>
      <c r="C67" s="16">
        <f>Расчет!H60</f>
        <v>47.43248329621381</v>
      </c>
      <c r="D67" s="16">
        <f>IFERROR(VLOOKUP(Расчет!B60,Сезонность!$A$3:$D$14,4,FALSE),"")</f>
        <v>1.0526093220810981</v>
      </c>
      <c r="E67" s="16">
        <f>Расчет!J60</f>
        <v>58.476084972021596</v>
      </c>
      <c r="F67" s="16">
        <f>Расчет!K60</f>
        <v>1.2328278198474445</v>
      </c>
      <c r="G67" s="6" t="str">
        <f>Расчет!L60</f>
        <v>выше тренда</v>
      </c>
      <c r="H67" s="15" t="str">
        <f t="shared" si="2"/>
        <v>период активизации продвижения и продаж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>
      <c r="A68" s="18">
        <f>Расчет!A61</f>
        <v>46204</v>
      </c>
      <c r="B68" s="16">
        <f>Расчет!G61</f>
        <v>38.172884187082403</v>
      </c>
      <c r="C68" s="16">
        <f>Расчет!H61</f>
        <v>48.393612657757984</v>
      </c>
      <c r="D68" s="16">
        <f>IFERROR(VLOOKUP(Расчет!B61,Сезонность!$A$3:$D$14,4,FALSE),"")</f>
        <v>0.71531247695706202</v>
      </c>
      <c r="E68" s="16">
        <f>Расчет!J61</f>
        <v>53.365326926030683</v>
      </c>
      <c r="F68" s="16">
        <f>Расчет!K61</f>
        <v>1.1027349270952946</v>
      </c>
      <c r="G68" s="6" t="str">
        <f>Расчет!L61</f>
        <v>выше тренда</v>
      </c>
      <c r="H68" s="15" t="str">
        <f t="shared" si="2"/>
        <v>период активизации продвижения и продаж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>
      <c r="A69" s="18">
        <f>Расчет!A62</f>
        <v>46235</v>
      </c>
      <c r="B69" s="16">
        <f>Расчет!G62</f>
        <v>33.034632516703788</v>
      </c>
      <c r="C69" s="16">
        <f>Расчет!H62</f>
        <v>48.568900334075721</v>
      </c>
      <c r="D69" s="16">
        <f>IFERROR(VLOOKUP(Расчет!B62,Сезонность!$A$3:$D$14,4,FALSE),"")</f>
        <v>0.72390754602754104</v>
      </c>
      <c r="E69" s="16">
        <f>Расчет!J62</f>
        <v>45.633772845692903</v>
      </c>
      <c r="F69" s="16">
        <f>Расчет!K62</f>
        <v>0.93956775903522893</v>
      </c>
      <c r="G69" s="6" t="str">
        <f>Расчет!L62</f>
        <v>норма</v>
      </c>
      <c r="H69" s="11" t="str">
        <f t="shared" si="2"/>
        <v>обычный режим анализа спроса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>
      <c r="A70" s="19">
        <f>Расчет!A63</f>
        <v>46266</v>
      </c>
      <c r="B70" s="17">
        <f>Расчет!G63</f>
        <v>45.002227171492208</v>
      </c>
      <c r="C70" s="17">
        <f>Расчет!H63</f>
        <v>48.914135115070529</v>
      </c>
      <c r="D70" s="17">
        <f>IFERROR(VLOOKUP(Расчет!B63,Сезонность!$A$3:$D$14,4,FALSE),"")</f>
        <v>0.91530086554528789</v>
      </c>
      <c r="E70" s="17">
        <f>Расчет!J63</f>
        <v>49.166595231702594</v>
      </c>
      <c r="F70" s="17">
        <f>Расчет!K63</f>
        <v>1.0051612916396897</v>
      </c>
      <c r="G70" s="7" t="str">
        <f>Расчет!L63</f>
        <v>норма</v>
      </c>
      <c r="H70" s="8" t="str">
        <f t="shared" si="2"/>
        <v>обычный режим анализа спроса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4"/>
  <sheetViews>
    <sheetView workbookViewId="0"/>
  </sheetViews>
  <sheetFormatPr defaultRowHeight="13.5"/>
  <cols>
    <col min="1" max="1" width="17.1875" customWidth="1"/>
    <col min="2" max="2" width="19.3125" customWidth="1"/>
    <col min="3" max="3" width="52.5625" customWidth="1"/>
    <col min="4" max="4" width="20.375" customWidth="1"/>
    <col min="5" max="5" width="48.6875" customWidth="1"/>
    <col min="6" max="6" width="26.6875" customWidth="1"/>
    <col min="7" max="8" width="52.5625" customWidth="1"/>
    <col min="9" max="26" width="10.5625" customWidth="1"/>
  </cols>
  <sheetData>
    <row r="1" spans="1:26" ht="20" customHeight="1">
      <c r="A1" s="31" t="s">
        <v>95</v>
      </c>
      <c r="B1" s="31"/>
      <c r="C1" s="31"/>
      <c r="D1" s="31"/>
      <c r="E1" s="31"/>
      <c r="F1" s="31"/>
      <c r="G1" s="31"/>
      <c r="H1" s="3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>
      <c r="A2" s="26" t="s">
        <v>96</v>
      </c>
      <c r="B2" s="26" t="s">
        <v>97</v>
      </c>
      <c r="C2" s="26" t="s">
        <v>98</v>
      </c>
      <c r="D2" s="26" t="s">
        <v>99</v>
      </c>
      <c r="E2" s="26" t="s">
        <v>25</v>
      </c>
      <c r="F2" s="26" t="s">
        <v>100</v>
      </c>
      <c r="G2" s="26" t="s">
        <v>101</v>
      </c>
      <c r="H2" s="27" t="s">
        <v>102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>
      <c r="A3" s="29">
        <v>46297</v>
      </c>
      <c r="B3" s="6" t="s">
        <v>33</v>
      </c>
      <c r="C3" s="10" t="s">
        <v>174</v>
      </c>
      <c r="D3" s="6" t="s">
        <v>175</v>
      </c>
      <c r="E3" s="10" t="s">
        <v>176</v>
      </c>
      <c r="F3" s="6" t="s">
        <v>177</v>
      </c>
      <c r="G3" s="10" t="s">
        <v>178</v>
      </c>
      <c r="H3" s="15" t="s">
        <v>179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30">
        <v>46297</v>
      </c>
      <c r="B4" s="7" t="s">
        <v>103</v>
      </c>
      <c r="C4" s="12" t="s">
        <v>180</v>
      </c>
      <c r="D4" s="7" t="s">
        <v>181</v>
      </c>
      <c r="E4" s="7" t="s">
        <v>182</v>
      </c>
      <c r="F4" s="7" t="s">
        <v>183</v>
      </c>
      <c r="G4" s="12" t="s">
        <v>184</v>
      </c>
      <c r="H4" s="13" t="s">
        <v>185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"/>
  <sheetViews>
    <sheetView workbookViewId="0"/>
  </sheetViews>
  <sheetFormatPr defaultRowHeight="13.5"/>
  <cols>
    <col min="1" max="1" width="22.4375" customWidth="1"/>
    <col min="2" max="6" width="52.5625" customWidth="1"/>
    <col min="7" max="26" width="10.5625" customWidth="1"/>
  </cols>
  <sheetData>
    <row r="1" spans="1:26" ht="20" customHeight="1">
      <c r="A1" s="31" t="s">
        <v>104</v>
      </c>
      <c r="B1" s="31"/>
      <c r="C1" s="31"/>
      <c r="D1" s="31"/>
      <c r="E1" s="31"/>
      <c r="F1" s="3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>
      <c r="A2" s="26" t="s">
        <v>105</v>
      </c>
      <c r="B2" s="26" t="s">
        <v>106</v>
      </c>
      <c r="C2" s="26" t="s">
        <v>107</v>
      </c>
      <c r="D2" s="26" t="s">
        <v>108</v>
      </c>
      <c r="E2" s="26" t="s">
        <v>109</v>
      </c>
      <c r="F2" s="27" t="s">
        <v>97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>
      <c r="A3" s="6" t="s">
        <v>110</v>
      </c>
      <c r="B3" s="10" t="s">
        <v>111</v>
      </c>
      <c r="C3" s="10" t="s">
        <v>112</v>
      </c>
      <c r="D3" s="6" t="s">
        <v>113</v>
      </c>
      <c r="E3" s="10" t="s">
        <v>114</v>
      </c>
      <c r="F3" s="15" t="s">
        <v>115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6" t="s">
        <v>116</v>
      </c>
      <c r="B4" s="10" t="s">
        <v>117</v>
      </c>
      <c r="C4" s="10" t="s">
        <v>118</v>
      </c>
      <c r="D4" s="6" t="s">
        <v>119</v>
      </c>
      <c r="E4" s="10" t="s">
        <v>120</v>
      </c>
      <c r="F4" s="15" t="s">
        <v>121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6" t="s">
        <v>122</v>
      </c>
      <c r="B5" s="10" t="s">
        <v>123</v>
      </c>
      <c r="C5" s="10" t="s">
        <v>124</v>
      </c>
      <c r="D5" s="10" t="s">
        <v>125</v>
      </c>
      <c r="E5" s="6" t="s">
        <v>126</v>
      </c>
      <c r="F5" s="15" t="s">
        <v>237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6" t="s">
        <v>127</v>
      </c>
      <c r="B6" s="10" t="s">
        <v>128</v>
      </c>
      <c r="C6" s="6" t="s">
        <v>129</v>
      </c>
      <c r="D6" s="10" t="s">
        <v>130</v>
      </c>
      <c r="E6" s="10" t="s">
        <v>131</v>
      </c>
      <c r="F6" s="15" t="s">
        <v>238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6" t="s">
        <v>132</v>
      </c>
      <c r="B7" s="10" t="s">
        <v>133</v>
      </c>
      <c r="C7" s="10" t="s">
        <v>134</v>
      </c>
      <c r="D7" s="10" t="s">
        <v>135</v>
      </c>
      <c r="E7" s="10" t="s">
        <v>136</v>
      </c>
      <c r="F7" s="15" t="s">
        <v>239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7" t="s">
        <v>137</v>
      </c>
      <c r="B8" s="12" t="s">
        <v>138</v>
      </c>
      <c r="C8" s="12" t="s">
        <v>139</v>
      </c>
      <c r="D8" s="12" t="s">
        <v>140</v>
      </c>
      <c r="E8" s="12" t="s">
        <v>141</v>
      </c>
      <c r="F8" s="8" t="s">
        <v>142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"/>
  <sheetViews>
    <sheetView workbookViewId="0"/>
  </sheetViews>
  <sheetFormatPr defaultRowHeight="13.5"/>
  <cols>
    <col min="1" max="1" width="36.125" customWidth="1"/>
    <col min="2" max="2" width="11.9375" customWidth="1"/>
    <col min="3" max="3" width="52.5625" customWidth="1"/>
    <col min="4" max="4" width="16.1875" customWidth="1"/>
    <col min="5" max="26" width="10.5625" customWidth="1"/>
  </cols>
  <sheetData>
    <row r="1" spans="1:26" ht="20" customHeight="1">
      <c r="A1" s="31" t="s">
        <v>143</v>
      </c>
      <c r="B1" s="31"/>
      <c r="C1" s="31"/>
      <c r="D1" s="3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>
      <c r="A2" s="26" t="s">
        <v>144</v>
      </c>
      <c r="B2" s="26" t="s">
        <v>3</v>
      </c>
      <c r="C2" s="26" t="s">
        <v>145</v>
      </c>
      <c r="D2" s="27" t="s">
        <v>146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>
      <c r="A3" s="6" t="s">
        <v>147</v>
      </c>
      <c r="B3" s="16">
        <v>0.5</v>
      </c>
      <c r="C3" s="10" t="s">
        <v>148</v>
      </c>
      <c r="D3" s="11" t="s">
        <v>149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>
      <c r="A4" s="6" t="s">
        <v>150</v>
      </c>
      <c r="B4" s="16">
        <v>0.5</v>
      </c>
      <c r="C4" s="10" t="s">
        <v>151</v>
      </c>
      <c r="D4" s="11" t="s">
        <v>149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>
      <c r="A5" s="10" t="s">
        <v>152</v>
      </c>
      <c r="B5" s="16">
        <v>12</v>
      </c>
      <c r="C5" s="10" t="s">
        <v>153</v>
      </c>
      <c r="D5" s="11" t="s">
        <v>154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6" t="s">
        <v>155</v>
      </c>
      <c r="B6" s="16">
        <v>0.3</v>
      </c>
      <c r="C6" s="10" t="s">
        <v>156</v>
      </c>
      <c r="D6" s="11" t="s">
        <v>157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>
      <c r="A7" s="6" t="s">
        <v>158</v>
      </c>
      <c r="B7" s="16">
        <v>0.15</v>
      </c>
      <c r="C7" s="10" t="s">
        <v>159</v>
      </c>
      <c r="D7" s="11" t="s">
        <v>160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>
      <c r="A8" s="6" t="s">
        <v>161</v>
      </c>
      <c r="B8" s="16">
        <v>-0.15</v>
      </c>
      <c r="C8" s="10" t="s">
        <v>162</v>
      </c>
      <c r="D8" s="11" t="s">
        <v>163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>
      <c r="A9" s="6" t="s">
        <v>164</v>
      </c>
      <c r="B9" s="16">
        <v>0.15</v>
      </c>
      <c r="C9" s="10" t="s">
        <v>165</v>
      </c>
      <c r="D9" s="11" t="s">
        <v>166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>
      <c r="A10" s="6" t="s">
        <v>167</v>
      </c>
      <c r="B10" s="16">
        <v>0.9</v>
      </c>
      <c r="C10" s="10" t="s">
        <v>168</v>
      </c>
      <c r="D10" s="11" t="s">
        <v>169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>
      <c r="A11" s="7" t="s">
        <v>170</v>
      </c>
      <c r="B11" s="17">
        <v>1.1000000000000001</v>
      </c>
      <c r="C11" s="12" t="s">
        <v>171</v>
      </c>
      <c r="D11" s="8" t="s">
        <v>172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Р. В. Земляник</cp:lastModifiedBy>
  <dcterms:modified xsi:type="dcterms:W3CDTF">2026-10-06T22:01:04Z</dcterms:modified>
</cp:coreProperties>
</file>