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AppData\Local\Temp\claude\D--TableMind-EB--claude-worktrees-handoff-project-continuation-447426\9c32cbd2-cb12-4b3e-baaf-4d688d524e02\scratchpad\"/>
    </mc:Choice>
  </mc:AlternateContent>
  <xr:revisionPtr revIDLastSave="0" documentId="13_ncr:1_{8F19B8CD-D940-4959-B96E-AD9C9CFA838F}" xr6:coauthVersionLast="47" xr6:coauthVersionMax="47" xr10:uidLastSave="{00000000-0000-0000-0000-000000000000}"/>
  <bookViews>
    <workbookView xWindow="-98" yWindow="-98" windowWidth="21795" windowHeight="11625" firstSheet="2" activeTab="2" xr2:uid="{00000000-000D-0000-FFFF-FFFF00000000}"/>
  </bookViews>
  <sheets>
    <sheet name="Методика" sheetId="1" r:id="rId1"/>
    <sheet name="Банк_анализа" sheetId="2" r:id="rId2"/>
    <sheet name="Реестр_единиц" sheetId="3" r:id="rId3"/>
    <sheet name="Оценка_релизов" sheetId="4" r:id="rId4"/>
    <sheet name="Первый_релиз" sheetId="5" r:id="rId5"/>
    <sheet name="Следующие_релизы" sheetId="6" r:id="rId6"/>
    <sheet name="Дорожная_карта" sheetId="7" r:id="rId7"/>
    <sheet name="Проверка_ценности" sheetId="8" r:id="rId8"/>
    <sheet name="Риски_зависимости" sheetId="9" r:id="rId9"/>
    <sheet name="Дашборд" sheetId="10" r:id="rId10"/>
    <sheet name="Справочники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25" i="3" l="1"/>
  <c r="Q25" i="3"/>
  <c r="R24" i="3"/>
  <c r="Q24" i="3"/>
  <c r="R23" i="3"/>
  <c r="Q23" i="3"/>
  <c r="R22" i="3"/>
  <c r="Q22" i="3"/>
  <c r="R21" i="3"/>
  <c r="Q21" i="3"/>
  <c r="S21" i="3" s="1"/>
  <c r="T21" i="3" s="1"/>
  <c r="R20" i="3"/>
  <c r="Q20" i="3"/>
  <c r="S20" i="3" s="1"/>
  <c r="T20" i="3" s="1"/>
  <c r="R19" i="3"/>
  <c r="Q19" i="3"/>
  <c r="S19" i="3" s="1"/>
  <c r="T19" i="3" s="1"/>
  <c r="R18" i="3"/>
  <c r="Q18" i="3"/>
  <c r="S18" i="3" s="1"/>
  <c r="T18" i="3" s="1"/>
  <c r="R17" i="3"/>
  <c r="Q17" i="3"/>
  <c r="S17" i="3" s="1"/>
  <c r="T17" i="3" s="1"/>
  <c r="R16" i="3"/>
  <c r="Q16" i="3"/>
  <c r="R15" i="3"/>
  <c r="Q15" i="3"/>
  <c r="R14" i="3"/>
  <c r="Q14" i="3"/>
  <c r="S14" i="3" s="1"/>
  <c r="T14" i="3" s="1"/>
  <c r="R13" i="3"/>
  <c r="Q13" i="3"/>
  <c r="S13" i="3" s="1"/>
  <c r="T13" i="3" s="1"/>
  <c r="R12" i="3"/>
  <c r="Q12" i="3"/>
  <c r="S12" i="3" s="1"/>
  <c r="T12" i="3" s="1"/>
  <c r="R11" i="3"/>
  <c r="Q11" i="3"/>
  <c r="S11" i="3" s="1"/>
  <c r="T11" i="3" s="1"/>
  <c r="R10" i="3"/>
  <c r="Q10" i="3"/>
  <c r="S10" i="3" s="1"/>
  <c r="T10" i="3" s="1"/>
  <c r="R9" i="3"/>
  <c r="Q9" i="3"/>
  <c r="R8" i="3"/>
  <c r="Q8" i="3"/>
  <c r="S8" i="3" s="1"/>
  <c r="T8" i="3" s="1"/>
  <c r="R7" i="3"/>
  <c r="Q7" i="3"/>
  <c r="S7" i="3" s="1"/>
  <c r="T7" i="3" s="1"/>
  <c r="R6" i="3"/>
  <c r="Q6" i="3"/>
  <c r="R5" i="3"/>
  <c r="Q5" i="3"/>
  <c r="S5" i="3" s="1"/>
  <c r="T5" i="3" s="1"/>
  <c r="R4" i="3"/>
  <c r="Q4" i="3"/>
  <c r="R3" i="3"/>
  <c r="Q3" i="3"/>
  <c r="R2" i="3"/>
  <c r="Q2" i="3"/>
  <c r="S2" i="3" s="1"/>
  <c r="T2" i="3" s="1"/>
  <c r="S9" i="3"/>
  <c r="T9" i="3" s="1"/>
  <c r="S6" i="3"/>
  <c r="T6" i="3" s="1"/>
  <c r="S4" i="3"/>
  <c r="T4" i="3" s="1"/>
  <c r="S3" i="3"/>
  <c r="T3" i="3" s="1"/>
  <c r="B8" i="10"/>
  <c r="B3" i="10"/>
  <c r="G9" i="9"/>
  <c r="G8" i="9"/>
  <c r="G7" i="9"/>
  <c r="G6" i="9"/>
  <c r="G5" i="9"/>
  <c r="G4" i="9"/>
  <c r="G3" i="9"/>
  <c r="S22" i="3" l="1"/>
  <c r="T22" i="3" s="1"/>
  <c r="S16" i="3"/>
  <c r="T16" i="3" s="1"/>
  <c r="S15" i="3"/>
  <c r="T15" i="3" s="1"/>
  <c r="S23" i="3"/>
  <c r="T23" i="3" s="1"/>
  <c r="S25" i="3"/>
  <c r="T25" i="3" s="1"/>
  <c r="S24" i="3"/>
  <c r="T24" i="3" s="1"/>
  <c r="B16" i="10"/>
  <c r="D4" i="4"/>
  <c r="C4" i="4"/>
  <c r="B15" i="10"/>
  <c r="B14" i="10"/>
  <c r="I5" i="4"/>
  <c r="B4" i="4"/>
  <c r="B13" i="10"/>
  <c r="H5" i="4"/>
  <c r="F3" i="10"/>
  <c r="B12" i="10"/>
  <c r="G5" i="4"/>
  <c r="I3" i="4"/>
  <c r="E5" i="4"/>
  <c r="G4" i="4"/>
  <c r="B11" i="10"/>
  <c r="F5" i="4"/>
  <c r="H3" i="4"/>
  <c r="G3" i="4"/>
  <c r="B10" i="10"/>
  <c r="D5" i="4"/>
  <c r="F3" i="4"/>
  <c r="B4" i="10"/>
  <c r="B7" i="10"/>
  <c r="C5" i="4"/>
  <c r="E3" i="4"/>
  <c r="C3" i="4"/>
  <c r="B6" i="10"/>
  <c r="B5" i="4"/>
  <c r="D3" i="4"/>
  <c r="F5" i="10"/>
  <c r="B5" i="10"/>
  <c r="I4" i="4"/>
  <c r="B3" i="4"/>
  <c r="F4" i="10"/>
  <c r="H4" i="4"/>
  <c r="F4" i="4"/>
  <c r="E4" i="4"/>
  <c r="J3" i="4" l="1"/>
  <c r="J4" i="4"/>
  <c r="J5" i="4"/>
</calcChain>
</file>

<file path=xl/sharedStrings.xml><?xml version="1.0" encoding="utf-8"?>
<sst xmlns="http://schemas.openxmlformats.org/spreadsheetml/2006/main" count="726" uniqueCount="497">
  <si>
    <t>Шаг</t>
  </si>
  <si>
    <t>Действие</t>
  </si>
  <si>
    <t>Результат</t>
  </si>
  <si>
    <t>Собрать выводы из анализа проблем, отзывов, конкурентов, ценностного предложения, цифрового товара, Канвас, сценариев и страниц/экранов.</t>
  </si>
  <si>
    <t>Единый банк доказанных оснований для решений по релизам.</t>
  </si>
  <si>
    <t>Разложить будущий сайт или приложение на интерфейсные и функциональные единицы.</t>
  </si>
  <si>
    <t>Перечень кандидатов на включение в релизы.</t>
  </si>
  <si>
    <t>Оценить каждую единицу по шкалам 1–5.</t>
  </si>
  <si>
    <t>Сравнимые баллы для быстрого и обоснованного выбора состава первого релиза.</t>
  </si>
  <si>
    <t>Проверить, не нарушается ли ценностное предложение, монетизация, удержание и рост при переносе части функций.</t>
  </si>
  <si>
    <t>Сбалансированный первый релиз без избыточной разработки.</t>
  </si>
  <si>
    <t>Сформировать дорожную карту последующих релизов.</t>
  </si>
  <si>
    <t>Последовательность развития продукта после выхода на рынок.</t>
  </si>
  <si>
    <t>ID вывода</t>
  </si>
  <si>
    <t>Вид анализа</t>
  </si>
  <si>
    <t>Объект анализа</t>
  </si>
  <si>
    <t>Ключевой вывод</t>
  </si>
  <si>
    <t>Проблема / потребность</t>
  </si>
  <si>
    <t>Пользовательский сегмент</t>
  </si>
  <si>
    <t>Доказательство</t>
  </si>
  <si>
    <t>Источник / ссылка</t>
  </si>
  <si>
    <t>Достоверность 1–5</t>
  </si>
  <si>
    <t>Значимость 1–5</t>
  </si>
  <si>
    <t>Вывод для релизов</t>
  </si>
  <si>
    <t>A-001</t>
  </si>
  <si>
    <t>Анализ отзывов</t>
  </si>
  <si>
    <t>A-002</t>
  </si>
  <si>
    <t>Анализ конкурентов по сайтам</t>
  </si>
  <si>
    <t>Страница тарифов</t>
  </si>
  <si>
    <t>A-003</t>
  </si>
  <si>
    <t>Ценностное предложение</t>
  </si>
  <si>
    <t>A-004</t>
  </si>
  <si>
    <t>Канвас</t>
  </si>
  <si>
    <t>A-005</t>
  </si>
  <si>
    <t>Пользовательские сценарии</t>
  </si>
  <si>
    <t>ID</t>
  </si>
  <si>
    <t>Тип единицы</t>
  </si>
  <si>
    <t>Название единицы разработки</t>
  </si>
  <si>
    <t>Роль / сегмент</t>
  </si>
  <si>
    <t>Связанный сценарий</t>
  </si>
  <si>
    <t>Блок Канвас</t>
  </si>
  <si>
    <t>Связь с ценностным предложением 1–5</t>
  </si>
  <si>
    <t>Критичность для первого дохода 1–5</t>
  </si>
  <si>
    <t>Потенциал удержания 1–5</t>
  </si>
  <si>
    <t>Потенциал роста аудитории 1–5</t>
  </si>
  <si>
    <t>Доказательность 1–5</t>
  </si>
  <si>
    <t>Рыночный стандарт 1–5</t>
  </si>
  <si>
    <t>Быстрота реализации 1–5</t>
  </si>
  <si>
    <t>Дешевизна реализации 1–5</t>
  </si>
  <si>
    <t>Технический риск 1–5</t>
  </si>
  <si>
    <t>Риск потери ценности при переносе 1–5</t>
  </si>
  <si>
    <t>Балл первого релиза</t>
  </si>
  <si>
    <t>Балл следующих релизов</t>
  </si>
  <si>
    <t>Рекомендованный релиз</t>
  </si>
  <si>
    <t>Решение</t>
  </si>
  <si>
    <t>Обоснование</t>
  </si>
  <si>
    <t>U-001</t>
  </si>
  <si>
    <t>Экран приложения</t>
  </si>
  <si>
    <t>Каналы и отношения</t>
  </si>
  <si>
    <t>U-002</t>
  </si>
  <si>
    <t>Страница сайта</t>
  </si>
  <si>
    <t>Потоки доходов</t>
  </si>
  <si>
    <t>U-003</t>
  </si>
  <si>
    <t>Функция</t>
  </si>
  <si>
    <t>U-004</t>
  </si>
  <si>
    <t>Форма</t>
  </si>
  <si>
    <t>U-005</t>
  </si>
  <si>
    <t>Интеграция</t>
  </si>
  <si>
    <t>Ключевые партнеры</t>
  </si>
  <si>
    <t>U-006</t>
  </si>
  <si>
    <t>Аналитика</t>
  </si>
  <si>
    <t>Ключевые ресурсы</t>
  </si>
  <si>
    <t>U-007</t>
  </si>
  <si>
    <t>Контентный блок</t>
  </si>
  <si>
    <t>U-008</t>
  </si>
  <si>
    <t>Административная функция</t>
  </si>
  <si>
    <t>Ключевые виды деятельности</t>
  </si>
  <si>
    <t>U-009</t>
  </si>
  <si>
    <t>Отношения с клиентами</t>
  </si>
  <si>
    <t>U-010</t>
  </si>
  <si>
    <t>Каналы</t>
  </si>
  <si>
    <t>Сводная оценка состава релизов</t>
  </si>
  <si>
    <t>Релиз</t>
  </si>
  <si>
    <t>Количество единиц</t>
  </si>
  <si>
    <t>Средний балл первого релиза</t>
  </si>
  <si>
    <t>Средняя доказательность</t>
  </si>
  <si>
    <t>Средняя связь с ценностью</t>
  </si>
  <si>
    <t>Средняя критичность дохода</t>
  </si>
  <si>
    <t>Среднее удержание</t>
  </si>
  <si>
    <t>Средний рост</t>
  </si>
  <si>
    <t>Средний технический риск</t>
  </si>
  <si>
    <t>Интерпретация</t>
  </si>
  <si>
    <t>Первый релиз</t>
  </si>
  <si>
    <t>Следующий релиз</t>
  </si>
  <si>
    <t>Единица первого релиза</t>
  </si>
  <si>
    <t>Зачем нужна в первом релизе</t>
  </si>
  <si>
    <t>Проверяемая гипотеза</t>
  </si>
  <si>
    <t>Минимальная реализация</t>
  </si>
  <si>
    <t>Критерий готовности</t>
  </si>
  <si>
    <t>Метрика после запуска</t>
  </si>
  <si>
    <t>Ответственный</t>
  </si>
  <si>
    <t>FR-001</t>
  </si>
  <si>
    <t>FR-002</t>
  </si>
  <si>
    <t>FR-003</t>
  </si>
  <si>
    <t>Единица развития</t>
  </si>
  <si>
    <t>Основание переноса</t>
  </si>
  <si>
    <t>Условие включения</t>
  </si>
  <si>
    <t>Ожидаемый эффект</t>
  </si>
  <si>
    <t>Связанная метрика</t>
  </si>
  <si>
    <t>Зависимости</t>
  </si>
  <si>
    <t>Комментарий</t>
  </si>
  <si>
    <t>NR-001</t>
  </si>
  <si>
    <t>Релиз 2</t>
  </si>
  <si>
    <t>NR-002</t>
  </si>
  <si>
    <t>NR-003</t>
  </si>
  <si>
    <t>Релиз 3</t>
  </si>
  <si>
    <t>Дорожная карта релизов</t>
  </si>
  <si>
    <t>Цель релиза</t>
  </si>
  <si>
    <t>Состав</t>
  </si>
  <si>
    <t>Ключевая гипотеза</t>
  </si>
  <si>
    <t>Что измеряем</t>
  </si>
  <si>
    <t>Критерий перехода к следующему релизу</t>
  </si>
  <si>
    <t>Ограничение бюджета / срока</t>
  </si>
  <si>
    <t>Риски</t>
  </si>
  <si>
    <t>Решение по запуску</t>
  </si>
  <si>
    <t>Дата начала</t>
  </si>
  <si>
    <t>Дата окончания</t>
  </si>
  <si>
    <t>Блок проверки</t>
  </si>
  <si>
    <t>Контрольный вопрос</t>
  </si>
  <si>
    <t>Оценка 1–5</t>
  </si>
  <si>
    <t>Риск при низкой оценке</t>
  </si>
  <si>
    <t>Что добавить / изменить</t>
  </si>
  <si>
    <t>Статус</t>
  </si>
  <si>
    <t>Ценность</t>
  </si>
  <si>
    <t>Оставить в первом релизе</t>
  </si>
  <si>
    <t>Готово</t>
  </si>
  <si>
    <t>В работе</t>
  </si>
  <si>
    <t>Монетизация</t>
  </si>
  <si>
    <t>Удержание</t>
  </si>
  <si>
    <t>Рост</t>
  </si>
  <si>
    <t>Риски, зависимости и условия переноса функций между релизами</t>
  </si>
  <si>
    <t>Единица / решение</t>
  </si>
  <si>
    <t>Риск</t>
  </si>
  <si>
    <t>Тип риска</t>
  </si>
  <si>
    <t>Вероятность 1–5</t>
  </si>
  <si>
    <t>Влияние 1–5</t>
  </si>
  <si>
    <t>Индекс риска</t>
  </si>
  <si>
    <t>Митигирующее действие</t>
  </si>
  <si>
    <t>Связанный релиз</t>
  </si>
  <si>
    <t>R-001</t>
  </si>
  <si>
    <t>Пользователь не получает заявленную ценность</t>
  </si>
  <si>
    <t>Не удалять критические шаги сценария</t>
  </si>
  <si>
    <t>R-002</t>
  </si>
  <si>
    <t>Данные</t>
  </si>
  <si>
    <t>R-003</t>
  </si>
  <si>
    <t>Стоимость</t>
  </si>
  <si>
    <t>Дашборд готовности релизного плана</t>
  </si>
  <si>
    <t>Показатель</t>
  </si>
  <si>
    <t>Значение</t>
  </si>
  <si>
    <t>Количество</t>
  </si>
  <si>
    <t>Всего единиц разработки</t>
  </si>
  <si>
    <t>Количество страниц, экранов, функций, интеграций и контентных блоков в реестре</t>
  </si>
  <si>
    <t>Единиц в первом релизе</t>
  </si>
  <si>
    <t>Объем минимального рыночного выпуска</t>
  </si>
  <si>
    <t>Насколько первый релиз сочетает ценность, скорость и экономичность</t>
  </si>
  <si>
    <t>Средняя связь с ценностным предложением в первом релизе</t>
  </si>
  <si>
    <t>Должна быть высокой, иначе первый релиз теряет смысл</t>
  </si>
  <si>
    <t>Средний риск первого релиза</t>
  </si>
  <si>
    <t>Чем ниже, тем проще старт</t>
  </si>
  <si>
    <t>Средняя оценка контрольного листа ценности</t>
  </si>
  <si>
    <t>Показывает, насколько сохранены ценность, монетизация, удержание и рост</t>
  </si>
  <si>
    <t>Критерий</t>
  </si>
  <si>
    <t>Средняя оценка первого релиза</t>
  </si>
  <si>
    <t>Доход</t>
  </si>
  <si>
    <t>Доказательность</t>
  </si>
  <si>
    <t>Быстрота</t>
  </si>
  <si>
    <t>Дешевизна</t>
  </si>
  <si>
    <t>Справочники для выпадающих списков и шкал оценки</t>
  </si>
  <si>
    <t>Шкала</t>
  </si>
  <si>
    <t>Тип метрики</t>
  </si>
  <si>
    <t>Анализ проблем</t>
  </si>
  <si>
    <t>Не начато</t>
  </si>
  <si>
    <t>Потребительские сегменты</t>
  </si>
  <si>
    <t>Активация</t>
  </si>
  <si>
    <t>Конверсия</t>
  </si>
  <si>
    <t>Классификация конкурентов</t>
  </si>
  <si>
    <t>Требует решения</t>
  </si>
  <si>
    <t>Срок</t>
  </si>
  <si>
    <t>Повторное использование</t>
  </si>
  <si>
    <t>Технология</t>
  </si>
  <si>
    <t>Рост аудитории</t>
  </si>
  <si>
    <t>Цифровой товар</t>
  </si>
  <si>
    <t>Выручка</t>
  </si>
  <si>
    <t>Обращения в поддержку</t>
  </si>
  <si>
    <t>Стоимость привлечения</t>
  </si>
  <si>
    <t>Страницы и экраны</t>
  </si>
  <si>
    <t>Структура затрат</t>
  </si>
  <si>
    <t>Срок реализации</t>
  </si>
  <si>
    <t>Анализ поискового спроса</t>
  </si>
  <si>
    <t>Вордстат, ЛР1</t>
  </si>
  <si>
    <t>Проблемные 36,6 %, AI 45,3 %, услуги 2,3 % выборки топов</t>
  </si>
  <si>
    <t>финансовые специалисты</t>
  </si>
  <si>
    <t>ЛР1, раздел 2.4</t>
  </si>
  <si>
    <t>учесть при составе релизов</t>
  </si>
  <si>
    <t>Оценка рынка</t>
  </si>
  <si>
    <t>ЛР2-3</t>
  </si>
  <si>
    <t>Рынок достаточен для старта, но канал ограничивает SOM</t>
  </si>
  <si>
    <t>ЛР2-3, раздел 2.11</t>
  </si>
  <si>
    <t>Конкуренция</t>
  </si>
  <si>
    <t>ЛР4</t>
  </si>
  <si>
    <t>Заменители создают критичное давление (73 % трафика)</t>
  </si>
  <si>
    <t>Индекс барьеров 3,15; пять сил 3,55</t>
  </si>
  <si>
    <t>ЛР4, раздел 2.8</t>
  </si>
  <si>
    <t>Отзывы</t>
  </si>
  <si>
    <t>G2</t>
  </si>
  <si>
    <t>У прямых конкурентов нет отзывов</t>
  </si>
  <si>
    <t>PerfectXL 0, Arixcel 1, CIMCON 19 против Datarails 386</t>
  </si>
  <si>
    <t>SRC-004, SRC-005</t>
  </si>
  <si>
    <t>Цены</t>
  </si>
  <si>
    <t>страницы цен</t>
  </si>
  <si>
    <t>ЛР2-3, таблица цен</t>
  </si>
  <si>
    <t>A-006</t>
  </si>
  <si>
    <t>ЛР5</t>
  </si>
  <si>
    <t>Стандарт товара - надстройка Excel; разрывы - поиск ошибок, безопасность, пробный доступ</t>
  </si>
  <si>
    <t>по 3 из 7 конкурентов</t>
  </si>
  <si>
    <t>ЛР5, раздел 2.4</t>
  </si>
  <si>
    <t>A-007</t>
  </si>
  <si>
    <t>Зона дифференциации - доказательство вывода движком</t>
  </si>
  <si>
    <t>есть у 2 из 7 конкурентов</t>
  </si>
  <si>
    <t>ЛР5, таблица стандарта</t>
  </si>
  <si>
    <t>A-008</t>
  </si>
  <si>
    <t>Безопасность</t>
  </si>
  <si>
    <t>Shortcut, DataSnipper</t>
  </si>
  <si>
    <t>Безопасность и соответствие нужны для доверия к загрузке файлов</t>
  </si>
  <si>
    <t>SOC 2, GDPR на главных страницах</t>
  </si>
  <si>
    <t>SRC-008, SRC-012</t>
  </si>
  <si>
    <t>A-009</t>
  </si>
  <si>
    <t>Бизнес-модели</t>
  </si>
  <si>
    <t>5 из 7 с корпоративными пакетами</t>
  </si>
  <si>
    <t>ЛР5, таблица практик</t>
  </si>
  <si>
    <t>A-010</t>
  </si>
  <si>
    <t>Проблема клиентов</t>
  </si>
  <si>
    <t>ПЗ1</t>
  </si>
  <si>
    <t>Ошибки есть в 86-94 % таблиц, AI-надстройки сами требуют проверки</t>
  </si>
  <si>
    <t>оценка ПЗ1</t>
  </si>
  <si>
    <t>ПЗ1, раздел 1.1</t>
  </si>
  <si>
    <t>A-011</t>
  </si>
  <si>
    <t>Платежеспособность</t>
  </si>
  <si>
    <t>Бюджет сегментов выше цены предложения (индекс 2,4)</t>
  </si>
  <si>
    <t>индексы 1,3-4,2</t>
  </si>
  <si>
    <t>ЛР2-3, таблица индекса</t>
  </si>
  <si>
    <t>A-012</t>
  </si>
  <si>
    <t>AppSource</t>
  </si>
  <si>
    <t>В AppSource по запросу formula checker один результат</t>
  </si>
  <si>
    <t>138 результатов по excel audit, один по formula checker</t>
  </si>
  <si>
    <t>SRC-010</t>
  </si>
  <si>
    <t>Страница продукта с примерами найденных ошибок</t>
  </si>
  <si>
    <t>Финансовый аналитик / FP&amp;A</t>
  </si>
  <si>
    <t>S-001</t>
  </si>
  <si>
    <t>Дает вход из поиска и доказывает ценность.</t>
  </si>
  <si>
    <t>Загрузка файла и запуск проверки без регистрации</t>
  </si>
  <si>
    <t>Без него нет первого результата.</t>
  </si>
  <si>
    <t>Показывает ключевую ценность.</t>
  </si>
  <si>
    <t>Карточка находки с доказательством</t>
  </si>
  <si>
    <t>Зона дифференциации ЛР5.</t>
  </si>
  <si>
    <t>Отчет аудита</t>
  </si>
  <si>
    <t>Консультант по управлению</t>
  </si>
  <si>
    <t>S-006</t>
  </si>
  <si>
    <t>Основание платных продаж.</t>
  </si>
  <si>
    <t>Регистрация и вход</t>
  </si>
  <si>
    <t>S-002</t>
  </si>
  <si>
    <t>Нужна для сохранения результата и оплаты.</t>
  </si>
  <si>
    <t>S-003</t>
  </si>
  <si>
    <t>Прозрачная цена - зона дифференциации.</t>
  </si>
  <si>
    <t>Оплата разового аудита и Pro</t>
  </si>
  <si>
    <t>Без оплаты нет дохода.</t>
  </si>
  <si>
    <t>Политика данных и страница безопасности</t>
  </si>
  <si>
    <t>Бухгалтер / аудитор</t>
  </si>
  <si>
    <t>S-010</t>
  </si>
  <si>
    <t>Обязательный разрыв по ЛР5.</t>
  </si>
  <si>
    <t>Удаление файла и данных пользователя</t>
  </si>
  <si>
    <t>Требование GDPR.</t>
  </si>
  <si>
    <t>U-011</t>
  </si>
  <si>
    <t>S-004</t>
  </si>
  <si>
    <t>Удержание, но не нужна для первой ценности.</t>
  </si>
  <si>
    <t>U-012</t>
  </si>
  <si>
    <t>S-005</t>
  </si>
  <si>
    <t>Стандарт рынка, но сложная; выпуск в бета v1.</t>
  </si>
  <si>
    <t>U-013</t>
  </si>
  <si>
    <t>Экспорт отчета в PDF и Excel</t>
  </si>
  <si>
    <t>Повышает распространение отчета.</t>
  </si>
  <si>
    <t>U-014</t>
  </si>
  <si>
    <t>AI-пояснения и подсказки исправления</t>
  </si>
  <si>
    <t>Привлекательное, но не критичное.</t>
  </si>
  <si>
    <t>U-015</t>
  </si>
  <si>
    <t>Сравнение версий файла</t>
  </si>
  <si>
    <t>S-007</t>
  </si>
  <si>
    <t>Зона дифференциации, второй этап.</t>
  </si>
  <si>
    <t>U-016</t>
  </si>
  <si>
    <t>Командное пространство и роли Team</t>
  </si>
  <si>
    <t>Администратор команды</t>
  </si>
  <si>
    <t>S-009</t>
  </si>
  <si>
    <t>Рост выручки за место после подтверждения спроса.</t>
  </si>
  <si>
    <t>U-017</t>
  </si>
  <si>
    <t>Документация и справка</t>
  </si>
  <si>
    <t>Стандарт рынка, можно развивать после запуска.</t>
  </si>
  <si>
    <t>U-018</t>
  </si>
  <si>
    <t>Шаблоны правил под компанию</t>
  </si>
  <si>
    <t>S-008</t>
  </si>
  <si>
    <t>Удержание команд.</t>
  </si>
  <si>
    <t>U-019</t>
  </si>
  <si>
    <t>Листинг в Microsoft AppSource</t>
  </si>
  <si>
    <t>Основатель / операционный менеджер МСП</t>
  </si>
  <si>
    <t>Канал привлечения вместе с надстройкой.</t>
  </si>
  <si>
    <t>U-020</t>
  </si>
  <si>
    <t>API и интеграции</t>
  </si>
  <si>
    <t>Нужен после появления корпоративных клиентов.</t>
  </si>
  <si>
    <t>U-021</t>
  </si>
  <si>
    <t>Дашборд качества моделей</t>
  </si>
  <si>
    <t>Управленческая ценность, поздний этап.</t>
  </si>
  <si>
    <t>U-022</t>
  </si>
  <si>
    <t>Автоматическое исправление ошибок</t>
  </si>
  <si>
    <t>Высокий технический риск.</t>
  </si>
  <si>
    <t>U-023</t>
  </si>
  <si>
    <t>Мобильное приложение</t>
  </si>
  <si>
    <t>Не подтверждено ни одной гипотезой.</t>
  </si>
  <si>
    <t>U-024</t>
  </si>
  <si>
    <t>Интеграция с ERP-системами</t>
  </si>
  <si>
    <t>Нет подтвержденного спроса.</t>
  </si>
  <si>
    <t>Дает пользователю ключевой результат</t>
  </si>
  <si>
    <t>Пользователь готов загрузить файл и дождаться результата</t>
  </si>
  <si>
    <t>Один путь загрузки xlsx без настроек</t>
  </si>
  <si>
    <t>Проверка файла до 100 тыс. ячеек быстрее 60 с</t>
  </si>
  <si>
    <t>Доля завершенных проверок</t>
  </si>
  <si>
    <t>Р. В. Земляник</t>
  </si>
  <si>
    <t>Результат проверки и карточка находки с доказательством</t>
  </si>
  <si>
    <t>Подтверждает ценностное предложение</t>
  </si>
  <si>
    <t>Доказательство повышает доверие к находке</t>
  </si>
  <si>
    <t>Список находок и карточка с объяснением</t>
  </si>
  <si>
    <t>Precision критичных находок не ниже 90 %</t>
  </si>
  <si>
    <t>Доля принятых находок</t>
  </si>
  <si>
    <t>Основание платных продаж</t>
  </si>
  <si>
    <t>Отчет достаточен для разовой оплаты</t>
  </si>
  <si>
    <t>Просмотр отчета в кабинете</t>
  </si>
  <si>
    <t>Отчет содержит находки, ячейки и объяснения</t>
  </si>
  <si>
    <t>Доля купивших отчет</t>
  </si>
  <si>
    <t>FR-004</t>
  </si>
  <si>
    <t>Регистрация и страница тарифов</t>
  </si>
  <si>
    <t>Сохранение результата и вход в оплату</t>
  </si>
  <si>
    <t>Тарифы понятны без объяснений</t>
  </si>
  <si>
    <t>Вход по email, тарифы Free/9/19</t>
  </si>
  <si>
    <t>Пользователь доходит до оплаты без помощи</t>
  </si>
  <si>
    <t>Конверсия в регистрацию</t>
  </si>
  <si>
    <t>FR-005</t>
  </si>
  <si>
    <t>Оплата и политика данных</t>
  </si>
  <si>
    <t>Первая выручка и доверие</t>
  </si>
  <si>
    <t>Платежи и GDPR не блокируют покупку</t>
  </si>
  <si>
    <t>Оплата картой, страница безопасности, удаление файла</t>
  </si>
  <si>
    <t>Платеж проходит, файл удаляется по запросу</t>
  </si>
  <si>
    <t>Конверсия в платящего</t>
  </si>
  <si>
    <t>Релиз 2 (открытая бета с оплатой, 01.06.2027)</t>
  </si>
  <si>
    <t>История проверок и экспорт отчета</t>
  </si>
  <si>
    <t>Не нужны для первой ценности</t>
  </si>
  <si>
    <t>Подтверждена повторная проверка файлов</t>
  </si>
  <si>
    <t>Удержание и распространение отчета</t>
  </si>
  <si>
    <t>Стабильное ядро проверки</t>
  </si>
  <si>
    <t>ПЗ4</t>
  </si>
  <si>
    <t>Релиз 3 (бета v1, июль 2027)</t>
  </si>
  <si>
    <t>Надстройка Excel и листинг AppSource</t>
  </si>
  <si>
    <t>Высокая сложность; стандарт рынка, но не нужна для проверки ценности</t>
  </si>
  <si>
    <t>Подтвержден спрос на проверку в Excel</t>
  </si>
  <si>
    <t>Новый канал и удержание</t>
  </si>
  <si>
    <t>Установки и активация</t>
  </si>
  <si>
    <t>Ядро проверки, правила публикации AppSource</t>
  </si>
  <si>
    <t>Привлекательное требование, не критичное</t>
  </si>
  <si>
    <t>Принято не менее 70 % находок</t>
  </si>
  <si>
    <t>Рост принятия находок</t>
  </si>
  <si>
    <t>Движок проверки</t>
  </si>
  <si>
    <t>NR-004</t>
  </si>
  <si>
    <t>Релиз 4 (релиз, сентябрь 2027)</t>
  </si>
  <si>
    <t>Командное пространство Team и роли</t>
  </si>
  <si>
    <t>Выручка за место, нужна после подтверждения спроса</t>
  </si>
  <si>
    <t>Есть запросы на командный доступ</t>
  </si>
  <si>
    <t>Рост выручки на аккаунт</t>
  </si>
  <si>
    <t>Число мест</t>
  </si>
  <si>
    <t>Регистрация, оплата, роли</t>
  </si>
  <si>
    <t>NR-005</t>
  </si>
  <si>
    <t>Сравнение версий файла и шаблоны правил</t>
  </si>
  <si>
    <t>Зоны дифференциации второго этапа</t>
  </si>
  <si>
    <t>Стабильные метрики точности</t>
  </si>
  <si>
    <t>Дифференциация</t>
  </si>
  <si>
    <t>Использование функций</t>
  </si>
  <si>
    <t>История проверок</t>
  </si>
  <si>
    <t>NR-006</t>
  </si>
  <si>
    <t>После релиза</t>
  </si>
  <si>
    <t>API, интеграции, автоисправление, ERP</t>
  </si>
  <si>
    <t>Высокий технический риск и неподтвержденный спрос</t>
  </si>
  <si>
    <t>Корпоративные клиенты и накопленный набор правил</t>
  </si>
  <si>
    <t>Рост сегмента МСП и корпоративных клиентов</t>
  </si>
  <si>
    <t>Число интеграций</t>
  </si>
  <si>
    <t>Релиз 4</t>
  </si>
  <si>
    <t>Проверка файла, карточка находки, отчет, регистрация, тарифы, оплата, политика данных</t>
  </si>
  <si>
    <t>Пользователь получает первый результат и платит за отчет</t>
  </si>
  <si>
    <t>Активация, регистрация, оплата, precision</t>
  </si>
  <si>
    <t>50 проверенных файлов и precision не ниже 90 %</t>
  </si>
  <si>
    <t>Урезание ядра снижает ценность</t>
  </si>
  <si>
    <t>Запуск при выполнении критериев качества</t>
  </si>
  <si>
    <t>Открытая бета с оплатой</t>
  </si>
  <si>
    <t>История проверок, экспорт отчета, улучшенные тарифы</t>
  </si>
  <si>
    <t>Платящие остаются и повторяют проверки</t>
  </si>
  <si>
    <t>Конверсия в платящего, удержание</t>
  </si>
  <si>
    <t>Не менее 300 регистраций и первые платежи</t>
  </si>
  <si>
    <t>Срок до 01.06.2027</t>
  </si>
  <si>
    <t>Низкая конверсия в платящих</t>
  </si>
  <si>
    <t>Открыть бету с оплатой</t>
  </si>
  <si>
    <t>Бета v1 с надстройкой Excel</t>
  </si>
  <si>
    <t>Надстройка Excel, листинг AppSource, AI-пояснения</t>
  </si>
  <si>
    <t>Надстройка увеличивает удержание и канал</t>
  </si>
  <si>
    <t>Установки, активация, удержание</t>
  </si>
  <si>
    <t>Стабильная точность и установки из AppSource</t>
  </si>
  <si>
    <t>Срок: июль 2027</t>
  </si>
  <si>
    <t>Сложность публикации в AppSource</t>
  </si>
  <si>
    <t>Запустить бету v1</t>
  </si>
  <si>
    <t>Релиз проекта</t>
  </si>
  <si>
    <t>Командное пространство Team, сравнение версий, шаблоны правил</t>
  </si>
  <si>
    <t>Команды платят за место</t>
  </si>
  <si>
    <t>Число платящих (цель 50), число мест</t>
  </si>
  <si>
    <t>Не менее 50 платящих пользователей</t>
  </si>
  <si>
    <t>Срок до 30.09.2027</t>
  </si>
  <si>
    <t>Недостижимость цели по платящим (ЛР2-3)</t>
  </si>
  <si>
    <t>Закрыть проект и решить о продолжении</t>
  </si>
  <si>
    <t>Может ли пользователь получить обещанный результат в первом релизе?</t>
  </si>
  <si>
    <t>Проверка и карточка находки входят в MVP</t>
  </si>
  <si>
    <t>Первый релиз не подтверждает ЦП</t>
  </si>
  <si>
    <t>Есть ли в первом релизе путь к оплате?</t>
  </si>
  <si>
    <t>Тарифы и оплата входят в MVP</t>
  </si>
  <si>
    <t>Нет проверки готовности платить</t>
  </si>
  <si>
    <t>Есть ли причина вернуться к продукту?</t>
  </si>
  <si>
    <t>История проверок перенесена в релиз 2</t>
  </si>
  <si>
    <t>Пользователь не возвращается</t>
  </si>
  <si>
    <t>Простое напоминание о повторной проверке</t>
  </si>
  <si>
    <t>Есть ли возможность делиться результатом?</t>
  </si>
  <si>
    <t>Экспорт отчета перенесен в релиз 2</t>
  </si>
  <si>
    <t>Нет распространения</t>
  </si>
  <si>
    <t>Публичная ссылка на отчет (позже)</t>
  </si>
  <si>
    <t>Доверие</t>
  </si>
  <si>
    <t>Раскрыты ли безопасность и обработка данных?</t>
  </si>
  <si>
    <t>Страница безопасности и удаление файла в MVP</t>
  </si>
  <si>
    <t>Отказ загрузки файла</t>
  </si>
  <si>
    <t>План SOC 2</t>
  </si>
  <si>
    <t>Измеряются ли ключевые метрики с первого дня?</t>
  </si>
  <si>
    <t>Событийная аналитика в MVP</t>
  </si>
  <si>
    <t>Нет данных для решения</t>
  </si>
  <si>
    <t>Сокращение ядра проверки</t>
  </si>
  <si>
    <t>Точность находок</t>
  </si>
  <si>
    <t>Precision ниже 90 %</t>
  </si>
  <si>
    <t>Eval-набор и регулярная оценка</t>
  </si>
  <si>
    <t>Надстройка Excel</t>
  </si>
  <si>
    <t>Начать подготовку заранее, выпуск в бета v1</t>
  </si>
  <si>
    <t>R-004</t>
  </si>
  <si>
    <t>Безопасность и GDPR</t>
  </si>
  <si>
    <t>Отказ клиентов из-за недоверия</t>
  </si>
  <si>
    <t>Страница безопасности и план SOC 2</t>
  </si>
  <si>
    <t>R-005</t>
  </si>
  <si>
    <t>Оплата</t>
  </si>
  <si>
    <t>Сбой платежей или налоги</t>
  </si>
  <si>
    <t>Стандартный платежный сервис</t>
  </si>
  <si>
    <t>R-006</t>
  </si>
  <si>
    <t>Цель по платящим</t>
  </si>
  <si>
    <t>50 платящих недостижимы за 4 месяца бета (ЛР2-3)</t>
  </si>
  <si>
    <t>Дополнительные каналы, раннее измерение конверсий</t>
  </si>
  <si>
    <t>R-007</t>
  </si>
  <si>
    <t>Стоимость вычислений</t>
  </si>
  <si>
    <t>Затраты на LLM превышают плановые</t>
  </si>
  <si>
    <t>Кэширование, лимиты Free</t>
  </si>
  <si>
    <t>Деление разработки сайта или мобильного приложения на первый и последующие релизы</t>
  </si>
  <si>
    <t>Спрос проблемный - ошибки в формулах ищут чаще, чем аудит</t>
  </si>
  <si>
    <t>SAM 35 млн у.е., платящих за 4 месяца бета 19 при цели 50</t>
  </si>
  <si>
    <t>Цена Pro 19 у.е. на медиане рынка, специализированные аналоги от 69 у.е.</t>
  </si>
  <si>
    <t>PerfectXL 69 у.е., Rows 7,1 у.е., Copilot 16 у.е., Shortcut 89 у.е.</t>
  </si>
  <si>
    <t>Практика - корпоративные пакеты и демо; самообслуживание только у AI-помощников</t>
  </si>
  <si>
    <t>Результат проверки - список находок</t>
  </si>
  <si>
    <t>Личный кабинет - история проверок</t>
  </si>
  <si>
    <t>Надстройка Excel - проверка книги</t>
  </si>
  <si>
    <t>Не включать</t>
  </si>
  <si>
    <t>План первого релиза - быстрый и экономный выход на рынок без разрушения ценности</t>
  </si>
  <si>
    <t>План последующих релизов - развитие удержания, роста и операционной эффективности</t>
  </si>
  <si>
    <t>Проверить ценность и спрос - MVP веб-аудита</t>
  </si>
  <si>
    <t>Срок до 31.03.2027, бюджет проекта 152 688 у.е.</t>
  </si>
  <si>
    <t>Контрольный лист - первый релиз сохраняет ценностное предложение, монетизацию, удержание и рост</t>
  </si>
  <si>
    <t>Подтвердить в бета-версии</t>
  </si>
  <si>
    <t>-</t>
  </si>
  <si>
    <t>1 - очень низко</t>
  </si>
  <si>
    <t>2 - низко</t>
  </si>
  <si>
    <t>3 - средне</t>
  </si>
  <si>
    <t>4 - высоко</t>
  </si>
  <si>
    <t>5 - очень высоко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</si>
</sst>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sz val="11"/>
      <name val="Carlito"/>
    </font>
    <font>
      <b/>
      <sz val="14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FFFFFF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AF1FB"/>
        <bgColor indexed="64"/>
      </patternFill>
    </fill>
  </fills>
  <borders count="6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/>
      <right/>
      <top style="thin">
        <color rgb="FF9DC3E6"/>
      </top>
      <bottom style="thin">
        <color rgb="FF9DC3E6"/>
      </bottom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3" fillId="0" borderId="0" xfId="0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3" fillId="3" borderId="1" xfId="1" applyFont="1" applyFill="1" applyBorder="1" applyAlignment="1">
      <alignment horizontal="left" vertical="center" wrapText="1"/>
    </xf>
    <xf numFmtId="0" fontId="3" fillId="3" borderId="2" xfId="1" applyFont="1" applyFill="1" applyBorder="1" applyAlignment="1">
      <alignment horizontal="left" vertical="center" wrapText="1"/>
    </xf>
    <xf numFmtId="0" fontId="4" fillId="4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0" borderId="1" xfId="1" applyFont="1" applyBorder="1" applyAlignment="1">
      <alignment horizontal="left" vertical="center" wrapText="1"/>
    </xf>
    <xf numFmtId="0" fontId="3" fillId="0" borderId="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 wrapText="1"/>
    </xf>
    <xf numFmtId="0" fontId="4" fillId="4" borderId="4" xfId="1" applyFont="1" applyFill="1" applyBorder="1" applyAlignment="1">
      <alignment horizontal="center" vertical="center" wrapText="1"/>
    </xf>
    <xf numFmtId="0" fontId="3" fillId="0" borderId="4" xfId="1" applyFont="1" applyBorder="1" applyAlignment="1">
      <alignment horizontal="left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3" xfId="1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left" vertical="center" wrapText="1"/>
    </xf>
    <xf numFmtId="2" fontId="3" fillId="5" borderId="1" xfId="1" applyNumberFormat="1" applyFont="1" applyFill="1" applyBorder="1" applyAlignment="1">
      <alignment horizontal="center" vertical="center" wrapText="1"/>
    </xf>
    <xf numFmtId="2" fontId="3" fillId="5" borderId="2" xfId="1" applyNumberFormat="1" applyFont="1" applyFill="1" applyBorder="1" applyAlignment="1">
      <alignment horizontal="center" vertical="center" wrapText="1"/>
    </xf>
    <xf numFmtId="2" fontId="3" fillId="5" borderId="3" xfId="1" applyNumberFormat="1" applyFont="1" applyFill="1" applyBorder="1" applyAlignment="1">
      <alignment horizontal="center" vertical="center" wrapText="1"/>
    </xf>
    <xf numFmtId="0" fontId="3" fillId="5" borderId="4" xfId="1" applyFont="1" applyFill="1" applyBorder="1" applyAlignment="1">
      <alignment horizontal="center" vertical="center" wrapText="1"/>
    </xf>
    <xf numFmtId="2" fontId="3" fillId="5" borderId="4" xfId="1" applyNumberFormat="1" applyFont="1" applyFill="1" applyBorder="1" applyAlignment="1">
      <alignment horizontal="center" vertical="center" wrapText="1"/>
    </xf>
    <xf numFmtId="0" fontId="3" fillId="0" borderId="4" xfId="1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3" fillId="5" borderId="4" xfId="1" applyFont="1" applyFill="1" applyBorder="1" applyAlignment="1">
      <alignment horizontal="left" vertical="center" wrapText="1"/>
    </xf>
    <xf numFmtId="0" fontId="3" fillId="5" borderId="3" xfId="1" applyFont="1" applyFill="1" applyBorder="1" applyAlignment="1">
      <alignment horizontal="left" vertical="center" wrapText="1"/>
    </xf>
    <xf numFmtId="1" fontId="3" fillId="5" borderId="1" xfId="1" applyNumberFormat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left" vertical="center" wrapText="1"/>
    </xf>
    <xf numFmtId="1" fontId="3" fillId="5" borderId="2" xfId="1" applyNumberFormat="1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164" fontId="3" fillId="5" borderId="4" xfId="1" applyNumberFormat="1" applyFont="1" applyFill="1" applyBorder="1" applyAlignment="1">
      <alignment horizontal="center" vertical="center" wrapText="1"/>
    </xf>
    <xf numFmtId="164" fontId="3" fillId="5" borderId="2" xfId="1" applyNumberFormat="1" applyFont="1" applyFill="1" applyBorder="1" applyAlignment="1">
      <alignment horizontal="center" vertical="center" wrapText="1"/>
    </xf>
    <xf numFmtId="164" fontId="3" fillId="5" borderId="3" xfId="1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2" borderId="2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3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100"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outline="0">
        <right style="thin">
          <color rgb="FF9DC3E6"/>
        </right>
      </border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outline="0">
        <right style="thin">
          <color rgb="FF9DC3E6"/>
        </right>
      </border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left" vertical="center" textRotation="0" wrapText="1" indent="0" justifyLastLine="0" shrinkToFit="0" readingOrder="0"/>
      <border outline="0">
        <right style="thin">
          <color rgb="FF9DC3E6"/>
        </right>
      </border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outline="0">
        <right style="thin">
          <color rgb="FF9DC3E6"/>
        </right>
      </border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spPr>
            <a:solidFill>
              <a:srgbClr val="1F4E79"/>
            </a:solidFill>
          </c:spPr>
          <c:invertIfNegative val="1"/>
          <c:cat>
            <c:strRef>
              <c:f>Дашборд!$E$3:$E$5</c:f>
              <c:strCache>
                <c:ptCount val="3"/>
                <c:pt idx="0">
                  <c:v>Первый релиз</c:v>
                </c:pt>
                <c:pt idx="1">
                  <c:v>Следующий релиз</c:v>
                </c:pt>
                <c:pt idx="2">
                  <c:v>Не включать</c:v>
                </c:pt>
              </c:strCache>
            </c:strRef>
          </c:cat>
          <c:val>
            <c:numRef>
              <c:f>Дашборд!$F$3:$F$5</c:f>
              <c:numCache>
                <c:formatCode>General</c:formatCode>
                <c:ptCount val="3"/>
                <c:pt idx="0">
                  <c:v>11</c:v>
                </c:pt>
                <c:pt idx="1">
                  <c:v>3</c:v>
                </c:pt>
                <c:pt idx="2">
                  <c:v>10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D2E4-4D8B-B21E-142054872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Оценка</c:v>
          </c:tx>
          <c:spPr>
            <a:solidFill>
              <a:srgbClr val="1F4E79"/>
            </a:solidFill>
          </c:spPr>
          <c:invertIfNegative val="1"/>
          <c:cat>
            <c:strRef>
              <c:f>Дашборд!$A$10:$A$16</c:f>
              <c:strCache>
                <c:ptCount val="7"/>
                <c:pt idx="0">
                  <c:v>Ценность</c:v>
                </c:pt>
                <c:pt idx="1">
                  <c:v>Доход</c:v>
                </c:pt>
                <c:pt idx="2">
                  <c:v>Удержание</c:v>
                </c:pt>
                <c:pt idx="3">
                  <c:v>Рост</c:v>
                </c:pt>
                <c:pt idx="4">
                  <c:v>Доказательность</c:v>
                </c:pt>
                <c:pt idx="5">
                  <c:v>Быстрота</c:v>
                </c:pt>
                <c:pt idx="6">
                  <c:v>Дешевизна</c:v>
                </c:pt>
              </c:strCache>
            </c:strRef>
          </c:cat>
          <c:val>
            <c:numRef>
              <c:f>Дашборд!$B$10:$B$16</c:f>
              <c:numCache>
                <c:formatCode>0.00</c:formatCode>
                <c:ptCount val="7"/>
                <c:pt idx="0">
                  <c:v>4</c:v>
                </c:pt>
                <c:pt idx="1">
                  <c:v>3.7272727272727271</c:v>
                </c:pt>
                <c:pt idx="2">
                  <c:v>3.2727272727272729</c:v>
                </c:pt>
                <c:pt idx="3">
                  <c:v>3.5454545454545454</c:v>
                </c:pt>
                <c:pt idx="4">
                  <c:v>4.0909090909090908</c:v>
                </c:pt>
                <c:pt idx="5">
                  <c:v>4.0909090909090908</c:v>
                </c:pt>
                <c:pt idx="6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F450-46B7-89C8-B50154273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1</xdr:col>
      <xdr:colOff>566737</xdr:colOff>
      <xdr:row>37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719137</xdr:colOff>
      <xdr:row>18</xdr:row>
      <xdr:rowOff>0</xdr:rowOff>
    </xdr:from>
    <xdr:to>
      <xdr:col>2</xdr:col>
      <xdr:colOff>3970337</xdr:colOff>
      <xdr:row>37</xdr:row>
      <xdr:rowOff>44450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kAnalysisTable" displayName="BankAnalysisTable" ref="A1:K13" headerRowDxfId="99" dataDxfId="98" totalsRowDxfId="97">
  <tableColumns count="11">
    <tableColumn id="1" xr3:uid="{00000000-0010-0000-0000-000001000000}" name="ID вывода" dataDxfId="96"/>
    <tableColumn id="2" xr3:uid="{00000000-0010-0000-0000-000002000000}" name="Вид анализа" dataDxfId="95"/>
    <tableColumn id="3" xr3:uid="{00000000-0010-0000-0000-000003000000}" name="Объект анализа" dataDxfId="94"/>
    <tableColumn id="4" xr3:uid="{00000000-0010-0000-0000-000004000000}" name="Ключевой вывод" dataDxfId="93"/>
    <tableColumn id="5" xr3:uid="{00000000-0010-0000-0000-000005000000}" name="Проблема / потребность" dataDxfId="92"/>
    <tableColumn id="6" xr3:uid="{00000000-0010-0000-0000-000006000000}" name="Пользовательский сегмент" dataDxfId="91"/>
    <tableColumn id="7" xr3:uid="{00000000-0010-0000-0000-000007000000}" name="Доказательство" dataDxfId="90"/>
    <tableColumn id="8" xr3:uid="{00000000-0010-0000-0000-000008000000}" name="Источник / ссылка" dataDxfId="89"/>
    <tableColumn id="9" xr3:uid="{00000000-0010-0000-0000-000009000000}" name="Достоверность 1–5" dataDxfId="88"/>
    <tableColumn id="10" xr3:uid="{00000000-0010-0000-0000-00000A000000}" name="Значимость 1–5" dataDxfId="87"/>
    <tableColumn id="11" xr3:uid="{00000000-0010-0000-0000-00000B000000}" name="Вывод для релизов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leaseRegistryTable" displayName="ReleaseRegistryTable" ref="A1:U25" headerRowDxfId="85" dataDxfId="0" totalsRowDxfId="84">
  <tableColumns count="21">
    <tableColumn id="1" xr3:uid="{00000000-0010-0000-0100-000001000000}" name="ID" dataDxfId="21"/>
    <tableColumn id="2" xr3:uid="{00000000-0010-0000-0100-000002000000}" name="Тип единицы" dataDxfId="20"/>
    <tableColumn id="3" xr3:uid="{00000000-0010-0000-0100-000003000000}" name="Название единицы разработки" dataDxfId="19"/>
    <tableColumn id="4" xr3:uid="{00000000-0010-0000-0100-000004000000}" name="Роль / сегмент" dataDxfId="18"/>
    <tableColumn id="5" xr3:uid="{00000000-0010-0000-0100-000005000000}" name="Связанный сценарий" dataDxfId="17"/>
    <tableColumn id="6" xr3:uid="{00000000-0010-0000-0100-000006000000}" name="Блок Канвас" dataDxfId="16"/>
    <tableColumn id="7" xr3:uid="{00000000-0010-0000-0100-000007000000}" name="Связь с ценностным предложением 1–5" dataDxfId="15"/>
    <tableColumn id="8" xr3:uid="{00000000-0010-0000-0100-000008000000}" name="Критичность для первого дохода 1–5" dataDxfId="14"/>
    <tableColumn id="9" xr3:uid="{00000000-0010-0000-0100-000009000000}" name="Потенциал удержания 1–5" dataDxfId="13"/>
    <tableColumn id="10" xr3:uid="{00000000-0010-0000-0100-00000A000000}" name="Потенциал роста аудитории 1–5" dataDxfId="12"/>
    <tableColumn id="11" xr3:uid="{00000000-0010-0000-0100-00000B000000}" name="Доказательность 1–5" dataDxfId="11"/>
    <tableColumn id="12" xr3:uid="{00000000-0010-0000-0100-00000C000000}" name="Рыночный стандарт 1–5" dataDxfId="10"/>
    <tableColumn id="13" xr3:uid="{00000000-0010-0000-0100-00000D000000}" name="Быстрота реализации 1–5" dataDxfId="9"/>
    <tableColumn id="14" xr3:uid="{00000000-0010-0000-0100-00000E000000}" name="Дешевизна реализации 1–5" dataDxfId="8"/>
    <tableColumn id="15" xr3:uid="{00000000-0010-0000-0100-00000F000000}" name="Технический риск 1–5" dataDxfId="7"/>
    <tableColumn id="16" xr3:uid="{00000000-0010-0000-0100-000010000000}" name="Риск потери ценности при переносе 1–5" dataDxfId="6"/>
    <tableColumn id="17" xr3:uid="{00000000-0010-0000-0100-000011000000}" name="Балл первого релиза" dataDxfId="5"/>
    <tableColumn id="18" xr3:uid="{00000000-0010-0000-0100-000012000000}" name="Балл следующих релизов" dataDxfId="4"/>
    <tableColumn id="19" xr3:uid="{00000000-0010-0000-0100-000013000000}" name="Рекомендованный релиз" dataDxfId="3"/>
    <tableColumn id="20" xr3:uid="{00000000-0010-0000-0100-000014000000}" name="Решение" dataDxfId="2"/>
    <tableColumn id="21" xr3:uid="{00000000-0010-0000-0100-000015000000}" name="Обоснование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irstReleasePlanTable" displayName="FirstReleasePlanTable" ref="A2:H7" headerRowDxfId="83" dataDxfId="82" totalsRowDxfId="81">
  <tableColumns count="8">
    <tableColumn id="1" xr3:uid="{00000000-0010-0000-0200-000001000000}" name="ID" dataDxfId="80"/>
    <tableColumn id="2" xr3:uid="{00000000-0010-0000-0200-000002000000}" name="Единица первого релиза" dataDxfId="79"/>
    <tableColumn id="3" xr3:uid="{00000000-0010-0000-0200-000003000000}" name="Зачем нужна в первом релизе" dataDxfId="78"/>
    <tableColumn id="4" xr3:uid="{00000000-0010-0000-0200-000004000000}" name="Проверяемая гипотеза" dataDxfId="77"/>
    <tableColumn id="5" xr3:uid="{00000000-0010-0000-0200-000005000000}" name="Минимальная реализация" dataDxfId="76"/>
    <tableColumn id="6" xr3:uid="{00000000-0010-0000-0200-000006000000}" name="Критерий готовности" dataDxfId="75"/>
    <tableColumn id="7" xr3:uid="{00000000-0010-0000-0200-000007000000}" name="Метрика после запуска" dataDxfId="74"/>
    <tableColumn id="8" xr3:uid="{00000000-0010-0000-0200-000008000000}" name="Ответственный" dataDxfId="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NextReleasePlanTable" displayName="NextReleasePlanTable" ref="A2:I8" headerRowDxfId="72" dataDxfId="71" totalsRowDxfId="70">
  <tableColumns count="9">
    <tableColumn id="1" xr3:uid="{00000000-0010-0000-0300-000001000000}" name="ID" dataDxfId="69"/>
    <tableColumn id="2" xr3:uid="{00000000-0010-0000-0300-000002000000}" name="Релиз" dataDxfId="68"/>
    <tableColumn id="3" xr3:uid="{00000000-0010-0000-0300-000003000000}" name="Единица развития" dataDxfId="67"/>
    <tableColumn id="4" xr3:uid="{00000000-0010-0000-0300-000004000000}" name="Основание переноса" dataDxfId="66"/>
    <tableColumn id="5" xr3:uid="{00000000-0010-0000-0300-000005000000}" name="Условие включения" dataDxfId="65"/>
    <tableColumn id="6" xr3:uid="{00000000-0010-0000-0300-000006000000}" name="Ожидаемый эффект" dataDxfId="64"/>
    <tableColumn id="7" xr3:uid="{00000000-0010-0000-0300-000007000000}" name="Связанная метрика" dataDxfId="63"/>
    <tableColumn id="8" xr3:uid="{00000000-0010-0000-0300-000008000000}" name="Зависимости" dataDxfId="62"/>
    <tableColumn id="9" xr3:uid="{00000000-0010-0000-0300-000009000000}" name="Комментарий" dataDxfId="6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oadmapTable" displayName="RoadmapTable" ref="A2:K6" headerRowDxfId="60" dataDxfId="59" totalsRowDxfId="58">
  <tableColumns count="11">
    <tableColumn id="1" xr3:uid="{00000000-0010-0000-0400-000001000000}" name="Релиз" dataDxfId="57"/>
    <tableColumn id="2" xr3:uid="{00000000-0010-0000-0400-000002000000}" name="Цель релиза" dataDxfId="56"/>
    <tableColumn id="3" xr3:uid="{00000000-0010-0000-0400-000003000000}" name="Состав" dataDxfId="55"/>
    <tableColumn id="4" xr3:uid="{00000000-0010-0000-0400-000004000000}" name="Ключевая гипотеза" dataDxfId="54"/>
    <tableColumn id="5" xr3:uid="{00000000-0010-0000-0400-000005000000}" name="Что измеряем" dataDxfId="53"/>
    <tableColumn id="6" xr3:uid="{00000000-0010-0000-0400-000006000000}" name="Критерий перехода к следующему релизу" dataDxfId="52"/>
    <tableColumn id="7" xr3:uid="{00000000-0010-0000-0400-000007000000}" name="Ограничение бюджета / срока" dataDxfId="51"/>
    <tableColumn id="8" xr3:uid="{00000000-0010-0000-0400-000008000000}" name="Риски" dataDxfId="50"/>
    <tableColumn id="9" xr3:uid="{00000000-0010-0000-0400-000009000000}" name="Решение по запуску" dataDxfId="49"/>
    <tableColumn id="10" xr3:uid="{00000000-0010-0000-0400-00000A000000}" name="Дата начала" dataDxfId="48"/>
    <tableColumn id="11" xr3:uid="{00000000-0010-0000-0400-00000B000000}" name="Дата окончания" dataDxfId="4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alueCheckTable" displayName="ValueCheckTable" ref="A2:I8" headerRowDxfId="46" dataDxfId="45" totalsRowDxfId="44">
  <tableColumns count="9">
    <tableColumn id="1" xr3:uid="{00000000-0010-0000-0500-000001000000}" name="Блок проверки" dataDxfId="43"/>
    <tableColumn id="2" xr3:uid="{00000000-0010-0000-0500-000002000000}" name="Контрольный вопрос" dataDxfId="42"/>
    <tableColumn id="3" xr3:uid="{00000000-0010-0000-0500-000003000000}" name="Оценка 1–5" dataDxfId="41"/>
    <tableColumn id="4" xr3:uid="{00000000-0010-0000-0500-000004000000}" name="Доказательство" dataDxfId="40"/>
    <tableColumn id="5" xr3:uid="{00000000-0010-0000-0500-000005000000}" name="Риск при низкой оценке" dataDxfId="39"/>
    <tableColumn id="6" xr3:uid="{00000000-0010-0000-0500-000006000000}" name="Решение" dataDxfId="38"/>
    <tableColumn id="7" xr3:uid="{00000000-0010-0000-0500-000007000000}" name="Что добавить / изменить" dataDxfId="37"/>
    <tableColumn id="8" xr3:uid="{00000000-0010-0000-0500-000008000000}" name="Ответственный" dataDxfId="36"/>
    <tableColumn id="9" xr3:uid="{00000000-0010-0000-0500-000009000000}" name="Статус" dataDxfId="3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RisksTable" displayName="RisksTable" ref="A2:J9" headerRowDxfId="34" dataDxfId="33" totalsRowDxfId="32">
  <tableColumns count="10">
    <tableColumn id="1" xr3:uid="{00000000-0010-0000-0600-000001000000}" name="ID" dataDxfId="31"/>
    <tableColumn id="2" xr3:uid="{00000000-0010-0000-0600-000002000000}" name="Единица / решение" dataDxfId="30"/>
    <tableColumn id="3" xr3:uid="{00000000-0010-0000-0600-000003000000}" name="Риск" dataDxfId="29"/>
    <tableColumn id="4" xr3:uid="{00000000-0010-0000-0600-000004000000}" name="Тип риска" dataDxfId="28"/>
    <tableColumn id="5" xr3:uid="{00000000-0010-0000-0600-000005000000}" name="Вероятность 1–5" dataDxfId="27"/>
    <tableColumn id="6" xr3:uid="{00000000-0010-0000-0600-000006000000}" name="Влияние 1–5" dataDxfId="26"/>
    <tableColumn id="7" xr3:uid="{00000000-0010-0000-0600-000007000000}" name="Индекс риска" dataDxfId="25"/>
    <tableColumn id="8" xr3:uid="{00000000-0010-0000-0600-000008000000}" name="Митигирующее действие" dataDxfId="24"/>
    <tableColumn id="9" xr3:uid="{00000000-0010-0000-0600-000009000000}" name="Связанный релиз" dataDxfId="23"/>
    <tableColumn id="10" xr3:uid="{00000000-0010-0000-0600-00000A000000}" name="Ответственный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zoomScale="77" zoomScaleNormal="77" workbookViewId="0">
      <selection activeCell="C14" sqref="C14"/>
    </sheetView>
  </sheetViews>
  <sheetFormatPr defaultRowHeight="13.5"/>
  <cols>
    <col min="1" max="1" width="44.5" customWidth="1"/>
    <col min="2" max="3" width="52.5625" customWidth="1"/>
    <col min="4" max="8" width="10.5625" customWidth="1"/>
  </cols>
  <sheetData>
    <row r="1" spans="1:8" ht="20" customHeight="1">
      <c r="A1" s="37" t="s">
        <v>475</v>
      </c>
      <c r="B1" s="38"/>
      <c r="C1" s="38"/>
    </row>
    <row r="2" spans="1:8" ht="14.25">
      <c r="A2" s="5" t="s">
        <v>0</v>
      </c>
      <c r="B2" s="5" t="s">
        <v>1</v>
      </c>
      <c r="C2" s="12" t="s">
        <v>2</v>
      </c>
      <c r="D2" s="1"/>
      <c r="E2" s="1"/>
      <c r="F2" s="1"/>
      <c r="G2" s="1"/>
      <c r="H2" s="1"/>
    </row>
    <row r="3" spans="1:8" ht="42.75">
      <c r="A3" s="6">
        <v>1</v>
      </c>
      <c r="B3" s="9" t="s">
        <v>3</v>
      </c>
      <c r="C3" s="13" t="s">
        <v>4</v>
      </c>
      <c r="D3" s="1"/>
      <c r="E3" s="1"/>
      <c r="F3" s="1"/>
      <c r="G3" s="1"/>
      <c r="H3" s="1"/>
    </row>
    <row r="4" spans="1:8" ht="28.5">
      <c r="A4" s="6">
        <v>2</v>
      </c>
      <c r="B4" s="9" t="s">
        <v>5</v>
      </c>
      <c r="C4" s="13" t="s">
        <v>6</v>
      </c>
      <c r="D4" s="1"/>
      <c r="E4" s="1"/>
      <c r="F4" s="1"/>
      <c r="G4" s="1"/>
      <c r="H4" s="1"/>
    </row>
    <row r="5" spans="1:8" ht="28.5">
      <c r="A5" s="6">
        <v>3</v>
      </c>
      <c r="B5" s="9" t="s">
        <v>7</v>
      </c>
      <c r="C5" s="13" t="s">
        <v>8</v>
      </c>
      <c r="D5" s="1"/>
      <c r="E5" s="1"/>
      <c r="F5" s="1"/>
      <c r="G5" s="1"/>
      <c r="H5" s="1"/>
    </row>
    <row r="6" spans="1:8" ht="28.5">
      <c r="A6" s="6">
        <v>4</v>
      </c>
      <c r="B6" s="9" t="s">
        <v>9</v>
      </c>
      <c r="C6" s="13" t="s">
        <v>10</v>
      </c>
      <c r="D6" s="1"/>
      <c r="E6" s="1"/>
      <c r="F6" s="1"/>
      <c r="G6" s="1"/>
      <c r="H6" s="1"/>
    </row>
    <row r="7" spans="1:8" ht="14.25">
      <c r="A7" s="7">
        <v>5</v>
      </c>
      <c r="B7" s="10" t="s">
        <v>11</v>
      </c>
      <c r="C7" s="11" t="s">
        <v>12</v>
      </c>
      <c r="D7" s="1"/>
      <c r="E7" s="1"/>
      <c r="F7" s="1"/>
      <c r="G7" s="1"/>
      <c r="H7" s="1"/>
    </row>
    <row r="8" spans="1:8" ht="14.25">
      <c r="D8" s="1"/>
      <c r="E8" s="1"/>
      <c r="F8" s="1"/>
      <c r="G8" s="1"/>
      <c r="H8" s="1"/>
    </row>
    <row r="9" spans="1:8" ht="14.25">
      <c r="D9" s="1"/>
      <c r="E9" s="1"/>
      <c r="F9" s="1"/>
      <c r="G9" s="1"/>
      <c r="H9" s="1"/>
    </row>
    <row r="10" spans="1:8" ht="14.25">
      <c r="D10" s="1"/>
      <c r="E10" s="1"/>
      <c r="F10" s="1"/>
      <c r="G10" s="1"/>
      <c r="H10" s="1"/>
    </row>
    <row r="11" spans="1:8" ht="14.25">
      <c r="D11" s="1"/>
      <c r="E11" s="1"/>
      <c r="F11" s="1"/>
      <c r="G11" s="1"/>
      <c r="H11" s="1"/>
    </row>
    <row r="12" spans="1:8" ht="14.25">
      <c r="D12" s="1"/>
      <c r="E12" s="1"/>
      <c r="F12" s="1"/>
      <c r="G12" s="1"/>
      <c r="H12" s="1"/>
    </row>
    <row r="13" spans="1:8" ht="14.25">
      <c r="D13" s="1"/>
      <c r="E13" s="1"/>
      <c r="F13" s="1"/>
      <c r="G13" s="1"/>
      <c r="H13" s="1"/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3"/>
  <sheetViews>
    <sheetView topLeftCell="E1" zoomScale="64" workbookViewId="0">
      <selection activeCell="D15" sqref="D15"/>
    </sheetView>
  </sheetViews>
  <sheetFormatPr defaultRowHeight="13.5"/>
  <cols>
    <col min="1" max="1" width="10.5625" style="36" customWidth="1"/>
    <col min="2" max="2" width="28.75" style="36" customWidth="1"/>
    <col min="3" max="3" width="25.625" style="36" customWidth="1"/>
    <col min="4" max="4" width="66.25" style="36" customWidth="1"/>
    <col min="5" max="5" width="52.5625" style="36" customWidth="1"/>
    <col min="6" max="8" width="26.6875" style="36" customWidth="1"/>
    <col min="9" max="9" width="23.1875" style="36" customWidth="1"/>
    <col min="10" max="10" width="22.5625" style="36" customWidth="1"/>
    <col min="11" max="11" width="43.0625" style="36" customWidth="1"/>
    <col min="12" max="12" width="27.9375" style="36" customWidth="1"/>
    <col min="13" max="16384" width="9" style="36"/>
  </cols>
  <sheetData>
    <row r="1" spans="1:11" ht="39" customHeight="1">
      <c r="A1" s="35" t="s">
        <v>13</v>
      </c>
      <c r="B1" s="35" t="s">
        <v>14</v>
      </c>
      <c r="C1" s="35" t="s">
        <v>15</v>
      </c>
      <c r="D1" s="35" t="s">
        <v>16</v>
      </c>
      <c r="E1" s="35" t="s">
        <v>17</v>
      </c>
      <c r="F1" s="35" t="s">
        <v>18</v>
      </c>
      <c r="G1" s="35" t="s">
        <v>19</v>
      </c>
      <c r="H1" s="35" t="s">
        <v>20</v>
      </c>
      <c r="I1" s="35" t="s">
        <v>21</v>
      </c>
      <c r="J1" s="35" t="s">
        <v>22</v>
      </c>
      <c r="K1" s="35" t="s">
        <v>23</v>
      </c>
    </row>
    <row r="2" spans="1:11" ht="14.25">
      <c r="A2" s="14" t="s">
        <v>24</v>
      </c>
      <c r="B2" s="14" t="s">
        <v>198</v>
      </c>
      <c r="C2" s="14" t="s">
        <v>199</v>
      </c>
      <c r="D2" s="14" t="s">
        <v>476</v>
      </c>
      <c r="E2" s="14" t="s">
        <v>200</v>
      </c>
      <c r="F2" s="14" t="s">
        <v>201</v>
      </c>
      <c r="G2" s="14" t="s">
        <v>202</v>
      </c>
      <c r="H2" s="14" t="s">
        <v>202</v>
      </c>
      <c r="I2" s="28">
        <v>4</v>
      </c>
      <c r="J2" s="28">
        <v>5</v>
      </c>
      <c r="K2" s="14" t="s">
        <v>203</v>
      </c>
    </row>
    <row r="3" spans="1:11" ht="14.25">
      <c r="A3" s="14" t="s">
        <v>26</v>
      </c>
      <c r="B3" s="14" t="s">
        <v>204</v>
      </c>
      <c r="C3" s="14" t="s">
        <v>205</v>
      </c>
      <c r="D3" s="14" t="s">
        <v>206</v>
      </c>
      <c r="E3" s="14" t="s">
        <v>477</v>
      </c>
      <c r="F3" s="14" t="s">
        <v>201</v>
      </c>
      <c r="G3" s="14" t="s">
        <v>207</v>
      </c>
      <c r="H3" s="14" t="s">
        <v>207</v>
      </c>
      <c r="I3" s="28">
        <v>4</v>
      </c>
      <c r="J3" s="28">
        <v>5</v>
      </c>
      <c r="K3" s="14" t="s">
        <v>203</v>
      </c>
    </row>
    <row r="4" spans="1:11" ht="14.25">
      <c r="A4" s="14" t="s">
        <v>29</v>
      </c>
      <c r="B4" s="14" t="s">
        <v>208</v>
      </c>
      <c r="C4" s="14" t="s">
        <v>209</v>
      </c>
      <c r="D4" s="14" t="s">
        <v>210</v>
      </c>
      <c r="E4" s="14" t="s">
        <v>211</v>
      </c>
      <c r="F4" s="14" t="s">
        <v>201</v>
      </c>
      <c r="G4" s="14" t="s">
        <v>212</v>
      </c>
      <c r="H4" s="14" t="s">
        <v>212</v>
      </c>
      <c r="I4" s="28">
        <v>4</v>
      </c>
      <c r="J4" s="28">
        <v>5</v>
      </c>
      <c r="K4" s="14" t="s">
        <v>203</v>
      </c>
    </row>
    <row r="5" spans="1:11" ht="14.25">
      <c r="A5" s="14" t="s">
        <v>31</v>
      </c>
      <c r="B5" s="14" t="s">
        <v>213</v>
      </c>
      <c r="C5" s="14" t="s">
        <v>214</v>
      </c>
      <c r="D5" s="14" t="s">
        <v>215</v>
      </c>
      <c r="E5" s="14" t="s">
        <v>216</v>
      </c>
      <c r="F5" s="14" t="s">
        <v>201</v>
      </c>
      <c r="G5" s="14" t="s">
        <v>217</v>
      </c>
      <c r="H5" s="14" t="s">
        <v>217</v>
      </c>
      <c r="I5" s="28">
        <v>5</v>
      </c>
      <c r="J5" s="28">
        <v>4</v>
      </c>
      <c r="K5" s="14" t="s">
        <v>203</v>
      </c>
    </row>
    <row r="6" spans="1:11" ht="14.25">
      <c r="A6" s="14" t="s">
        <v>33</v>
      </c>
      <c r="B6" s="14" t="s">
        <v>218</v>
      </c>
      <c r="C6" s="14" t="s">
        <v>219</v>
      </c>
      <c r="D6" s="14" t="s">
        <v>478</v>
      </c>
      <c r="E6" s="14" t="s">
        <v>479</v>
      </c>
      <c r="F6" s="14" t="s">
        <v>201</v>
      </c>
      <c r="G6" s="14" t="s">
        <v>220</v>
      </c>
      <c r="H6" s="14" t="s">
        <v>220</v>
      </c>
      <c r="I6" s="28">
        <v>5</v>
      </c>
      <c r="J6" s="28">
        <v>4</v>
      </c>
      <c r="K6" s="14" t="s">
        <v>203</v>
      </c>
    </row>
    <row r="7" spans="1:11" ht="28.5">
      <c r="A7" s="14" t="s">
        <v>221</v>
      </c>
      <c r="B7" s="14" t="s">
        <v>191</v>
      </c>
      <c r="C7" s="14" t="s">
        <v>222</v>
      </c>
      <c r="D7" s="14" t="s">
        <v>223</v>
      </c>
      <c r="E7" s="14" t="s">
        <v>224</v>
      </c>
      <c r="F7" s="14" t="s">
        <v>201</v>
      </c>
      <c r="G7" s="14" t="s">
        <v>225</v>
      </c>
      <c r="H7" s="14" t="s">
        <v>225</v>
      </c>
      <c r="I7" s="28">
        <v>4</v>
      </c>
      <c r="J7" s="28">
        <v>5</v>
      </c>
      <c r="K7" s="14" t="s">
        <v>203</v>
      </c>
    </row>
    <row r="8" spans="1:11" ht="14.25">
      <c r="A8" s="14" t="s">
        <v>226</v>
      </c>
      <c r="B8" s="14" t="s">
        <v>191</v>
      </c>
      <c r="C8" s="14" t="s">
        <v>222</v>
      </c>
      <c r="D8" s="14" t="s">
        <v>227</v>
      </c>
      <c r="E8" s="14" t="s">
        <v>228</v>
      </c>
      <c r="F8" s="14" t="s">
        <v>201</v>
      </c>
      <c r="G8" s="14" t="s">
        <v>229</v>
      </c>
      <c r="H8" s="14" t="s">
        <v>229</v>
      </c>
      <c r="I8" s="28">
        <v>4</v>
      </c>
      <c r="J8" s="28">
        <v>5</v>
      </c>
      <c r="K8" s="14" t="s">
        <v>203</v>
      </c>
    </row>
    <row r="9" spans="1:11" ht="14.25">
      <c r="A9" s="14" t="s">
        <v>230</v>
      </c>
      <c r="B9" s="14" t="s">
        <v>231</v>
      </c>
      <c r="C9" s="14" t="s">
        <v>232</v>
      </c>
      <c r="D9" s="14" t="s">
        <v>233</v>
      </c>
      <c r="E9" s="14" t="s">
        <v>234</v>
      </c>
      <c r="F9" s="14" t="s">
        <v>201</v>
      </c>
      <c r="G9" s="14" t="s">
        <v>235</v>
      </c>
      <c r="H9" s="14" t="s">
        <v>235</v>
      </c>
      <c r="I9" s="28">
        <v>5</v>
      </c>
      <c r="J9" s="28">
        <v>4</v>
      </c>
      <c r="K9" s="14" t="s">
        <v>203</v>
      </c>
    </row>
    <row r="10" spans="1:11" ht="28.5">
      <c r="A10" s="14" t="s">
        <v>236</v>
      </c>
      <c r="B10" s="14" t="s">
        <v>237</v>
      </c>
      <c r="C10" s="14" t="s">
        <v>222</v>
      </c>
      <c r="D10" s="14" t="s">
        <v>480</v>
      </c>
      <c r="E10" s="14" t="s">
        <v>238</v>
      </c>
      <c r="F10" s="14" t="s">
        <v>201</v>
      </c>
      <c r="G10" s="14" t="s">
        <v>239</v>
      </c>
      <c r="H10" s="14" t="s">
        <v>239</v>
      </c>
      <c r="I10" s="28">
        <v>4</v>
      </c>
      <c r="J10" s="28">
        <v>4</v>
      </c>
      <c r="K10" s="14" t="s">
        <v>203</v>
      </c>
    </row>
    <row r="11" spans="1:11" ht="14.25">
      <c r="A11" s="14" t="s">
        <v>240</v>
      </c>
      <c r="B11" s="14" t="s">
        <v>241</v>
      </c>
      <c r="C11" s="14" t="s">
        <v>242</v>
      </c>
      <c r="D11" s="14" t="s">
        <v>243</v>
      </c>
      <c r="E11" s="14" t="s">
        <v>244</v>
      </c>
      <c r="F11" s="14" t="s">
        <v>201</v>
      </c>
      <c r="G11" s="14" t="s">
        <v>245</v>
      </c>
      <c r="H11" s="14" t="s">
        <v>245</v>
      </c>
      <c r="I11" s="28">
        <v>4</v>
      </c>
      <c r="J11" s="28">
        <v>5</v>
      </c>
      <c r="K11" s="14" t="s">
        <v>203</v>
      </c>
    </row>
    <row r="12" spans="1:11" ht="14.25">
      <c r="A12" s="14" t="s">
        <v>246</v>
      </c>
      <c r="B12" s="14" t="s">
        <v>247</v>
      </c>
      <c r="C12" s="14" t="s">
        <v>205</v>
      </c>
      <c r="D12" s="14" t="s">
        <v>248</v>
      </c>
      <c r="E12" s="14" t="s">
        <v>249</v>
      </c>
      <c r="F12" s="14" t="s">
        <v>201</v>
      </c>
      <c r="G12" s="14" t="s">
        <v>250</v>
      </c>
      <c r="H12" s="14" t="s">
        <v>250</v>
      </c>
      <c r="I12" s="28">
        <v>4</v>
      </c>
      <c r="J12" s="28">
        <v>4</v>
      </c>
      <c r="K12" s="14" t="s">
        <v>203</v>
      </c>
    </row>
    <row r="13" spans="1:11" ht="14.25">
      <c r="A13" s="15" t="s">
        <v>251</v>
      </c>
      <c r="B13" s="15" t="s">
        <v>80</v>
      </c>
      <c r="C13" s="15" t="s">
        <v>252</v>
      </c>
      <c r="D13" s="15" t="s">
        <v>253</v>
      </c>
      <c r="E13" s="15" t="s">
        <v>254</v>
      </c>
      <c r="F13" s="15" t="s">
        <v>201</v>
      </c>
      <c r="G13" s="15" t="s">
        <v>255</v>
      </c>
      <c r="H13" s="15" t="s">
        <v>255</v>
      </c>
      <c r="I13" s="30">
        <v>4</v>
      </c>
      <c r="J13" s="30">
        <v>4</v>
      </c>
      <c r="K13" s="15" t="s">
        <v>203</v>
      </c>
    </row>
  </sheetData>
  <dataValidations count="1">
    <dataValidation type="whole" sqref="I2:J13" xr:uid="{00000000-0002-0000-0100-000001000000}">
      <formula1>1</formula1>
      <formula2>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0000000}">
          <x14:formula1>
            <xm:f>Справочники!$A$2:$A$9</xm:f>
          </x14:formula1>
          <xm:sqref>B2:B13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5"/>
  <sheetViews>
    <sheetView tabSelected="1" topLeftCell="D1" zoomScale="49" workbookViewId="0">
      <selection activeCell="D43" sqref="D43"/>
    </sheetView>
  </sheetViews>
  <sheetFormatPr defaultRowHeight="13.5"/>
  <cols>
    <col min="1" max="1" width="10.5625" customWidth="1"/>
    <col min="2" max="2" width="20.375" customWidth="1"/>
    <col min="3" max="3" width="52.5625" customWidth="1"/>
    <col min="4" max="4" width="43.4375" customWidth="1"/>
    <col min="5" max="5" width="10.5625" customWidth="1"/>
    <col min="6" max="6" width="26.6875" customWidth="1"/>
    <col min="7" max="18" width="10.5625" customWidth="1"/>
    <col min="19" max="19" width="19.3125" customWidth="1"/>
    <col min="20" max="20" width="43.4375" customWidth="1"/>
    <col min="21" max="21" width="52.5625" customWidth="1"/>
  </cols>
  <sheetData>
    <row r="1" spans="1:21" ht="108">
      <c r="A1" s="24" t="s">
        <v>35</v>
      </c>
      <c r="B1" s="24" t="s">
        <v>36</v>
      </c>
      <c r="C1" s="24" t="s">
        <v>37</v>
      </c>
      <c r="D1" s="24" t="s">
        <v>38</v>
      </c>
      <c r="E1" s="24" t="s">
        <v>39</v>
      </c>
      <c r="F1" s="24" t="s">
        <v>40</v>
      </c>
      <c r="G1" s="24" t="s">
        <v>41</v>
      </c>
      <c r="H1" s="24" t="s">
        <v>42</v>
      </c>
      <c r="I1" s="24" t="s">
        <v>43</v>
      </c>
      <c r="J1" s="24" t="s">
        <v>44</v>
      </c>
      <c r="K1" s="24" t="s">
        <v>45</v>
      </c>
      <c r="L1" s="24" t="s">
        <v>46</v>
      </c>
      <c r="M1" s="24" t="s">
        <v>47</v>
      </c>
      <c r="N1" s="24" t="s">
        <v>48</v>
      </c>
      <c r="O1" s="24" t="s">
        <v>49</v>
      </c>
      <c r="P1" s="24" t="s">
        <v>50</v>
      </c>
      <c r="Q1" s="24" t="s">
        <v>51</v>
      </c>
      <c r="R1" s="24" t="s">
        <v>52</v>
      </c>
      <c r="S1" s="24" t="s">
        <v>53</v>
      </c>
      <c r="T1" s="24" t="s">
        <v>54</v>
      </c>
      <c r="U1" s="25" t="s">
        <v>55</v>
      </c>
    </row>
    <row r="2" spans="1:21" ht="14.25">
      <c r="A2" s="14" t="s">
        <v>56</v>
      </c>
      <c r="B2" s="14" t="s">
        <v>60</v>
      </c>
      <c r="C2" s="17" t="s">
        <v>256</v>
      </c>
      <c r="D2" s="17" t="s">
        <v>257</v>
      </c>
      <c r="E2" s="14" t="s">
        <v>258</v>
      </c>
      <c r="F2" s="14" t="s">
        <v>58</v>
      </c>
      <c r="G2" s="14">
        <v>4</v>
      </c>
      <c r="H2" s="14">
        <v>3</v>
      </c>
      <c r="I2" s="14">
        <v>3</v>
      </c>
      <c r="J2" s="14">
        <v>5</v>
      </c>
      <c r="K2" s="14">
        <v>4</v>
      </c>
      <c r="L2" s="14">
        <v>4</v>
      </c>
      <c r="M2" s="14">
        <v>5</v>
      </c>
      <c r="N2" s="14">
        <v>5</v>
      </c>
      <c r="O2" s="14">
        <v>1</v>
      </c>
      <c r="P2" s="14">
        <v>3</v>
      </c>
      <c r="Q2" s="14">
        <f t="shared" ref="Q2:Q25" si="0">IF(A2="","",ROUND((G2*0.18)+(H2*0.15)+(I2*0.12)+(J2*0.08)+(K2*0.13)+(L2*0.1)+(M2*0.12)+(N2*0.12)-(O2*0.07)+(P2*0.1),2))</f>
        <v>4.28</v>
      </c>
      <c r="R2" s="14">
        <f t="shared" ref="R2:R25" si="1">IF(A2="","",ROUND((I2*0.16)+(J2*0.2)+(K2*0.12)+(L2*0.1)+((6-M2)*0.08)+((6-N2)*0.08)+(O2*0.06)+(P2*0.14)+(G2*0.06),2))</f>
        <v>3.24</v>
      </c>
      <c r="S2" s="14" t="str">
        <f t="shared" ref="S2:S25" si="2">IF(A2="","",IF(AND(G2&gt;=4,H2&gt;=4,K2&gt;=3,P2&gt;=4),"Первый релиз",IF(Q2&gt;=3.7,"Первый релиз",IF(R2&gt;=3.6,"Следующий релиз","Не включать"))))</f>
        <v>Первый релиз</v>
      </c>
      <c r="T2" s="17" t="str">
        <f t="shared" ref="T2:T25" si="3">IF(A2="","",IF(S2="Первый релиз","Включить в минимальный рыночный выпуск",IF(S2="Следующий релиз","Запланировать на следующие релизы","Оставить как гипотезу")))</f>
        <v>Включить в минимальный рыночный выпуск</v>
      </c>
      <c r="U2" s="26" t="s">
        <v>259</v>
      </c>
    </row>
    <row r="3" spans="1:21" ht="14.25">
      <c r="A3" s="14" t="s">
        <v>59</v>
      </c>
      <c r="B3" s="14" t="s">
        <v>57</v>
      </c>
      <c r="C3" s="17" t="s">
        <v>260</v>
      </c>
      <c r="D3" s="17" t="s">
        <v>257</v>
      </c>
      <c r="E3" s="14" t="s">
        <v>258</v>
      </c>
      <c r="F3" s="14" t="s">
        <v>30</v>
      </c>
      <c r="G3" s="14">
        <v>5</v>
      </c>
      <c r="H3" s="14">
        <v>4</v>
      </c>
      <c r="I3" s="14">
        <v>4</v>
      </c>
      <c r="J3" s="14">
        <v>5</v>
      </c>
      <c r="K3" s="14">
        <v>4</v>
      </c>
      <c r="L3" s="14">
        <v>5</v>
      </c>
      <c r="M3" s="14">
        <v>4</v>
      </c>
      <c r="N3" s="14">
        <v>4</v>
      </c>
      <c r="O3" s="14">
        <v>2</v>
      </c>
      <c r="P3" s="14">
        <v>5</v>
      </c>
      <c r="Q3" s="14">
        <f t="shared" si="0"/>
        <v>4.72</v>
      </c>
      <c r="R3" s="14">
        <f t="shared" si="1"/>
        <v>4.0599999999999996</v>
      </c>
      <c r="S3" s="14" t="str">
        <f t="shared" si="2"/>
        <v>Первый релиз</v>
      </c>
      <c r="T3" s="17" t="str">
        <f t="shared" si="3"/>
        <v>Включить в минимальный рыночный выпуск</v>
      </c>
      <c r="U3" s="26" t="s">
        <v>261</v>
      </c>
    </row>
    <row r="4" spans="1:21" ht="14.25">
      <c r="A4" s="14" t="s">
        <v>62</v>
      </c>
      <c r="B4" s="14" t="s">
        <v>57</v>
      </c>
      <c r="C4" s="17" t="s">
        <v>481</v>
      </c>
      <c r="D4" s="17" t="s">
        <v>257</v>
      </c>
      <c r="E4" s="14" t="s">
        <v>258</v>
      </c>
      <c r="F4" s="14" t="s">
        <v>30</v>
      </c>
      <c r="G4" s="14">
        <v>5</v>
      </c>
      <c r="H4" s="14">
        <v>4</v>
      </c>
      <c r="I4" s="14">
        <v>4</v>
      </c>
      <c r="J4" s="14">
        <v>4</v>
      </c>
      <c r="K4" s="14">
        <v>5</v>
      </c>
      <c r="L4" s="14">
        <v>5</v>
      </c>
      <c r="M4" s="14">
        <v>4</v>
      </c>
      <c r="N4" s="14">
        <v>4</v>
      </c>
      <c r="O4" s="14">
        <v>2</v>
      </c>
      <c r="P4" s="14">
        <v>5</v>
      </c>
      <c r="Q4" s="14">
        <f t="shared" si="0"/>
        <v>4.7699999999999996</v>
      </c>
      <c r="R4" s="14">
        <f t="shared" si="1"/>
        <v>3.98</v>
      </c>
      <c r="S4" s="14" t="str">
        <f t="shared" si="2"/>
        <v>Первый релиз</v>
      </c>
      <c r="T4" s="17" t="str">
        <f t="shared" si="3"/>
        <v>Включить в минимальный рыночный выпуск</v>
      </c>
      <c r="U4" s="26" t="s">
        <v>262</v>
      </c>
    </row>
    <row r="5" spans="1:21" ht="14.25">
      <c r="A5" s="14" t="s">
        <v>64</v>
      </c>
      <c r="B5" s="14" t="s">
        <v>57</v>
      </c>
      <c r="C5" s="17" t="s">
        <v>263</v>
      </c>
      <c r="D5" s="17" t="s">
        <v>257</v>
      </c>
      <c r="E5" s="14" t="s">
        <v>258</v>
      </c>
      <c r="F5" s="14" t="s">
        <v>30</v>
      </c>
      <c r="G5" s="14">
        <v>5</v>
      </c>
      <c r="H5" s="14">
        <v>3</v>
      </c>
      <c r="I5" s="14">
        <v>4</v>
      </c>
      <c r="J5" s="14">
        <v>4</v>
      </c>
      <c r="K5" s="14">
        <v>5</v>
      </c>
      <c r="L5" s="14">
        <v>3</v>
      </c>
      <c r="M5" s="14">
        <v>3</v>
      </c>
      <c r="N5" s="14">
        <v>3</v>
      </c>
      <c r="O5" s="14">
        <v>3</v>
      </c>
      <c r="P5" s="14">
        <v>5</v>
      </c>
      <c r="Q5" s="14">
        <f t="shared" si="0"/>
        <v>4.1100000000000003</v>
      </c>
      <c r="R5" s="14">
        <f t="shared" si="1"/>
        <v>4</v>
      </c>
      <c r="S5" s="14" t="str">
        <f t="shared" si="2"/>
        <v>Первый релиз</v>
      </c>
      <c r="T5" s="17" t="str">
        <f t="shared" si="3"/>
        <v>Включить в минимальный рыночный выпуск</v>
      </c>
      <c r="U5" s="26" t="s">
        <v>264</v>
      </c>
    </row>
    <row r="6" spans="1:21" ht="14.25">
      <c r="A6" s="14" t="s">
        <v>66</v>
      </c>
      <c r="B6" s="14" t="s">
        <v>63</v>
      </c>
      <c r="C6" s="17" t="s">
        <v>265</v>
      </c>
      <c r="D6" s="17" t="s">
        <v>266</v>
      </c>
      <c r="E6" s="14" t="s">
        <v>267</v>
      </c>
      <c r="F6" s="14" t="s">
        <v>61</v>
      </c>
      <c r="G6" s="14">
        <v>4</v>
      </c>
      <c r="H6" s="14">
        <v>4</v>
      </c>
      <c r="I6" s="14">
        <v>4</v>
      </c>
      <c r="J6" s="14">
        <v>4</v>
      </c>
      <c r="K6" s="14">
        <v>4</v>
      </c>
      <c r="L6" s="14">
        <v>4</v>
      </c>
      <c r="M6" s="14">
        <v>4</v>
      </c>
      <c r="N6" s="14">
        <v>3</v>
      </c>
      <c r="O6" s="14">
        <v>2</v>
      </c>
      <c r="P6" s="14">
        <v>4</v>
      </c>
      <c r="Q6" s="14">
        <f t="shared" si="0"/>
        <v>4.1399999999999997</v>
      </c>
      <c r="R6" s="14">
        <f t="shared" si="1"/>
        <v>3.64</v>
      </c>
      <c r="S6" s="14" t="str">
        <f t="shared" si="2"/>
        <v>Первый релиз</v>
      </c>
      <c r="T6" s="17" t="str">
        <f t="shared" si="3"/>
        <v>Включить в минимальный рыночный выпуск</v>
      </c>
      <c r="U6" s="26" t="s">
        <v>268</v>
      </c>
    </row>
    <row r="7" spans="1:21" ht="14.25">
      <c r="A7" s="14" t="s">
        <v>69</v>
      </c>
      <c r="B7" s="14" t="s">
        <v>57</v>
      </c>
      <c r="C7" s="17" t="s">
        <v>269</v>
      </c>
      <c r="D7" s="17" t="s">
        <v>257</v>
      </c>
      <c r="E7" s="14" t="s">
        <v>270</v>
      </c>
      <c r="F7" s="14" t="s">
        <v>78</v>
      </c>
      <c r="G7" s="14">
        <v>3</v>
      </c>
      <c r="H7" s="14">
        <v>5</v>
      </c>
      <c r="I7" s="14">
        <v>3</v>
      </c>
      <c r="J7" s="14">
        <v>3</v>
      </c>
      <c r="K7" s="14">
        <v>3</v>
      </c>
      <c r="L7" s="14">
        <v>5</v>
      </c>
      <c r="M7" s="14">
        <v>5</v>
      </c>
      <c r="N7" s="14">
        <v>5</v>
      </c>
      <c r="O7" s="14">
        <v>1</v>
      </c>
      <c r="P7" s="14">
        <v>4</v>
      </c>
      <c r="Q7" s="14">
        <f t="shared" si="0"/>
        <v>4.3099999999999996</v>
      </c>
      <c r="R7" s="14">
        <f t="shared" si="1"/>
        <v>2.9</v>
      </c>
      <c r="S7" s="14" t="str">
        <f t="shared" si="2"/>
        <v>Первый релиз</v>
      </c>
      <c r="T7" s="17" t="str">
        <f t="shared" si="3"/>
        <v>Включить в минимальный рыночный выпуск</v>
      </c>
      <c r="U7" s="26" t="s">
        <v>271</v>
      </c>
    </row>
    <row r="8" spans="1:21" ht="14.25">
      <c r="A8" s="14" t="s">
        <v>72</v>
      </c>
      <c r="B8" s="14" t="s">
        <v>60</v>
      </c>
      <c r="C8" s="17" t="s">
        <v>28</v>
      </c>
      <c r="D8" s="17" t="s">
        <v>266</v>
      </c>
      <c r="E8" s="14" t="s">
        <v>272</v>
      </c>
      <c r="F8" s="14" t="s">
        <v>61</v>
      </c>
      <c r="G8" s="14">
        <v>3</v>
      </c>
      <c r="H8" s="14">
        <v>5</v>
      </c>
      <c r="I8" s="14">
        <v>2</v>
      </c>
      <c r="J8" s="14">
        <v>3</v>
      </c>
      <c r="K8" s="14">
        <v>5</v>
      </c>
      <c r="L8" s="14">
        <v>5</v>
      </c>
      <c r="M8" s="14">
        <v>5</v>
      </c>
      <c r="N8" s="14">
        <v>5</v>
      </c>
      <c r="O8" s="14">
        <v>1</v>
      </c>
      <c r="P8" s="14">
        <v>4</v>
      </c>
      <c r="Q8" s="14">
        <f t="shared" si="0"/>
        <v>4.45</v>
      </c>
      <c r="R8" s="14">
        <f t="shared" si="1"/>
        <v>2.98</v>
      </c>
      <c r="S8" s="14" t="str">
        <f t="shared" si="2"/>
        <v>Первый релиз</v>
      </c>
      <c r="T8" s="17" t="str">
        <f t="shared" si="3"/>
        <v>Включить в минимальный рыночный выпуск</v>
      </c>
      <c r="U8" s="26" t="s">
        <v>273</v>
      </c>
    </row>
    <row r="9" spans="1:21" ht="14.25">
      <c r="A9" s="14" t="s">
        <v>74</v>
      </c>
      <c r="B9" s="14" t="s">
        <v>67</v>
      </c>
      <c r="C9" s="17" t="s">
        <v>274</v>
      </c>
      <c r="D9" s="17" t="s">
        <v>266</v>
      </c>
      <c r="E9" s="14" t="s">
        <v>272</v>
      </c>
      <c r="F9" s="14" t="s">
        <v>61</v>
      </c>
      <c r="G9" s="14">
        <v>4</v>
      </c>
      <c r="H9" s="14">
        <v>5</v>
      </c>
      <c r="I9" s="14">
        <v>3</v>
      </c>
      <c r="J9" s="14">
        <v>2</v>
      </c>
      <c r="K9" s="14">
        <v>4</v>
      </c>
      <c r="L9" s="14">
        <v>5</v>
      </c>
      <c r="M9" s="14">
        <v>3</v>
      </c>
      <c r="N9" s="14">
        <v>3</v>
      </c>
      <c r="O9" s="14">
        <v>3</v>
      </c>
      <c r="P9" s="14">
        <v>5</v>
      </c>
      <c r="Q9" s="14">
        <f t="shared" si="0"/>
        <v>4.0199999999999996</v>
      </c>
      <c r="R9" s="14">
        <f t="shared" si="1"/>
        <v>3.46</v>
      </c>
      <c r="S9" s="14" t="str">
        <f t="shared" si="2"/>
        <v>Первый релиз</v>
      </c>
      <c r="T9" s="17" t="str">
        <f t="shared" si="3"/>
        <v>Включить в минимальный рыночный выпуск</v>
      </c>
      <c r="U9" s="26" t="s">
        <v>275</v>
      </c>
    </row>
    <row r="10" spans="1:21" ht="14.25">
      <c r="A10" s="14" t="s">
        <v>77</v>
      </c>
      <c r="B10" s="14" t="s">
        <v>73</v>
      </c>
      <c r="C10" s="17" t="s">
        <v>276</v>
      </c>
      <c r="D10" s="17" t="s">
        <v>277</v>
      </c>
      <c r="E10" s="14" t="s">
        <v>278</v>
      </c>
      <c r="F10" s="14" t="s">
        <v>71</v>
      </c>
      <c r="G10" s="14">
        <v>4</v>
      </c>
      <c r="H10" s="14">
        <v>3</v>
      </c>
      <c r="I10" s="14">
        <v>3</v>
      </c>
      <c r="J10" s="14">
        <v>3</v>
      </c>
      <c r="K10" s="14">
        <v>4</v>
      </c>
      <c r="L10" s="14">
        <v>5</v>
      </c>
      <c r="M10" s="14">
        <v>4</v>
      </c>
      <c r="N10" s="14">
        <v>4</v>
      </c>
      <c r="O10" s="14">
        <v>1</v>
      </c>
      <c r="P10" s="14">
        <v>5</v>
      </c>
      <c r="Q10" s="14">
        <f t="shared" si="0"/>
        <v>4.18</v>
      </c>
      <c r="R10" s="14">
        <f t="shared" si="1"/>
        <v>3.38</v>
      </c>
      <c r="S10" s="14" t="str">
        <f t="shared" si="2"/>
        <v>Первый релиз</v>
      </c>
      <c r="T10" s="17" t="str">
        <f t="shared" si="3"/>
        <v>Включить в минимальный рыночный выпуск</v>
      </c>
      <c r="U10" s="26" t="s">
        <v>279</v>
      </c>
    </row>
    <row r="11" spans="1:21" ht="14.25">
      <c r="A11" s="14" t="s">
        <v>79</v>
      </c>
      <c r="B11" s="14" t="s">
        <v>63</v>
      </c>
      <c r="C11" s="17" t="s">
        <v>280</v>
      </c>
      <c r="D11" s="17" t="s">
        <v>277</v>
      </c>
      <c r="E11" s="14" t="s">
        <v>278</v>
      </c>
      <c r="F11" s="14" t="s">
        <v>71</v>
      </c>
      <c r="G11" s="14">
        <v>4</v>
      </c>
      <c r="H11" s="14">
        <v>3</v>
      </c>
      <c r="I11" s="14">
        <v>2</v>
      </c>
      <c r="J11" s="14">
        <v>2</v>
      </c>
      <c r="K11" s="14">
        <v>4</v>
      </c>
      <c r="L11" s="14">
        <v>5</v>
      </c>
      <c r="M11" s="14">
        <v>4</v>
      </c>
      <c r="N11" s="14">
        <v>4</v>
      </c>
      <c r="O11" s="14">
        <v>2</v>
      </c>
      <c r="P11" s="14">
        <v>4</v>
      </c>
      <c r="Q11" s="14">
        <f t="shared" si="0"/>
        <v>3.81</v>
      </c>
      <c r="R11" s="14">
        <f t="shared" si="1"/>
        <v>2.94</v>
      </c>
      <c r="S11" s="14" t="str">
        <f t="shared" si="2"/>
        <v>Первый релиз</v>
      </c>
      <c r="T11" s="17" t="str">
        <f t="shared" si="3"/>
        <v>Включить в минимальный рыночный выпуск</v>
      </c>
      <c r="U11" s="26" t="s">
        <v>281</v>
      </c>
    </row>
    <row r="12" spans="1:21" ht="14.25">
      <c r="A12" s="14" t="s">
        <v>282</v>
      </c>
      <c r="B12" s="14" t="s">
        <v>57</v>
      </c>
      <c r="C12" s="17" t="s">
        <v>482</v>
      </c>
      <c r="D12" s="17" t="s">
        <v>257</v>
      </c>
      <c r="E12" s="14" t="s">
        <v>283</v>
      </c>
      <c r="F12" s="14" t="s">
        <v>78</v>
      </c>
      <c r="G12" s="14">
        <v>3</v>
      </c>
      <c r="H12" s="14">
        <v>2</v>
      </c>
      <c r="I12" s="14">
        <v>5</v>
      </c>
      <c r="J12" s="14">
        <v>3</v>
      </c>
      <c r="K12" s="14">
        <v>3</v>
      </c>
      <c r="L12" s="14">
        <v>4</v>
      </c>
      <c r="M12" s="14">
        <v>3</v>
      </c>
      <c r="N12" s="14">
        <v>3</v>
      </c>
      <c r="O12" s="14">
        <v>2</v>
      </c>
      <c r="P12" s="14">
        <v>2</v>
      </c>
      <c r="Q12" s="14">
        <f t="shared" si="0"/>
        <v>3.25</v>
      </c>
      <c r="R12" s="14">
        <f t="shared" si="1"/>
        <v>3.22</v>
      </c>
      <c r="S12" s="14" t="str">
        <f t="shared" si="2"/>
        <v>Не включать</v>
      </c>
      <c r="T12" s="17" t="str">
        <f t="shared" si="3"/>
        <v>Оставить как гипотезу</v>
      </c>
      <c r="U12" s="26" t="s">
        <v>284</v>
      </c>
    </row>
    <row r="13" spans="1:21" ht="14.25">
      <c r="A13" s="14" t="s">
        <v>285</v>
      </c>
      <c r="B13" s="14" t="s">
        <v>67</v>
      </c>
      <c r="C13" s="17" t="s">
        <v>483</v>
      </c>
      <c r="D13" s="17" t="s">
        <v>257</v>
      </c>
      <c r="E13" s="14" t="s">
        <v>286</v>
      </c>
      <c r="F13" s="14" t="s">
        <v>80</v>
      </c>
      <c r="G13" s="14">
        <v>4</v>
      </c>
      <c r="H13" s="14">
        <v>3</v>
      </c>
      <c r="I13" s="14">
        <v>5</v>
      </c>
      <c r="J13" s="14">
        <v>5</v>
      </c>
      <c r="K13" s="14">
        <v>4</v>
      </c>
      <c r="L13" s="14">
        <v>5</v>
      </c>
      <c r="M13" s="14">
        <v>2</v>
      </c>
      <c r="N13" s="14">
        <v>2</v>
      </c>
      <c r="O13" s="14">
        <v>4</v>
      </c>
      <c r="P13" s="14">
        <v>3</v>
      </c>
      <c r="Q13" s="14">
        <f t="shared" si="0"/>
        <v>3.69</v>
      </c>
      <c r="R13" s="14">
        <f t="shared" si="1"/>
        <v>4.32</v>
      </c>
      <c r="S13" s="14" t="str">
        <f t="shared" si="2"/>
        <v>Следующий релиз</v>
      </c>
      <c r="T13" s="17" t="str">
        <f t="shared" si="3"/>
        <v>Запланировать на следующие релизы</v>
      </c>
      <c r="U13" s="26" t="s">
        <v>287</v>
      </c>
    </row>
    <row r="14" spans="1:21" ht="14.25">
      <c r="A14" s="14" t="s">
        <v>288</v>
      </c>
      <c r="B14" s="14" t="s">
        <v>63</v>
      </c>
      <c r="C14" s="17" t="s">
        <v>289</v>
      </c>
      <c r="D14" s="17" t="s">
        <v>266</v>
      </c>
      <c r="E14" s="14" t="s">
        <v>267</v>
      </c>
      <c r="F14" s="14" t="s">
        <v>61</v>
      </c>
      <c r="G14" s="14">
        <v>3</v>
      </c>
      <c r="H14" s="14">
        <v>3</v>
      </c>
      <c r="I14" s="14">
        <v>4</v>
      </c>
      <c r="J14" s="14">
        <v>4</v>
      </c>
      <c r="K14" s="14">
        <v>3</v>
      </c>
      <c r="L14" s="14">
        <v>4</v>
      </c>
      <c r="M14" s="14">
        <v>3</v>
      </c>
      <c r="N14" s="14">
        <v>3</v>
      </c>
      <c r="O14" s="14">
        <v>2</v>
      </c>
      <c r="P14" s="14">
        <v>3</v>
      </c>
      <c r="Q14" s="14">
        <f t="shared" si="0"/>
        <v>3.46</v>
      </c>
      <c r="R14" s="14">
        <f t="shared" si="1"/>
        <v>3.4</v>
      </c>
      <c r="S14" s="14" t="str">
        <f t="shared" si="2"/>
        <v>Не включать</v>
      </c>
      <c r="T14" s="17" t="str">
        <f t="shared" si="3"/>
        <v>Оставить как гипотезу</v>
      </c>
      <c r="U14" s="26" t="s">
        <v>290</v>
      </c>
    </row>
    <row r="15" spans="1:21" ht="14.25">
      <c r="A15" s="14" t="s">
        <v>291</v>
      </c>
      <c r="B15" s="14" t="s">
        <v>63</v>
      </c>
      <c r="C15" s="17" t="s">
        <v>292</v>
      </c>
      <c r="D15" s="17" t="s">
        <v>257</v>
      </c>
      <c r="E15" s="14" t="s">
        <v>258</v>
      </c>
      <c r="F15" s="14" t="s">
        <v>30</v>
      </c>
      <c r="G15" s="14">
        <v>4</v>
      </c>
      <c r="H15" s="14">
        <v>3</v>
      </c>
      <c r="I15" s="14">
        <v>4</v>
      </c>
      <c r="J15" s="14">
        <v>4</v>
      </c>
      <c r="K15" s="14">
        <v>3</v>
      </c>
      <c r="L15" s="14">
        <v>3</v>
      </c>
      <c r="M15" s="14">
        <v>3</v>
      </c>
      <c r="N15" s="14">
        <v>2</v>
      </c>
      <c r="O15" s="14">
        <v>3</v>
      </c>
      <c r="P15" s="14">
        <v>3</v>
      </c>
      <c r="Q15" s="14">
        <f t="shared" si="0"/>
        <v>3.35</v>
      </c>
      <c r="R15" s="14">
        <f t="shared" si="1"/>
        <v>3.5</v>
      </c>
      <c r="S15" s="14" t="str">
        <f t="shared" si="2"/>
        <v>Не включать</v>
      </c>
      <c r="T15" s="17" t="str">
        <f t="shared" si="3"/>
        <v>Оставить как гипотезу</v>
      </c>
      <c r="U15" s="26" t="s">
        <v>293</v>
      </c>
    </row>
    <row r="16" spans="1:21" ht="14.25">
      <c r="A16" s="14" t="s">
        <v>294</v>
      </c>
      <c r="B16" s="14" t="s">
        <v>63</v>
      </c>
      <c r="C16" s="17" t="s">
        <v>295</v>
      </c>
      <c r="D16" s="17" t="s">
        <v>266</v>
      </c>
      <c r="E16" s="14" t="s">
        <v>296</v>
      </c>
      <c r="F16" s="14" t="s">
        <v>30</v>
      </c>
      <c r="G16" s="14">
        <v>3</v>
      </c>
      <c r="H16" s="14">
        <v>2</v>
      </c>
      <c r="I16" s="14">
        <v>4</v>
      </c>
      <c r="J16" s="14">
        <v>4</v>
      </c>
      <c r="K16" s="14">
        <v>3</v>
      </c>
      <c r="L16" s="14">
        <v>3</v>
      </c>
      <c r="M16" s="14">
        <v>2</v>
      </c>
      <c r="N16" s="14">
        <v>2</v>
      </c>
      <c r="O16" s="14">
        <v>3</v>
      </c>
      <c r="P16" s="14">
        <v>2</v>
      </c>
      <c r="Q16" s="14">
        <f t="shared" si="0"/>
        <v>2.8</v>
      </c>
      <c r="R16" s="14">
        <f t="shared" si="1"/>
        <v>3.38</v>
      </c>
      <c r="S16" s="14" t="str">
        <f t="shared" si="2"/>
        <v>Не включать</v>
      </c>
      <c r="T16" s="17" t="str">
        <f t="shared" si="3"/>
        <v>Оставить как гипотезу</v>
      </c>
      <c r="U16" s="26" t="s">
        <v>297</v>
      </c>
    </row>
    <row r="17" spans="1:21" ht="14.25">
      <c r="A17" s="14" t="s">
        <v>298</v>
      </c>
      <c r="B17" s="14" t="s">
        <v>63</v>
      </c>
      <c r="C17" s="17" t="s">
        <v>299</v>
      </c>
      <c r="D17" s="17" t="s">
        <v>300</v>
      </c>
      <c r="E17" s="14" t="s">
        <v>301</v>
      </c>
      <c r="F17" s="14" t="s">
        <v>61</v>
      </c>
      <c r="G17" s="14">
        <v>3</v>
      </c>
      <c r="H17" s="14">
        <v>4</v>
      </c>
      <c r="I17" s="14">
        <v>5</v>
      </c>
      <c r="J17" s="14">
        <v>5</v>
      </c>
      <c r="K17" s="14">
        <v>3</v>
      </c>
      <c r="L17" s="14">
        <v>3</v>
      </c>
      <c r="M17" s="14">
        <v>2</v>
      </c>
      <c r="N17" s="14">
        <v>2</v>
      </c>
      <c r="O17" s="14">
        <v>4</v>
      </c>
      <c r="P17" s="14">
        <v>2</v>
      </c>
      <c r="Q17" s="14">
        <f t="shared" si="0"/>
        <v>3.23</v>
      </c>
      <c r="R17" s="14">
        <f t="shared" si="1"/>
        <v>3.8</v>
      </c>
      <c r="S17" s="14" t="str">
        <f t="shared" si="2"/>
        <v>Следующий релиз</v>
      </c>
      <c r="T17" s="17" t="str">
        <f t="shared" si="3"/>
        <v>Запланировать на следующие релизы</v>
      </c>
      <c r="U17" s="26" t="s">
        <v>302</v>
      </c>
    </row>
    <row r="18" spans="1:21" ht="14.25">
      <c r="A18" s="14" t="s">
        <v>303</v>
      </c>
      <c r="B18" s="14" t="s">
        <v>73</v>
      </c>
      <c r="C18" s="17" t="s">
        <v>304</v>
      </c>
      <c r="D18" s="17" t="s">
        <v>257</v>
      </c>
      <c r="E18" s="14" t="s">
        <v>258</v>
      </c>
      <c r="F18" s="14" t="s">
        <v>78</v>
      </c>
      <c r="G18" s="14">
        <v>3</v>
      </c>
      <c r="H18" s="14">
        <v>2</v>
      </c>
      <c r="I18" s="14">
        <v>4</v>
      </c>
      <c r="J18" s="14">
        <v>4</v>
      </c>
      <c r="K18" s="14">
        <v>3</v>
      </c>
      <c r="L18" s="14">
        <v>5</v>
      </c>
      <c r="M18" s="14">
        <v>4</v>
      </c>
      <c r="N18" s="14">
        <v>4</v>
      </c>
      <c r="O18" s="14">
        <v>1</v>
      </c>
      <c r="P18" s="14">
        <v>3</v>
      </c>
      <c r="Q18" s="14">
        <f t="shared" si="0"/>
        <v>3.72</v>
      </c>
      <c r="R18" s="14">
        <f t="shared" si="1"/>
        <v>3.28</v>
      </c>
      <c r="S18" s="14" t="str">
        <f t="shared" si="2"/>
        <v>Первый релиз</v>
      </c>
      <c r="T18" s="17" t="str">
        <f t="shared" si="3"/>
        <v>Включить в минимальный рыночный выпуск</v>
      </c>
      <c r="U18" s="26" t="s">
        <v>305</v>
      </c>
    </row>
    <row r="19" spans="1:21" ht="14.25">
      <c r="A19" s="14" t="s">
        <v>306</v>
      </c>
      <c r="B19" s="14" t="s">
        <v>63</v>
      </c>
      <c r="C19" s="17" t="s">
        <v>307</v>
      </c>
      <c r="D19" s="17" t="s">
        <v>300</v>
      </c>
      <c r="E19" s="14" t="s">
        <v>308</v>
      </c>
      <c r="F19" s="14" t="s">
        <v>71</v>
      </c>
      <c r="G19" s="14">
        <v>3</v>
      </c>
      <c r="H19" s="14">
        <v>3</v>
      </c>
      <c r="I19" s="14">
        <v>5</v>
      </c>
      <c r="J19" s="14">
        <v>4</v>
      </c>
      <c r="K19" s="14">
        <v>3</v>
      </c>
      <c r="L19" s="14">
        <v>3</v>
      </c>
      <c r="M19" s="14">
        <v>2</v>
      </c>
      <c r="N19" s="14">
        <v>2</v>
      </c>
      <c r="O19" s="14">
        <v>3</v>
      </c>
      <c r="P19" s="14">
        <v>2</v>
      </c>
      <c r="Q19" s="14">
        <f t="shared" si="0"/>
        <v>3.07</v>
      </c>
      <c r="R19" s="14">
        <f t="shared" si="1"/>
        <v>3.54</v>
      </c>
      <c r="S19" s="14" t="str">
        <f t="shared" si="2"/>
        <v>Не включать</v>
      </c>
      <c r="T19" s="17" t="str">
        <f t="shared" si="3"/>
        <v>Оставить как гипотезу</v>
      </c>
      <c r="U19" s="26" t="s">
        <v>309</v>
      </c>
    </row>
    <row r="20" spans="1:21" ht="14.25">
      <c r="A20" s="14" t="s">
        <v>310</v>
      </c>
      <c r="B20" s="14" t="s">
        <v>67</v>
      </c>
      <c r="C20" s="17" t="s">
        <v>311</v>
      </c>
      <c r="D20" s="17" t="s">
        <v>312</v>
      </c>
      <c r="E20" s="14" t="s">
        <v>286</v>
      </c>
      <c r="F20" s="14" t="s">
        <v>80</v>
      </c>
      <c r="G20" s="14">
        <v>3</v>
      </c>
      <c r="H20" s="14">
        <v>3</v>
      </c>
      <c r="I20" s="14">
        <v>4</v>
      </c>
      <c r="J20" s="14">
        <v>5</v>
      </c>
      <c r="K20" s="14">
        <v>3</v>
      </c>
      <c r="L20" s="14">
        <v>4</v>
      </c>
      <c r="M20" s="14">
        <v>3</v>
      </c>
      <c r="N20" s="14">
        <v>3</v>
      </c>
      <c r="O20" s="14">
        <v>3</v>
      </c>
      <c r="P20" s="14">
        <v>3</v>
      </c>
      <c r="Q20" s="14">
        <f t="shared" si="0"/>
        <v>3.47</v>
      </c>
      <c r="R20" s="14">
        <f t="shared" si="1"/>
        <v>3.66</v>
      </c>
      <c r="S20" s="14" t="str">
        <f t="shared" si="2"/>
        <v>Следующий релиз</v>
      </c>
      <c r="T20" s="17" t="str">
        <f t="shared" si="3"/>
        <v>Запланировать на следующие релизы</v>
      </c>
      <c r="U20" s="26" t="s">
        <v>313</v>
      </c>
    </row>
    <row r="21" spans="1:21" ht="14.25">
      <c r="A21" s="14" t="s">
        <v>314</v>
      </c>
      <c r="B21" s="14" t="s">
        <v>67</v>
      </c>
      <c r="C21" s="17" t="s">
        <v>315</v>
      </c>
      <c r="D21" s="17" t="s">
        <v>300</v>
      </c>
      <c r="E21" s="14" t="s">
        <v>308</v>
      </c>
      <c r="F21" s="14" t="s">
        <v>68</v>
      </c>
      <c r="G21" s="14">
        <v>2</v>
      </c>
      <c r="H21" s="14">
        <v>3</v>
      </c>
      <c r="I21" s="14">
        <v>4</v>
      </c>
      <c r="J21" s="14">
        <v>4</v>
      </c>
      <c r="K21" s="14">
        <v>2</v>
      </c>
      <c r="L21" s="14">
        <v>3</v>
      </c>
      <c r="M21" s="14">
        <v>2</v>
      </c>
      <c r="N21" s="14">
        <v>2</v>
      </c>
      <c r="O21" s="14">
        <v>4</v>
      </c>
      <c r="P21" s="14">
        <v>2</v>
      </c>
      <c r="Q21" s="14">
        <f t="shared" si="0"/>
        <v>2.57</v>
      </c>
      <c r="R21" s="14">
        <f t="shared" si="1"/>
        <v>3.26</v>
      </c>
      <c r="S21" s="14" t="str">
        <f t="shared" si="2"/>
        <v>Не включать</v>
      </c>
      <c r="T21" s="17" t="str">
        <f t="shared" si="3"/>
        <v>Оставить как гипотезу</v>
      </c>
      <c r="U21" s="26" t="s">
        <v>316</v>
      </c>
    </row>
    <row r="22" spans="1:21" ht="14.25">
      <c r="A22" s="14" t="s">
        <v>317</v>
      </c>
      <c r="B22" s="14" t="s">
        <v>57</v>
      </c>
      <c r="C22" s="17" t="s">
        <v>318</v>
      </c>
      <c r="D22" s="17" t="s">
        <v>300</v>
      </c>
      <c r="E22" s="14" t="s">
        <v>308</v>
      </c>
      <c r="F22" s="14" t="s">
        <v>30</v>
      </c>
      <c r="G22" s="14">
        <v>2</v>
      </c>
      <c r="H22" s="14">
        <v>2</v>
      </c>
      <c r="I22" s="14">
        <v>4</v>
      </c>
      <c r="J22" s="14">
        <v>3</v>
      </c>
      <c r="K22" s="14">
        <v>2</v>
      </c>
      <c r="L22" s="14">
        <v>3</v>
      </c>
      <c r="M22" s="14">
        <v>2</v>
      </c>
      <c r="N22" s="14">
        <v>2</v>
      </c>
      <c r="O22" s="14">
        <v>3</v>
      </c>
      <c r="P22" s="14">
        <v>2</v>
      </c>
      <c r="Q22" s="14">
        <f t="shared" si="0"/>
        <v>2.41</v>
      </c>
      <c r="R22" s="14">
        <f t="shared" si="1"/>
        <v>3</v>
      </c>
      <c r="S22" s="14" t="str">
        <f t="shared" si="2"/>
        <v>Не включать</v>
      </c>
      <c r="T22" s="17" t="str">
        <f t="shared" si="3"/>
        <v>Оставить как гипотезу</v>
      </c>
      <c r="U22" s="26" t="s">
        <v>319</v>
      </c>
    </row>
    <row r="23" spans="1:21" ht="14.25">
      <c r="A23" s="14" t="s">
        <v>320</v>
      </c>
      <c r="B23" s="14" t="s">
        <v>63</v>
      </c>
      <c r="C23" s="17" t="s">
        <v>321</v>
      </c>
      <c r="D23" s="17" t="s">
        <v>257</v>
      </c>
      <c r="E23" s="14" t="s">
        <v>258</v>
      </c>
      <c r="F23" s="14" t="s">
        <v>30</v>
      </c>
      <c r="G23" s="14">
        <v>4</v>
      </c>
      <c r="H23" s="14">
        <v>3</v>
      </c>
      <c r="I23" s="14">
        <v>4</v>
      </c>
      <c r="J23" s="14">
        <v>4</v>
      </c>
      <c r="K23" s="14">
        <v>2</v>
      </c>
      <c r="L23" s="14">
        <v>2</v>
      </c>
      <c r="M23" s="14">
        <v>1</v>
      </c>
      <c r="N23" s="14">
        <v>1</v>
      </c>
      <c r="O23" s="14">
        <v>5</v>
      </c>
      <c r="P23" s="14">
        <v>2</v>
      </c>
      <c r="Q23" s="14">
        <f t="shared" si="0"/>
        <v>2.52</v>
      </c>
      <c r="R23" s="14">
        <f t="shared" si="1"/>
        <v>3.5</v>
      </c>
      <c r="S23" s="14" t="str">
        <f t="shared" si="2"/>
        <v>Не включать</v>
      </c>
      <c r="T23" s="17" t="str">
        <f t="shared" si="3"/>
        <v>Оставить как гипотезу</v>
      </c>
      <c r="U23" s="26" t="s">
        <v>322</v>
      </c>
    </row>
    <row r="24" spans="1:21" ht="14.25">
      <c r="A24" s="14" t="s">
        <v>323</v>
      </c>
      <c r="B24" s="14" t="s">
        <v>67</v>
      </c>
      <c r="C24" s="17" t="s">
        <v>324</v>
      </c>
      <c r="D24" s="17" t="s">
        <v>257</v>
      </c>
      <c r="E24" s="14" t="s">
        <v>258</v>
      </c>
      <c r="F24" s="14" t="s">
        <v>80</v>
      </c>
      <c r="G24" s="14">
        <v>1</v>
      </c>
      <c r="H24" s="14">
        <v>1</v>
      </c>
      <c r="I24" s="14">
        <v>2</v>
      </c>
      <c r="J24" s="14">
        <v>2</v>
      </c>
      <c r="K24" s="14">
        <v>1</v>
      </c>
      <c r="L24" s="14">
        <v>1</v>
      </c>
      <c r="M24" s="14">
        <v>1</v>
      </c>
      <c r="N24" s="14">
        <v>1</v>
      </c>
      <c r="O24" s="14">
        <v>4</v>
      </c>
      <c r="P24" s="14">
        <v>1</v>
      </c>
      <c r="Q24" s="14">
        <f t="shared" si="0"/>
        <v>1.02</v>
      </c>
      <c r="R24" s="14">
        <f t="shared" si="1"/>
        <v>2.1800000000000002</v>
      </c>
      <c r="S24" s="14" t="str">
        <f t="shared" si="2"/>
        <v>Не включать</v>
      </c>
      <c r="T24" s="17" t="str">
        <f t="shared" si="3"/>
        <v>Оставить как гипотезу</v>
      </c>
      <c r="U24" s="26" t="s">
        <v>325</v>
      </c>
    </row>
    <row r="25" spans="1:21" ht="14.25">
      <c r="A25" s="14" t="s">
        <v>326</v>
      </c>
      <c r="B25" s="14" t="s">
        <v>67</v>
      </c>
      <c r="C25" s="17" t="s">
        <v>327</v>
      </c>
      <c r="D25" s="17" t="s">
        <v>300</v>
      </c>
      <c r="E25" s="14" t="s">
        <v>308</v>
      </c>
      <c r="F25" s="14" t="s">
        <v>68</v>
      </c>
      <c r="G25" s="14">
        <v>2</v>
      </c>
      <c r="H25" s="14">
        <v>2</v>
      </c>
      <c r="I25" s="14">
        <v>3</v>
      </c>
      <c r="J25" s="14">
        <v>3</v>
      </c>
      <c r="K25" s="14">
        <v>1</v>
      </c>
      <c r="L25" s="14">
        <v>1</v>
      </c>
      <c r="M25" s="14">
        <v>1</v>
      </c>
      <c r="N25" s="14">
        <v>1</v>
      </c>
      <c r="O25" s="14">
        <v>5</v>
      </c>
      <c r="P25" s="14">
        <v>1</v>
      </c>
      <c r="Q25" s="14">
        <f t="shared" si="0"/>
        <v>1.48</v>
      </c>
      <c r="R25" s="14">
        <f t="shared" si="1"/>
        <v>2.66</v>
      </c>
      <c r="S25" s="14" t="str">
        <f t="shared" si="2"/>
        <v>Не включать</v>
      </c>
      <c r="T25" s="17" t="str">
        <f t="shared" si="3"/>
        <v>Оставить как гипотезу</v>
      </c>
      <c r="U25" s="26" t="s">
        <v>328</v>
      </c>
    </row>
  </sheetData>
  <dataValidations count="1">
    <dataValidation type="whole" sqref="G2:P25" xr:uid="{00000000-0002-0000-0200-000000000000}">
      <formula1>1</formula1>
      <formula2>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200-000001000000}">
          <x14:formula1>
            <xm:f>Справочники!$C$2:$C$8</xm:f>
          </x14:formula1>
          <xm:sqref>B2:B25</xm:sqref>
        </x14:dataValidation>
        <x14:dataValidation type="list" xr:uid="{00000000-0002-0000-0200-000002000000}">
          <x14:formula1>
            <xm:f>Справочники!$D$2:$D$9</xm:f>
          </x14:formula1>
          <xm:sqref>F2:F25</xm:sqref>
        </x14:dataValidation>
        <x14:dataValidation type="list" xr:uid="{00000000-0002-0000-0200-000003000000}">
          <x14:formula1>
            <xm:f>Справочники!$E$2:$E$3</xm:f>
          </x14:formula1>
          <xm:sqref>S2:S25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"/>
  <sheetViews>
    <sheetView workbookViewId="0">
      <selection sqref="A1:J1"/>
    </sheetView>
  </sheetViews>
  <sheetFormatPr defaultRowHeight="13.5"/>
  <cols>
    <col min="1" max="1" width="19.3125" customWidth="1"/>
    <col min="2" max="2" width="21.4375" customWidth="1"/>
    <col min="3" max="3" width="31.9375" customWidth="1"/>
    <col min="4" max="4" width="27.6875" customWidth="1"/>
    <col min="5" max="5" width="29.8125" customWidth="1"/>
    <col min="6" max="6" width="30.875" customWidth="1"/>
    <col min="7" max="7" width="21.4375" customWidth="1"/>
    <col min="8" max="8" width="16.1875" customWidth="1"/>
    <col min="9" max="9" width="28.75" customWidth="1"/>
    <col min="10" max="10" width="31.9375" customWidth="1"/>
  </cols>
  <sheetData>
    <row r="1" spans="1:10" ht="20" customHeight="1">
      <c r="A1" s="39" t="s">
        <v>81</v>
      </c>
      <c r="B1" s="39"/>
      <c r="C1" s="39"/>
      <c r="D1" s="39"/>
      <c r="E1" s="39"/>
      <c r="F1" s="39"/>
      <c r="G1" s="39"/>
      <c r="H1" s="39"/>
      <c r="I1" s="39"/>
      <c r="J1" s="40"/>
    </row>
    <row r="2" spans="1:10" ht="14.25">
      <c r="A2" s="5" t="s">
        <v>82</v>
      </c>
      <c r="B2" s="5" t="s">
        <v>83</v>
      </c>
      <c r="C2" s="5" t="s">
        <v>84</v>
      </c>
      <c r="D2" s="5" t="s">
        <v>85</v>
      </c>
      <c r="E2" s="5" t="s">
        <v>86</v>
      </c>
      <c r="F2" s="5" t="s">
        <v>87</v>
      </c>
      <c r="G2" s="5" t="s">
        <v>88</v>
      </c>
      <c r="H2" s="5" t="s">
        <v>89</v>
      </c>
      <c r="I2" s="5" t="s">
        <v>90</v>
      </c>
      <c r="J2" s="12" t="s">
        <v>91</v>
      </c>
    </row>
    <row r="3" spans="1:10" ht="14.25">
      <c r="A3" s="3" t="s">
        <v>92</v>
      </c>
      <c r="B3" s="18">
        <f>COUNTIF(Реестр_единиц!$S$2:$S$25,A3)</f>
        <v>11</v>
      </c>
      <c r="C3" s="18">
        <f>IFERROR(AVERAGEIF(Реестр_единиц!$S$2:$S$25,A3,Реестр_единиц!$Q$2:$Q$25),0)</f>
        <v>4.2281818181818176</v>
      </c>
      <c r="D3" s="18">
        <f>IFERROR(AVERAGEIF(Реестр_единиц!$S$2:$S$25,A3,Реестр_единиц!$K$2:$K$25),0)</f>
        <v>4.0909090909090908</v>
      </c>
      <c r="E3" s="18">
        <f>IFERROR(AVERAGEIF(Реестр_единиц!$S$2:$S$25,A3,Реестр_единиц!$G$2:$G$25),0)</f>
        <v>4</v>
      </c>
      <c r="F3" s="18">
        <f>IFERROR(AVERAGEIF(Реестр_единиц!$S$2:$S$25,A3,Реестр_единиц!$H$2:$H$25),0)</f>
        <v>3.7272727272727271</v>
      </c>
      <c r="G3" s="18">
        <f>IFERROR(AVERAGEIF(Реестр_единиц!$S$2:$S$25,A3,Реестр_единиц!$I$2:$I$25),0)</f>
        <v>3.2727272727272729</v>
      </c>
      <c r="H3" s="18">
        <f>IFERROR(AVERAGEIF(Реестр_единиц!$S$2:$S$25,A3,Реестр_единиц!$J$2:$J$25),0)</f>
        <v>3.5454545454545454</v>
      </c>
      <c r="I3" s="18">
        <f>IFERROR(AVERAGEIF(Реестр_единиц!$S$2:$S$25,A3,Реестр_единиц!$O$2:$O$25),0)</f>
        <v>1.7272727272727273</v>
      </c>
      <c r="J3" s="21" t="str">
        <f>IF(B3=0,"Нет выбранных единиц",IF(AND(E3&gt;=4,D3&gt;=3.5),"Состав достаточно обоснован","Подтверждено частично"))</f>
        <v>Состав достаточно обоснован</v>
      </c>
    </row>
    <row r="4" spans="1:10" ht="14.25">
      <c r="A4" s="3" t="s">
        <v>93</v>
      </c>
      <c r="B4" s="18">
        <f>COUNTIF(Реестр_единиц!$S$2:$S$25,A4)</f>
        <v>3</v>
      </c>
      <c r="C4" s="18">
        <f>IFERROR(AVERAGEIF(Реестр_единиц!$S$2:$S$25,A4,Реестр_единиц!$Q$2:$Q$25),0)</f>
        <v>3.4633333333333334</v>
      </c>
      <c r="D4" s="18">
        <f>IFERROR(AVERAGEIF(Реестр_единиц!$S$2:$S$25,A4,Реестр_единиц!$K$2:$K$25),0)</f>
        <v>3.3333333333333335</v>
      </c>
      <c r="E4" s="18">
        <f>IFERROR(AVERAGEIF(Реестр_единиц!$S$2:$S$25,A4,Реестр_единиц!$G$2:$G$25),0)</f>
        <v>3.3333333333333335</v>
      </c>
      <c r="F4" s="18">
        <f>IFERROR(AVERAGEIF(Реестр_единиц!$S$2:$S$25,A4,Реестр_единиц!$H$2:$H$25),0)</f>
        <v>3.3333333333333335</v>
      </c>
      <c r="G4" s="18">
        <f>IFERROR(AVERAGEIF(Реестр_единиц!$S$2:$S$25,A4,Реестр_единиц!$I$2:$I$25),0)</f>
        <v>4.666666666666667</v>
      </c>
      <c r="H4" s="18">
        <f>IFERROR(AVERAGEIF(Реестр_единиц!$S$2:$S$25,A4,Реестр_единиц!$J$2:$J$25),0)</f>
        <v>5</v>
      </c>
      <c r="I4" s="18">
        <f>IFERROR(AVERAGEIF(Реестр_единиц!$S$2:$S$25,A4,Реестр_единиц!$O$2:$O$25),0)</f>
        <v>3.6666666666666665</v>
      </c>
      <c r="J4" s="21" t="str">
        <f>IF(B4=0,"Нет выбранных единиц",IF(AND(E4&gt;=4,D4&gt;=3.5),"Состав достаточно обоснован","Подтверждено частично"))</f>
        <v>Подтверждено частично</v>
      </c>
    </row>
    <row r="5" spans="1:10" ht="14.25">
      <c r="A5" s="4" t="s">
        <v>484</v>
      </c>
      <c r="B5" s="19">
        <f>COUNTIF(Реестр_единиц!$S$2:$S$25,A5)</f>
        <v>10</v>
      </c>
      <c r="C5" s="19">
        <f>IFERROR(AVERAGEIF(Реестр_единиц!$S$2:$S$25,A5,Реестр_единиц!$Q$2:$Q$25),0)</f>
        <v>2.593</v>
      </c>
      <c r="D5" s="19">
        <f>IFERROR(AVERAGEIF(Реестр_единиц!$S$2:$S$25,A5,Реестр_единиц!$K$2:$K$25),0)</f>
        <v>2.2999999999999998</v>
      </c>
      <c r="E5" s="19">
        <f>IFERROR(AVERAGEIF(Реестр_единиц!$S$2:$S$25,A5,Реестр_единиц!$G$2:$G$25),0)</f>
        <v>2.7</v>
      </c>
      <c r="F5" s="19">
        <f>IFERROR(AVERAGEIF(Реестр_единиц!$S$2:$S$25,A5,Реестр_единиц!$H$2:$H$25),0)</f>
        <v>2.4</v>
      </c>
      <c r="G5" s="19">
        <f>IFERROR(AVERAGEIF(Реестр_единиц!$S$2:$S$25,A5,Реестр_единиц!$I$2:$I$25),0)</f>
        <v>3.9</v>
      </c>
      <c r="H5" s="19">
        <f>IFERROR(AVERAGEIF(Реестр_единиц!$S$2:$S$25,A5,Реестр_единиц!$J$2:$J$25),0)</f>
        <v>3.5</v>
      </c>
      <c r="I5" s="19">
        <f>IFERROR(AVERAGEIF(Реестр_единиц!$S$2:$S$25,A5,Реестр_единиц!$O$2:$O$25),0)</f>
        <v>3.4</v>
      </c>
      <c r="J5" s="16" t="str">
        <f>IF(B5=0,"Нет выбранных единиц",IF(AND(E5&gt;=4,D5&gt;=3.5),"Состав достаточно обоснован","Подтверждено частично"))</f>
        <v>Подтверждено частично</v>
      </c>
    </row>
  </sheetData>
  <mergeCells count="1">
    <mergeCell ref="A1:J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7"/>
  <sheetViews>
    <sheetView workbookViewId="0">
      <selection sqref="A1:H1"/>
    </sheetView>
  </sheetViews>
  <sheetFormatPr defaultRowHeight="13.5"/>
  <cols>
    <col min="1" max="1" width="10.5625" customWidth="1"/>
    <col min="2" max="2" width="52.5625" customWidth="1"/>
    <col min="3" max="3" width="42.4375" customWidth="1"/>
    <col min="4" max="5" width="52.5625" customWidth="1"/>
    <col min="6" max="6" width="50.8125" customWidth="1"/>
    <col min="7" max="7" width="29.8125" customWidth="1"/>
    <col min="8" max="8" width="18.25" customWidth="1"/>
  </cols>
  <sheetData>
    <row r="1" spans="1:8" ht="20" customHeight="1">
      <c r="A1" s="39" t="s">
        <v>485</v>
      </c>
      <c r="B1" s="39"/>
      <c r="C1" s="39"/>
      <c r="D1" s="39"/>
      <c r="E1" s="39"/>
      <c r="F1" s="39"/>
      <c r="G1" s="39"/>
      <c r="H1" s="40"/>
    </row>
    <row r="2" spans="1:8" ht="14.25">
      <c r="A2" s="5" t="s">
        <v>35</v>
      </c>
      <c r="B2" s="5" t="s">
        <v>94</v>
      </c>
      <c r="C2" s="5" t="s">
        <v>95</v>
      </c>
      <c r="D2" s="5" t="s">
        <v>96</v>
      </c>
      <c r="E2" s="5" t="s">
        <v>97</v>
      </c>
      <c r="F2" s="5" t="s">
        <v>98</v>
      </c>
      <c r="G2" s="5" t="s">
        <v>99</v>
      </c>
      <c r="H2" s="12" t="s">
        <v>100</v>
      </c>
    </row>
    <row r="3" spans="1:8" ht="14.25">
      <c r="A3" s="17" t="s">
        <v>101</v>
      </c>
      <c r="B3" s="17" t="s">
        <v>260</v>
      </c>
      <c r="C3" s="17" t="s">
        <v>329</v>
      </c>
      <c r="D3" s="17" t="s">
        <v>330</v>
      </c>
      <c r="E3" s="17" t="s">
        <v>331</v>
      </c>
      <c r="F3" s="17" t="s">
        <v>332</v>
      </c>
      <c r="G3" s="14" t="s">
        <v>333</v>
      </c>
      <c r="H3" s="21" t="s">
        <v>334</v>
      </c>
    </row>
    <row r="4" spans="1:8" ht="14.25">
      <c r="A4" s="17" t="s">
        <v>102</v>
      </c>
      <c r="B4" s="17" t="s">
        <v>335</v>
      </c>
      <c r="C4" s="17" t="s">
        <v>336</v>
      </c>
      <c r="D4" s="17" t="s">
        <v>337</v>
      </c>
      <c r="E4" s="17" t="s">
        <v>338</v>
      </c>
      <c r="F4" s="17" t="s">
        <v>339</v>
      </c>
      <c r="G4" s="14" t="s">
        <v>340</v>
      </c>
      <c r="H4" s="21" t="s">
        <v>334</v>
      </c>
    </row>
    <row r="5" spans="1:8" ht="14.25">
      <c r="A5" s="17" t="s">
        <v>103</v>
      </c>
      <c r="B5" s="14" t="s">
        <v>265</v>
      </c>
      <c r="C5" s="14" t="s">
        <v>341</v>
      </c>
      <c r="D5" s="17" t="s">
        <v>342</v>
      </c>
      <c r="E5" s="14" t="s">
        <v>343</v>
      </c>
      <c r="F5" s="17" t="s">
        <v>344</v>
      </c>
      <c r="G5" s="14" t="s">
        <v>345</v>
      </c>
      <c r="H5" s="21" t="s">
        <v>334</v>
      </c>
    </row>
    <row r="6" spans="1:8" ht="14.25">
      <c r="A6" s="17" t="s">
        <v>346</v>
      </c>
      <c r="B6" s="17" t="s">
        <v>347</v>
      </c>
      <c r="C6" s="17" t="s">
        <v>348</v>
      </c>
      <c r="D6" s="17" t="s">
        <v>349</v>
      </c>
      <c r="E6" s="17" t="s">
        <v>350</v>
      </c>
      <c r="F6" s="17" t="s">
        <v>351</v>
      </c>
      <c r="G6" s="14" t="s">
        <v>352</v>
      </c>
      <c r="H6" s="21" t="s">
        <v>334</v>
      </c>
    </row>
    <row r="7" spans="1:8" ht="14.25">
      <c r="A7" s="29" t="s">
        <v>353</v>
      </c>
      <c r="B7" s="15" t="s">
        <v>354</v>
      </c>
      <c r="C7" s="15" t="s">
        <v>355</v>
      </c>
      <c r="D7" s="29" t="s">
        <v>356</v>
      </c>
      <c r="E7" s="29" t="s">
        <v>357</v>
      </c>
      <c r="F7" s="29" t="s">
        <v>358</v>
      </c>
      <c r="G7" s="15" t="s">
        <v>359</v>
      </c>
      <c r="H7" s="16" t="s">
        <v>334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8"/>
  <sheetViews>
    <sheetView workbookViewId="0">
      <selection sqref="A1:I1"/>
    </sheetView>
  </sheetViews>
  <sheetFormatPr defaultRowHeight="13.5"/>
  <cols>
    <col min="1" max="1" width="10.5625" customWidth="1"/>
    <col min="2" max="2" width="50.8125" customWidth="1"/>
    <col min="3" max="3" width="44.5" customWidth="1"/>
    <col min="4" max="5" width="52.5625" customWidth="1"/>
    <col min="6" max="6" width="47.6875" customWidth="1"/>
    <col min="7" max="7" width="27.6875" customWidth="1"/>
    <col min="8" max="8" width="48.6875" customWidth="1"/>
    <col min="9" max="9" width="15.125" customWidth="1"/>
  </cols>
  <sheetData>
    <row r="1" spans="1:9" ht="20" customHeight="1">
      <c r="A1" s="39" t="s">
        <v>486</v>
      </c>
      <c r="B1" s="39"/>
      <c r="C1" s="39"/>
      <c r="D1" s="39"/>
      <c r="E1" s="39"/>
      <c r="F1" s="39"/>
      <c r="G1" s="39"/>
      <c r="H1" s="39"/>
      <c r="I1" s="40"/>
    </row>
    <row r="2" spans="1:9" ht="14.25">
      <c r="A2" s="5" t="s">
        <v>35</v>
      </c>
      <c r="B2" s="5" t="s">
        <v>82</v>
      </c>
      <c r="C2" s="5" t="s">
        <v>104</v>
      </c>
      <c r="D2" s="5" t="s">
        <v>105</v>
      </c>
      <c r="E2" s="5" t="s">
        <v>106</v>
      </c>
      <c r="F2" s="5" t="s">
        <v>107</v>
      </c>
      <c r="G2" s="5" t="s">
        <v>108</v>
      </c>
      <c r="H2" s="5" t="s">
        <v>109</v>
      </c>
      <c r="I2" s="12" t="s">
        <v>110</v>
      </c>
    </row>
    <row r="3" spans="1:9" ht="14.25">
      <c r="A3" s="17" t="s">
        <v>111</v>
      </c>
      <c r="B3" s="17" t="s">
        <v>360</v>
      </c>
      <c r="C3" s="17" t="s">
        <v>361</v>
      </c>
      <c r="D3" s="14" t="s">
        <v>362</v>
      </c>
      <c r="E3" s="17" t="s">
        <v>363</v>
      </c>
      <c r="F3" s="17" t="s">
        <v>364</v>
      </c>
      <c r="G3" s="14" t="s">
        <v>188</v>
      </c>
      <c r="H3" s="14" t="s">
        <v>365</v>
      </c>
      <c r="I3" s="21" t="s">
        <v>366</v>
      </c>
    </row>
    <row r="4" spans="1:9" ht="28.5">
      <c r="A4" s="17" t="s">
        <v>113</v>
      </c>
      <c r="B4" s="14" t="s">
        <v>367</v>
      </c>
      <c r="C4" s="17" t="s">
        <v>368</v>
      </c>
      <c r="D4" s="17" t="s">
        <v>369</v>
      </c>
      <c r="E4" s="17" t="s">
        <v>370</v>
      </c>
      <c r="F4" s="14" t="s">
        <v>371</v>
      </c>
      <c r="G4" s="14" t="s">
        <v>372</v>
      </c>
      <c r="H4" s="17" t="s">
        <v>373</v>
      </c>
      <c r="I4" s="21" t="s">
        <v>209</v>
      </c>
    </row>
    <row r="5" spans="1:9" ht="14.25">
      <c r="A5" s="17" t="s">
        <v>114</v>
      </c>
      <c r="B5" s="14" t="s">
        <v>367</v>
      </c>
      <c r="C5" s="17" t="s">
        <v>292</v>
      </c>
      <c r="D5" s="17" t="s">
        <v>374</v>
      </c>
      <c r="E5" s="17" t="s">
        <v>375</v>
      </c>
      <c r="F5" s="14" t="s">
        <v>376</v>
      </c>
      <c r="G5" s="14" t="s">
        <v>340</v>
      </c>
      <c r="H5" s="14" t="s">
        <v>377</v>
      </c>
      <c r="I5" s="21" t="s">
        <v>222</v>
      </c>
    </row>
    <row r="6" spans="1:9" ht="14.25">
      <c r="A6" s="17" t="s">
        <v>378</v>
      </c>
      <c r="B6" s="17" t="s">
        <v>379</v>
      </c>
      <c r="C6" s="17" t="s">
        <v>380</v>
      </c>
      <c r="D6" s="17" t="s">
        <v>381</v>
      </c>
      <c r="E6" s="17" t="s">
        <v>382</v>
      </c>
      <c r="F6" s="14" t="s">
        <v>383</v>
      </c>
      <c r="G6" s="14" t="s">
        <v>384</v>
      </c>
      <c r="H6" s="14" t="s">
        <v>385</v>
      </c>
      <c r="I6" s="21" t="s">
        <v>242</v>
      </c>
    </row>
    <row r="7" spans="1:9" ht="14.25">
      <c r="A7" s="17" t="s">
        <v>386</v>
      </c>
      <c r="B7" s="17" t="s">
        <v>379</v>
      </c>
      <c r="C7" s="17" t="s">
        <v>387</v>
      </c>
      <c r="D7" s="17" t="s">
        <v>388</v>
      </c>
      <c r="E7" s="14" t="s">
        <v>389</v>
      </c>
      <c r="F7" s="14" t="s">
        <v>390</v>
      </c>
      <c r="G7" s="14" t="s">
        <v>391</v>
      </c>
      <c r="H7" s="14" t="s">
        <v>392</v>
      </c>
      <c r="I7" s="21" t="s">
        <v>222</v>
      </c>
    </row>
    <row r="8" spans="1:9" ht="14.25">
      <c r="A8" s="29" t="s">
        <v>393</v>
      </c>
      <c r="B8" s="15" t="s">
        <v>394</v>
      </c>
      <c r="C8" s="29" t="s">
        <v>395</v>
      </c>
      <c r="D8" s="29" t="s">
        <v>396</v>
      </c>
      <c r="E8" s="29" t="s">
        <v>397</v>
      </c>
      <c r="F8" s="29" t="s">
        <v>398</v>
      </c>
      <c r="G8" s="15" t="s">
        <v>399</v>
      </c>
      <c r="H8" s="15" t="s">
        <v>400</v>
      </c>
      <c r="I8" s="16" t="s">
        <v>209</v>
      </c>
    </row>
  </sheetData>
  <mergeCells count="1">
    <mergeCell ref="A1:I1"/>
  </mergeCells>
  <dataValidations count="1">
    <dataValidation type="list" sqref="B3:B8" xr:uid="{00000000-0002-0000-0500-000000000000}">
      <formula1>"Релиз 2,Релиз 3,Релиз 4,Бэклог"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"/>
  <sheetViews>
    <sheetView workbookViewId="0">
      <selection sqref="A1:K1"/>
    </sheetView>
  </sheetViews>
  <sheetFormatPr defaultRowHeight="13.5"/>
  <cols>
    <col min="1" max="1" width="16.1875" customWidth="1"/>
    <col min="2" max="2" width="48.6875" customWidth="1"/>
    <col min="3" max="4" width="52.5625" customWidth="1"/>
    <col min="5" max="5" width="46.625" customWidth="1"/>
    <col min="6" max="6" width="51.875" customWidth="1"/>
    <col min="7" max="7" width="52.5625" customWidth="1"/>
    <col min="8" max="8" width="44.5" customWidth="1"/>
    <col min="9" max="9" width="45.5625" customWidth="1"/>
    <col min="10" max="10" width="15.125" customWidth="1"/>
    <col min="11" max="11" width="18.25" customWidth="1"/>
  </cols>
  <sheetData>
    <row r="1" spans="1:11" ht="20" customHeight="1">
      <c r="A1" s="39" t="s">
        <v>116</v>
      </c>
      <c r="B1" s="39"/>
      <c r="C1" s="39"/>
      <c r="D1" s="39"/>
      <c r="E1" s="39"/>
      <c r="F1" s="39"/>
      <c r="G1" s="39"/>
      <c r="H1" s="39"/>
      <c r="I1" s="39"/>
      <c r="J1" s="39"/>
      <c r="K1" s="40"/>
    </row>
    <row r="2" spans="1:11" ht="14.25">
      <c r="A2" s="5" t="s">
        <v>82</v>
      </c>
      <c r="B2" s="5" t="s">
        <v>117</v>
      </c>
      <c r="C2" s="5" t="s">
        <v>118</v>
      </c>
      <c r="D2" s="5" t="s">
        <v>119</v>
      </c>
      <c r="E2" s="5" t="s">
        <v>120</v>
      </c>
      <c r="F2" s="5" t="s">
        <v>121</v>
      </c>
      <c r="G2" s="5" t="s">
        <v>122</v>
      </c>
      <c r="H2" s="5" t="s">
        <v>123</v>
      </c>
      <c r="I2" s="5" t="s">
        <v>124</v>
      </c>
      <c r="J2" s="5" t="s">
        <v>125</v>
      </c>
      <c r="K2" s="12" t="s">
        <v>126</v>
      </c>
    </row>
    <row r="3" spans="1:11" ht="28.5">
      <c r="A3" s="17" t="s">
        <v>92</v>
      </c>
      <c r="B3" s="17" t="s">
        <v>487</v>
      </c>
      <c r="C3" s="17" t="s">
        <v>401</v>
      </c>
      <c r="D3" s="17" t="s">
        <v>402</v>
      </c>
      <c r="E3" s="17" t="s">
        <v>403</v>
      </c>
      <c r="F3" s="17" t="s">
        <v>404</v>
      </c>
      <c r="G3" s="17" t="s">
        <v>488</v>
      </c>
      <c r="H3" s="17" t="s">
        <v>405</v>
      </c>
      <c r="I3" s="17" t="s">
        <v>406</v>
      </c>
      <c r="J3" s="31">
        <v>46296</v>
      </c>
      <c r="K3" s="32">
        <v>46477</v>
      </c>
    </row>
    <row r="4" spans="1:11" ht="14.25">
      <c r="A4" s="17" t="s">
        <v>112</v>
      </c>
      <c r="B4" s="14" t="s">
        <v>407</v>
      </c>
      <c r="C4" s="17" t="s">
        <v>408</v>
      </c>
      <c r="D4" s="17" t="s">
        <v>409</v>
      </c>
      <c r="E4" s="17" t="s">
        <v>410</v>
      </c>
      <c r="F4" s="17" t="s">
        <v>411</v>
      </c>
      <c r="G4" s="14" t="s">
        <v>412</v>
      </c>
      <c r="H4" s="14" t="s">
        <v>413</v>
      </c>
      <c r="I4" s="14" t="s">
        <v>414</v>
      </c>
      <c r="J4" s="31">
        <v>46478</v>
      </c>
      <c r="K4" s="32">
        <v>46539</v>
      </c>
    </row>
    <row r="5" spans="1:11" ht="14.25">
      <c r="A5" s="17" t="s">
        <v>115</v>
      </c>
      <c r="B5" s="14" t="s">
        <v>415</v>
      </c>
      <c r="C5" s="17" t="s">
        <v>416</v>
      </c>
      <c r="D5" s="17" t="s">
        <v>417</v>
      </c>
      <c r="E5" s="17" t="s">
        <v>418</v>
      </c>
      <c r="F5" s="17" t="s">
        <v>419</v>
      </c>
      <c r="G5" s="14" t="s">
        <v>420</v>
      </c>
      <c r="H5" s="17" t="s">
        <v>421</v>
      </c>
      <c r="I5" s="14" t="s">
        <v>422</v>
      </c>
      <c r="J5" s="31">
        <v>46540</v>
      </c>
      <c r="K5" s="32">
        <v>46599</v>
      </c>
    </row>
    <row r="6" spans="1:11" ht="28.5">
      <c r="A6" s="29" t="s">
        <v>400</v>
      </c>
      <c r="B6" s="15" t="s">
        <v>423</v>
      </c>
      <c r="C6" s="29" t="s">
        <v>424</v>
      </c>
      <c r="D6" s="15" t="s">
        <v>425</v>
      </c>
      <c r="E6" s="29" t="s">
        <v>426</v>
      </c>
      <c r="F6" s="29" t="s">
        <v>427</v>
      </c>
      <c r="G6" s="15" t="s">
        <v>428</v>
      </c>
      <c r="H6" s="29" t="s">
        <v>429</v>
      </c>
      <c r="I6" s="29" t="s">
        <v>430</v>
      </c>
      <c r="J6" s="33">
        <v>46600</v>
      </c>
      <c r="K6" s="34">
        <v>46660</v>
      </c>
    </row>
  </sheetData>
  <mergeCells count="1">
    <mergeCell ref="A1:K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selection sqref="A1:I1"/>
    </sheetView>
  </sheetViews>
  <sheetFormatPr defaultRowHeight="13.5"/>
  <cols>
    <col min="1" max="1" width="17.1875" customWidth="1"/>
    <col min="2" max="2" width="52.5625" customWidth="1"/>
    <col min="3" max="3" width="14.0625" customWidth="1"/>
    <col min="4" max="4" width="49.75" customWidth="1"/>
    <col min="5" max="5" width="36.125" customWidth="1"/>
    <col min="6" max="6" width="29.8125" customWidth="1"/>
    <col min="7" max="7" width="45.5625" customWidth="1"/>
    <col min="8" max="8" width="18.25" customWidth="1"/>
    <col min="9" max="9" width="19.3125" customWidth="1"/>
  </cols>
  <sheetData>
    <row r="1" spans="1:9" ht="20" customHeight="1">
      <c r="A1" s="39" t="s">
        <v>489</v>
      </c>
      <c r="B1" s="39"/>
      <c r="C1" s="39"/>
      <c r="D1" s="39"/>
      <c r="E1" s="39"/>
      <c r="F1" s="39"/>
      <c r="G1" s="39"/>
      <c r="H1" s="39"/>
      <c r="I1" s="40"/>
    </row>
    <row r="2" spans="1:9" ht="14.25">
      <c r="A2" s="5" t="s">
        <v>127</v>
      </c>
      <c r="B2" s="5" t="s">
        <v>128</v>
      </c>
      <c r="C2" s="5" t="s">
        <v>129</v>
      </c>
      <c r="D2" s="5" t="s">
        <v>19</v>
      </c>
      <c r="E2" s="5" t="s">
        <v>130</v>
      </c>
      <c r="F2" s="5" t="s">
        <v>54</v>
      </c>
      <c r="G2" s="5" t="s">
        <v>131</v>
      </c>
      <c r="H2" s="5" t="s">
        <v>100</v>
      </c>
      <c r="I2" s="12" t="s">
        <v>132</v>
      </c>
    </row>
    <row r="3" spans="1:9" ht="28.5">
      <c r="A3" s="17" t="s">
        <v>133</v>
      </c>
      <c r="B3" s="17" t="s">
        <v>431</v>
      </c>
      <c r="C3" s="14">
        <v>5</v>
      </c>
      <c r="D3" s="17" t="s">
        <v>432</v>
      </c>
      <c r="E3" s="17" t="s">
        <v>433</v>
      </c>
      <c r="F3" s="14" t="s">
        <v>134</v>
      </c>
      <c r="G3" s="14" t="s">
        <v>491</v>
      </c>
      <c r="H3" s="14" t="s">
        <v>334</v>
      </c>
      <c r="I3" s="21" t="s">
        <v>135</v>
      </c>
    </row>
    <row r="4" spans="1:9" ht="14.25">
      <c r="A4" s="17" t="s">
        <v>137</v>
      </c>
      <c r="B4" s="17" t="s">
        <v>434</v>
      </c>
      <c r="C4" s="14">
        <v>5</v>
      </c>
      <c r="D4" s="14" t="s">
        <v>435</v>
      </c>
      <c r="E4" s="17" t="s">
        <v>436</v>
      </c>
      <c r="F4" s="14" t="s">
        <v>134</v>
      </c>
      <c r="G4" s="14" t="s">
        <v>491</v>
      </c>
      <c r="H4" s="14" t="s">
        <v>334</v>
      </c>
      <c r="I4" s="21" t="s">
        <v>135</v>
      </c>
    </row>
    <row r="5" spans="1:9" ht="14.25">
      <c r="A5" s="17" t="s">
        <v>138</v>
      </c>
      <c r="B5" s="17" t="s">
        <v>437</v>
      </c>
      <c r="C5" s="14">
        <v>3</v>
      </c>
      <c r="D5" s="17" t="s">
        <v>438</v>
      </c>
      <c r="E5" s="14" t="s">
        <v>439</v>
      </c>
      <c r="F5" s="14" t="s">
        <v>490</v>
      </c>
      <c r="G5" s="17" t="s">
        <v>440</v>
      </c>
      <c r="H5" s="14" t="s">
        <v>334</v>
      </c>
      <c r="I5" s="21" t="s">
        <v>186</v>
      </c>
    </row>
    <row r="6" spans="1:9" ht="14.25">
      <c r="A6" s="17" t="s">
        <v>139</v>
      </c>
      <c r="B6" s="17" t="s">
        <v>441</v>
      </c>
      <c r="C6" s="14">
        <v>3</v>
      </c>
      <c r="D6" s="17" t="s">
        <v>442</v>
      </c>
      <c r="E6" s="14" t="s">
        <v>443</v>
      </c>
      <c r="F6" s="14" t="s">
        <v>490</v>
      </c>
      <c r="G6" s="17" t="s">
        <v>444</v>
      </c>
      <c r="H6" s="14" t="s">
        <v>334</v>
      </c>
      <c r="I6" s="21" t="s">
        <v>186</v>
      </c>
    </row>
    <row r="7" spans="1:9" ht="14.25">
      <c r="A7" s="17" t="s">
        <v>445</v>
      </c>
      <c r="B7" s="17" t="s">
        <v>446</v>
      </c>
      <c r="C7" s="14">
        <v>4</v>
      </c>
      <c r="D7" s="17" t="s">
        <v>447</v>
      </c>
      <c r="E7" s="14" t="s">
        <v>448</v>
      </c>
      <c r="F7" s="14" t="s">
        <v>134</v>
      </c>
      <c r="G7" s="14" t="s">
        <v>449</v>
      </c>
      <c r="H7" s="14" t="s">
        <v>334</v>
      </c>
      <c r="I7" s="21" t="s">
        <v>135</v>
      </c>
    </row>
    <row r="8" spans="1:9" ht="14.25">
      <c r="A8" s="29" t="s">
        <v>153</v>
      </c>
      <c r="B8" s="29" t="s">
        <v>450</v>
      </c>
      <c r="C8" s="15">
        <v>4</v>
      </c>
      <c r="D8" s="15" t="s">
        <v>451</v>
      </c>
      <c r="E8" s="15" t="s">
        <v>452</v>
      </c>
      <c r="F8" s="15" t="s">
        <v>134</v>
      </c>
      <c r="G8" s="15" t="s">
        <v>491</v>
      </c>
      <c r="H8" s="15" t="s">
        <v>334</v>
      </c>
      <c r="I8" s="16" t="s">
        <v>135</v>
      </c>
    </row>
  </sheetData>
  <mergeCells count="1">
    <mergeCell ref="A1:I1"/>
  </mergeCells>
  <dataValidations count="2">
    <dataValidation type="whole" sqref="C3:C8" xr:uid="{00000000-0002-0000-0700-000000000000}">
      <formula1>1</formula1>
      <formula2>5</formula2>
    </dataValidation>
    <dataValidation type="list" sqref="I3:I8" xr:uid="{00000000-0002-0000-0700-000001000000}">
      <formula1>"Не начато,В работе,Готово,Требует решения"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"/>
  <sheetViews>
    <sheetView workbookViewId="0">
      <selection sqref="A1:J1"/>
    </sheetView>
  </sheetViews>
  <sheetFormatPr defaultRowHeight="13.5"/>
  <cols>
    <col min="1" max="1" width="10.5625" customWidth="1"/>
    <col min="2" max="2" width="28.75" customWidth="1"/>
    <col min="3" max="3" width="52.5625" customWidth="1"/>
    <col min="4" max="4" width="14.0625" customWidth="1"/>
    <col min="5" max="5" width="19.3125" customWidth="1"/>
    <col min="6" max="6" width="15.125" customWidth="1"/>
    <col min="7" max="7" width="16.1875" customWidth="1"/>
    <col min="8" max="8" width="52.5625" customWidth="1"/>
    <col min="9" max="9" width="19.3125" customWidth="1"/>
    <col min="10" max="10" width="18.25" customWidth="1"/>
  </cols>
  <sheetData>
    <row r="1" spans="1:10" ht="20" customHeight="1">
      <c r="A1" s="39" t="s">
        <v>140</v>
      </c>
      <c r="B1" s="39"/>
      <c r="C1" s="39"/>
      <c r="D1" s="39"/>
      <c r="E1" s="39"/>
      <c r="F1" s="39"/>
      <c r="G1" s="39"/>
      <c r="H1" s="39"/>
      <c r="I1" s="39"/>
      <c r="J1" s="40"/>
    </row>
    <row r="2" spans="1:10" ht="14.25">
      <c r="A2" s="5" t="s">
        <v>35</v>
      </c>
      <c r="B2" s="5" t="s">
        <v>141</v>
      </c>
      <c r="C2" s="5" t="s">
        <v>142</v>
      </c>
      <c r="D2" s="5" t="s">
        <v>143</v>
      </c>
      <c r="E2" s="5" t="s">
        <v>144</v>
      </c>
      <c r="F2" s="5" t="s">
        <v>145</v>
      </c>
      <c r="G2" s="5" t="s">
        <v>146</v>
      </c>
      <c r="H2" s="5" t="s">
        <v>147</v>
      </c>
      <c r="I2" s="5" t="s">
        <v>148</v>
      </c>
      <c r="J2" s="12" t="s">
        <v>100</v>
      </c>
    </row>
    <row r="3" spans="1:10" ht="14.25">
      <c r="A3" s="17" t="s">
        <v>149</v>
      </c>
      <c r="B3" s="14" t="s">
        <v>453</v>
      </c>
      <c r="C3" s="17" t="s">
        <v>150</v>
      </c>
      <c r="D3" s="14" t="s">
        <v>133</v>
      </c>
      <c r="E3" s="14">
        <v>2</v>
      </c>
      <c r="F3" s="14">
        <v>5</v>
      </c>
      <c r="G3" s="14">
        <f t="shared" ref="G3:G9" si="0">IF(A3="","",E3*F3)</f>
        <v>10</v>
      </c>
      <c r="H3" s="17" t="s">
        <v>151</v>
      </c>
      <c r="I3" s="14" t="s">
        <v>92</v>
      </c>
      <c r="J3" s="21" t="s">
        <v>334</v>
      </c>
    </row>
    <row r="4" spans="1:10" ht="14.25">
      <c r="A4" s="17" t="s">
        <v>152</v>
      </c>
      <c r="B4" s="14" t="s">
        <v>454</v>
      </c>
      <c r="C4" s="14" t="s">
        <v>455</v>
      </c>
      <c r="D4" s="14" t="s">
        <v>189</v>
      </c>
      <c r="E4" s="14">
        <v>3</v>
      </c>
      <c r="F4" s="14">
        <v>5</v>
      </c>
      <c r="G4" s="14">
        <f t="shared" si="0"/>
        <v>15</v>
      </c>
      <c r="H4" s="17" t="s">
        <v>456</v>
      </c>
      <c r="I4" s="14" t="s">
        <v>92</v>
      </c>
      <c r="J4" s="21" t="s">
        <v>334</v>
      </c>
    </row>
    <row r="5" spans="1:10" ht="14.25">
      <c r="A5" s="17" t="s">
        <v>154</v>
      </c>
      <c r="B5" s="14" t="s">
        <v>457</v>
      </c>
      <c r="C5" s="17" t="s">
        <v>421</v>
      </c>
      <c r="D5" s="14" t="s">
        <v>187</v>
      </c>
      <c r="E5" s="14">
        <v>3</v>
      </c>
      <c r="F5" s="14">
        <v>4</v>
      </c>
      <c r="G5" s="14">
        <f t="shared" si="0"/>
        <v>12</v>
      </c>
      <c r="H5" s="17" t="s">
        <v>458</v>
      </c>
      <c r="I5" s="14" t="s">
        <v>115</v>
      </c>
      <c r="J5" s="21" t="s">
        <v>334</v>
      </c>
    </row>
    <row r="6" spans="1:10" ht="14.25">
      <c r="A6" s="17" t="s">
        <v>459</v>
      </c>
      <c r="B6" s="14" t="s">
        <v>460</v>
      </c>
      <c r="C6" s="17" t="s">
        <v>461</v>
      </c>
      <c r="D6" s="14" t="s">
        <v>153</v>
      </c>
      <c r="E6" s="14">
        <v>3</v>
      </c>
      <c r="F6" s="14">
        <v>4</v>
      </c>
      <c r="G6" s="14">
        <f t="shared" si="0"/>
        <v>12</v>
      </c>
      <c r="H6" s="17" t="s">
        <v>462</v>
      </c>
      <c r="I6" s="14" t="s">
        <v>92</v>
      </c>
      <c r="J6" s="21" t="s">
        <v>334</v>
      </c>
    </row>
    <row r="7" spans="1:10" ht="14.25">
      <c r="A7" s="17" t="s">
        <v>463</v>
      </c>
      <c r="B7" s="14" t="s">
        <v>464</v>
      </c>
      <c r="C7" s="14" t="s">
        <v>465</v>
      </c>
      <c r="D7" s="14" t="s">
        <v>155</v>
      </c>
      <c r="E7" s="14">
        <v>2</v>
      </c>
      <c r="F7" s="14">
        <v>4</v>
      </c>
      <c r="G7" s="14">
        <f t="shared" si="0"/>
        <v>8</v>
      </c>
      <c r="H7" s="14" t="s">
        <v>466</v>
      </c>
      <c r="I7" s="14" t="s">
        <v>92</v>
      </c>
      <c r="J7" s="21" t="s">
        <v>334</v>
      </c>
    </row>
    <row r="8" spans="1:10" ht="14.25">
      <c r="A8" s="17" t="s">
        <v>467</v>
      </c>
      <c r="B8" s="14" t="s">
        <v>468</v>
      </c>
      <c r="C8" s="17" t="s">
        <v>469</v>
      </c>
      <c r="D8" s="14" t="s">
        <v>133</v>
      </c>
      <c r="E8" s="14">
        <v>4</v>
      </c>
      <c r="F8" s="14">
        <v>4</v>
      </c>
      <c r="G8" s="14">
        <f t="shared" si="0"/>
        <v>16</v>
      </c>
      <c r="H8" s="17" t="s">
        <v>470</v>
      </c>
      <c r="I8" s="14" t="s">
        <v>112</v>
      </c>
      <c r="J8" s="21" t="s">
        <v>334</v>
      </c>
    </row>
    <row r="9" spans="1:10" ht="14.25">
      <c r="A9" s="29" t="s">
        <v>471</v>
      </c>
      <c r="B9" s="15" t="s">
        <v>472</v>
      </c>
      <c r="C9" s="29" t="s">
        <v>473</v>
      </c>
      <c r="D9" s="15" t="s">
        <v>155</v>
      </c>
      <c r="E9" s="15">
        <v>3</v>
      </c>
      <c r="F9" s="15">
        <v>3</v>
      </c>
      <c r="G9" s="15">
        <f t="shared" si="0"/>
        <v>9</v>
      </c>
      <c r="H9" s="15" t="s">
        <v>474</v>
      </c>
      <c r="I9" s="15" t="s">
        <v>112</v>
      </c>
      <c r="J9" s="16" t="s">
        <v>334</v>
      </c>
    </row>
  </sheetData>
  <mergeCells count="1">
    <mergeCell ref="A1:J1"/>
  </mergeCells>
  <dataValidations count="3">
    <dataValidation type="whole" sqref="E3:F9" xr:uid="{00000000-0002-0000-0800-000000000000}">
      <formula1>1</formula1>
      <formula2>5</formula2>
    </dataValidation>
    <dataValidation type="list" sqref="D3:D9" xr:uid="{00000000-0002-0000-0800-000001000000}">
      <formula1>"Ценность,Данные,Стоимость,Срок,Технология,Монетизация,Удержание,Рост"</formula1>
    </dataValidation>
    <dataValidation type="list" sqref="I3:I9" xr:uid="{00000000-0002-0000-0800-000002000000}">
      <formula1>"Первый релиз,Следующий релиз,Бэклог"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6"/>
  <sheetViews>
    <sheetView workbookViewId="0">
      <selection sqref="A1:K1"/>
    </sheetView>
  </sheetViews>
  <sheetFormatPr defaultRowHeight="13.5"/>
  <cols>
    <col min="1" max="1" width="52.5625" customWidth="1"/>
    <col min="2" max="2" width="34" customWidth="1"/>
    <col min="3" max="3" width="52.5625" customWidth="1"/>
    <col min="4" max="4" width="10.5625" customWidth="1"/>
    <col min="5" max="5" width="19.3125" customWidth="1"/>
    <col min="6" max="6" width="14.0625" customWidth="1"/>
    <col min="7" max="11" width="10.5625" customWidth="1"/>
  </cols>
  <sheetData>
    <row r="1" spans="1:11" ht="20" customHeight="1">
      <c r="A1" s="39" t="s">
        <v>156</v>
      </c>
      <c r="B1" s="39"/>
      <c r="C1" s="39"/>
      <c r="D1" s="37"/>
      <c r="E1" s="39"/>
      <c r="F1" s="39"/>
      <c r="G1" s="37"/>
      <c r="H1" s="37"/>
      <c r="I1" s="37"/>
      <c r="J1" s="37"/>
      <c r="K1" s="41"/>
    </row>
    <row r="2" spans="1:11" ht="14.25">
      <c r="A2" s="5" t="s">
        <v>157</v>
      </c>
      <c r="B2" s="5" t="s">
        <v>158</v>
      </c>
      <c r="C2" s="12" t="s">
        <v>91</v>
      </c>
      <c r="D2" s="2"/>
      <c r="E2" s="5" t="s">
        <v>82</v>
      </c>
      <c r="F2" s="12" t="s">
        <v>159</v>
      </c>
      <c r="G2" s="1"/>
      <c r="H2" s="1"/>
      <c r="I2" s="1"/>
      <c r="J2" s="1"/>
      <c r="K2" s="1"/>
    </row>
    <row r="3" spans="1:11" ht="28.5">
      <c r="A3" s="3" t="s">
        <v>160</v>
      </c>
      <c r="B3" s="14">
        <f>COUNTA(Реестр_единиц!$A$2:$A$25)</f>
        <v>24</v>
      </c>
      <c r="C3" s="26" t="s">
        <v>161</v>
      </c>
      <c r="D3" s="2"/>
      <c r="E3" s="3" t="s">
        <v>92</v>
      </c>
      <c r="F3" s="21">
        <f>COUNTIF(Реестр_единиц!$S$2:$S$25,E3)</f>
        <v>11</v>
      </c>
      <c r="G3" s="1"/>
      <c r="H3" s="1"/>
      <c r="I3" s="1"/>
      <c r="J3" s="1"/>
      <c r="K3" s="1"/>
    </row>
    <row r="4" spans="1:11" ht="14.25">
      <c r="A4" s="3" t="s">
        <v>162</v>
      </c>
      <c r="B4" s="14">
        <f>COUNTIF(Реестр_единиц!$S$2:$S$25,"Первый релиз")</f>
        <v>11</v>
      </c>
      <c r="C4" s="26" t="s">
        <v>163</v>
      </c>
      <c r="D4" s="2"/>
      <c r="E4" s="3" t="s">
        <v>93</v>
      </c>
      <c r="F4" s="21">
        <f>COUNTIF(Реестр_единиц!$S$2:$S$25,E4)</f>
        <v>3</v>
      </c>
      <c r="G4" s="1"/>
      <c r="H4" s="1"/>
      <c r="I4" s="1"/>
      <c r="J4" s="1"/>
      <c r="K4" s="1"/>
    </row>
    <row r="5" spans="1:11" ht="28.5">
      <c r="A5" s="3" t="s">
        <v>84</v>
      </c>
      <c r="B5" s="18">
        <f>IFERROR(AVERAGEIF(Реестр_единиц!$S$2:$S$25,"Первый релиз",Реестр_единиц!$Q$2:$Q$25),0)</f>
        <v>4.2281818181818176</v>
      </c>
      <c r="C5" s="26" t="s">
        <v>164</v>
      </c>
      <c r="D5" s="2"/>
      <c r="E5" s="4" t="s">
        <v>484</v>
      </c>
      <c r="F5" s="16">
        <f>COUNTIF(Реестр_единиц!$S$2:$S$25,E5)</f>
        <v>10</v>
      </c>
      <c r="G5" s="1"/>
      <c r="H5" s="1"/>
      <c r="I5" s="1"/>
      <c r="J5" s="1"/>
      <c r="K5" s="1"/>
    </row>
    <row r="6" spans="1:11" ht="14.25">
      <c r="A6" s="3" t="s">
        <v>165</v>
      </c>
      <c r="B6" s="18">
        <f>IFERROR(AVERAGEIF(Реестр_единиц!$S$2:$S$25,"Первый релиз",Реестр_единиц!$G$2:$G$25),0)</f>
        <v>4</v>
      </c>
      <c r="C6" s="26" t="s">
        <v>166</v>
      </c>
      <c r="D6" s="2"/>
      <c r="E6" s="2"/>
      <c r="F6" s="2"/>
      <c r="G6" s="1"/>
      <c r="H6" s="1"/>
      <c r="I6" s="1"/>
      <c r="J6" s="1"/>
      <c r="K6" s="1"/>
    </row>
    <row r="7" spans="1:11" ht="14.25">
      <c r="A7" s="3" t="s">
        <v>167</v>
      </c>
      <c r="B7" s="18">
        <f>IFERROR(AVERAGEIF(Реестр_единиц!$S$2:$S$25,"Первый релиз",Реестр_единиц!$O$2:$O$25),0)</f>
        <v>1.7272727272727273</v>
      </c>
      <c r="C7" s="21" t="s">
        <v>168</v>
      </c>
      <c r="D7" s="2"/>
      <c r="E7" s="2"/>
      <c r="F7" s="2"/>
      <c r="G7" s="1"/>
      <c r="H7" s="1"/>
      <c r="I7" s="1"/>
      <c r="J7" s="1"/>
      <c r="K7" s="1"/>
    </row>
    <row r="8" spans="1:11" ht="28.5">
      <c r="A8" s="3" t="s">
        <v>169</v>
      </c>
      <c r="B8" s="18">
        <f>IFERROR(AVERAGE(Проверка_ценности!$C$3:$C$8),0)</f>
        <v>4</v>
      </c>
      <c r="C8" s="27" t="s">
        <v>170</v>
      </c>
      <c r="D8" s="2"/>
      <c r="E8" s="2"/>
      <c r="F8" s="2"/>
      <c r="G8" s="1"/>
      <c r="H8" s="1"/>
      <c r="I8" s="1"/>
      <c r="J8" s="1"/>
      <c r="K8" s="1"/>
    </row>
    <row r="9" spans="1:11" ht="14.25">
      <c r="A9" s="5" t="s">
        <v>171</v>
      </c>
      <c r="B9" s="12" t="s">
        <v>172</v>
      </c>
      <c r="C9" s="2"/>
      <c r="D9" s="2"/>
      <c r="E9" s="2"/>
      <c r="F9" s="2"/>
      <c r="G9" s="1"/>
      <c r="H9" s="1"/>
      <c r="I9" s="1"/>
      <c r="J9" s="1"/>
      <c r="K9" s="1"/>
    </row>
    <row r="10" spans="1:11" ht="14.25">
      <c r="A10" s="3" t="s">
        <v>133</v>
      </c>
      <c r="B10" s="22">
        <f>IFERROR(AVERAGEIF(Реестр_единиц!$S$2:$S$25,"Первый релиз",Реестр_единиц!$G$2:$G$25),0)</f>
        <v>4</v>
      </c>
      <c r="C10" s="2"/>
      <c r="D10" s="2"/>
      <c r="E10" s="2"/>
      <c r="F10" s="2"/>
      <c r="G10" s="1"/>
      <c r="H10" s="1"/>
      <c r="I10" s="1"/>
      <c r="J10" s="1"/>
      <c r="K10" s="1"/>
    </row>
    <row r="11" spans="1:11" ht="14.25">
      <c r="A11" s="3" t="s">
        <v>173</v>
      </c>
      <c r="B11" s="22">
        <f>IFERROR(AVERAGEIF(Реестр_единиц!$S$2:$S$25,"Первый релиз",Реестр_единиц!$H$2:$H$25),0)</f>
        <v>3.7272727272727271</v>
      </c>
      <c r="C11" s="2"/>
      <c r="D11" s="2"/>
      <c r="E11" s="2"/>
      <c r="F11" s="2"/>
      <c r="G11" s="1"/>
      <c r="H11" s="1"/>
      <c r="I11" s="1"/>
      <c r="J11" s="1"/>
      <c r="K11" s="1"/>
    </row>
    <row r="12" spans="1:11" ht="14.25">
      <c r="A12" s="3" t="s">
        <v>138</v>
      </c>
      <c r="B12" s="22">
        <f>IFERROR(AVERAGEIF(Реестр_единиц!$S$2:$S$25,"Первый релиз",Реестр_единиц!$I$2:$I$25),0)</f>
        <v>3.2727272727272729</v>
      </c>
      <c r="C12" s="2"/>
      <c r="D12" s="2"/>
      <c r="E12" s="2"/>
      <c r="F12" s="2"/>
      <c r="G12" s="1"/>
      <c r="H12" s="1"/>
      <c r="I12" s="1"/>
      <c r="J12" s="1"/>
      <c r="K12" s="1"/>
    </row>
    <row r="13" spans="1:11" ht="14.25">
      <c r="A13" s="3" t="s">
        <v>139</v>
      </c>
      <c r="B13" s="22">
        <f>IFERROR(AVERAGEIF(Реестр_единиц!$S$2:$S$25,"Первый релиз",Реестр_единиц!$J$2:$J$25),0)</f>
        <v>3.5454545454545454</v>
      </c>
      <c r="C13" s="2"/>
      <c r="D13" s="2"/>
      <c r="E13" s="2"/>
      <c r="F13" s="2"/>
      <c r="G13" s="1"/>
      <c r="H13" s="1"/>
      <c r="I13" s="1"/>
      <c r="J13" s="1"/>
      <c r="K13" s="1"/>
    </row>
    <row r="14" spans="1:11" ht="14.25">
      <c r="A14" s="3" t="s">
        <v>174</v>
      </c>
      <c r="B14" s="22">
        <f>IFERROR(AVERAGEIF(Реестр_единиц!$S$2:$S$25,"Первый релиз",Реестр_единиц!$K$2:$K$25),0)</f>
        <v>4.0909090909090908</v>
      </c>
      <c r="C14" s="2"/>
      <c r="D14" s="2"/>
      <c r="E14" s="2"/>
      <c r="F14" s="2"/>
      <c r="G14" s="1"/>
      <c r="H14" s="1"/>
      <c r="I14" s="1"/>
      <c r="J14" s="1"/>
      <c r="K14" s="1"/>
    </row>
    <row r="15" spans="1:11" ht="14.25">
      <c r="A15" s="3" t="s">
        <v>175</v>
      </c>
      <c r="B15" s="22">
        <f>IFERROR(AVERAGEIF(Реестр_единиц!$S$2:$S$25,"Первый релиз",Реестр_единиц!$M$2:$M$25),0)</f>
        <v>4.0909090909090908</v>
      </c>
      <c r="C15" s="2"/>
      <c r="D15" s="2"/>
      <c r="E15" s="2"/>
      <c r="F15" s="2"/>
      <c r="G15" s="1"/>
      <c r="H15" s="1"/>
      <c r="I15" s="1"/>
      <c r="J15" s="1"/>
      <c r="K15" s="1"/>
    </row>
    <row r="16" spans="1:11" ht="14.25">
      <c r="A16" s="4" t="s">
        <v>176</v>
      </c>
      <c r="B16" s="20">
        <f>IFERROR(AVERAGEIF(Реестр_единиц!$S$2:$S$25,"Первый релиз",Реестр_единиц!$N$2:$N$25),0)</f>
        <v>4</v>
      </c>
      <c r="C16" s="2"/>
      <c r="D16" s="2"/>
      <c r="E16" s="2"/>
      <c r="F16" s="2"/>
      <c r="G16" s="1"/>
      <c r="H16" s="1"/>
      <c r="I16" s="1"/>
      <c r="J16" s="1"/>
      <c r="K16" s="1"/>
    </row>
  </sheetData>
  <mergeCells count="1">
    <mergeCell ref="A1:K1"/>
  </mergeCells>
  <conditionalFormatting sqref="B10:B16">
    <cfRule type="dataBar" priority="1">
      <dataBar>
        <cfvo type="min"/>
        <cfvo type="max"/>
        <color rgb="FF5B9BD5"/>
      </dataBar>
    </cfRule>
  </conditionalFormatting>
  <conditionalFormatting sqref="B10:B16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{A1CCF684-FE46-F072-271C-E65D49F46FD2}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CCF684-FE46-F072-271C-E65D49F46FD2}">
            <x14:dataBar>
              <x14:cfvo type="min"/>
              <x14:cfvo type="max"/>
              <x14:negativeFillColor auto="1"/>
              <x14:axisColor auto="1"/>
            </x14:dataBar>
          </x14:cfRule>
          <xm:sqref>B10:B16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1"/>
  <sheetViews>
    <sheetView workbookViewId="0">
      <selection sqref="A1:H1"/>
    </sheetView>
  </sheetViews>
  <sheetFormatPr defaultRowHeight="13.5"/>
  <cols>
    <col min="1" max="1" width="32.9375" customWidth="1"/>
    <col min="2" max="2" width="19.3125" customWidth="1"/>
    <col min="3" max="3" width="28.75" customWidth="1"/>
    <col min="4" max="4" width="30.875" customWidth="1"/>
    <col min="5" max="5" width="25.625" customWidth="1"/>
    <col min="6" max="6" width="20.375" customWidth="1"/>
    <col min="7" max="7" width="15.125" customWidth="1"/>
    <col min="8" max="8" width="27.6875" customWidth="1"/>
  </cols>
  <sheetData>
    <row r="1" spans="1:8" ht="20" customHeight="1">
      <c r="A1" s="39" t="s">
        <v>177</v>
      </c>
      <c r="B1" s="39"/>
      <c r="C1" s="39"/>
      <c r="D1" s="39"/>
      <c r="E1" s="39"/>
      <c r="F1" s="39"/>
      <c r="G1" s="39"/>
      <c r="H1" s="40"/>
    </row>
    <row r="2" spans="1:8" ht="14.25">
      <c r="A2" s="5" t="s">
        <v>14</v>
      </c>
      <c r="B2" s="5" t="s">
        <v>132</v>
      </c>
      <c r="C2" s="5" t="s">
        <v>36</v>
      </c>
      <c r="D2" s="5" t="s">
        <v>40</v>
      </c>
      <c r="E2" s="5" t="s">
        <v>53</v>
      </c>
      <c r="F2" s="5" t="s">
        <v>178</v>
      </c>
      <c r="G2" s="5" t="s">
        <v>143</v>
      </c>
      <c r="H2" s="12" t="s">
        <v>179</v>
      </c>
    </row>
    <row r="3" spans="1:8" ht="14.25">
      <c r="A3" s="9" t="s">
        <v>180</v>
      </c>
      <c r="B3" s="6" t="s">
        <v>181</v>
      </c>
      <c r="C3" s="6" t="s">
        <v>60</v>
      </c>
      <c r="D3" s="6" t="s">
        <v>182</v>
      </c>
      <c r="E3" s="6" t="s">
        <v>92</v>
      </c>
      <c r="F3" s="6" t="s">
        <v>492</v>
      </c>
      <c r="G3" s="6" t="s">
        <v>133</v>
      </c>
      <c r="H3" s="23" t="s">
        <v>183</v>
      </c>
    </row>
    <row r="4" spans="1:8" ht="14.25">
      <c r="A4" s="9" t="s">
        <v>25</v>
      </c>
      <c r="B4" s="6" t="s">
        <v>136</v>
      </c>
      <c r="C4" s="6" t="s">
        <v>57</v>
      </c>
      <c r="D4" s="6" t="s">
        <v>30</v>
      </c>
      <c r="E4" s="6" t="s">
        <v>93</v>
      </c>
      <c r="F4" s="6" t="s">
        <v>493</v>
      </c>
      <c r="G4" s="6" t="s">
        <v>153</v>
      </c>
      <c r="H4" s="23" t="s">
        <v>184</v>
      </c>
    </row>
    <row r="5" spans="1:8" ht="14.25">
      <c r="A5" s="9" t="s">
        <v>27</v>
      </c>
      <c r="B5" s="6" t="s">
        <v>135</v>
      </c>
      <c r="C5" s="6" t="s">
        <v>63</v>
      </c>
      <c r="D5" s="6" t="s">
        <v>80</v>
      </c>
      <c r="E5" s="6" t="s">
        <v>484</v>
      </c>
      <c r="F5" s="6" t="s">
        <v>494</v>
      </c>
      <c r="G5" s="6" t="s">
        <v>155</v>
      </c>
      <c r="H5" s="23" t="s">
        <v>138</v>
      </c>
    </row>
    <row r="6" spans="1:8" ht="14.25">
      <c r="A6" s="9" t="s">
        <v>185</v>
      </c>
      <c r="B6" s="6" t="s">
        <v>186</v>
      </c>
      <c r="C6" s="6" t="s">
        <v>67</v>
      </c>
      <c r="D6" s="6" t="s">
        <v>78</v>
      </c>
      <c r="E6" s="6" t="s">
        <v>491</v>
      </c>
      <c r="F6" s="6" t="s">
        <v>495</v>
      </c>
      <c r="G6" s="6" t="s">
        <v>187</v>
      </c>
      <c r="H6" s="23" t="s">
        <v>188</v>
      </c>
    </row>
    <row r="7" spans="1:8" ht="14.25">
      <c r="A7" s="9" t="s">
        <v>30</v>
      </c>
      <c r="B7" s="6" t="s">
        <v>491</v>
      </c>
      <c r="C7" s="6" t="s">
        <v>73</v>
      </c>
      <c r="D7" s="6" t="s">
        <v>61</v>
      </c>
      <c r="E7" s="6" t="s">
        <v>491</v>
      </c>
      <c r="F7" s="6" t="s">
        <v>496</v>
      </c>
      <c r="G7" s="6" t="s">
        <v>189</v>
      </c>
      <c r="H7" s="23" t="s">
        <v>190</v>
      </c>
    </row>
    <row r="8" spans="1:8" ht="14.25">
      <c r="A8" s="9" t="s">
        <v>191</v>
      </c>
      <c r="B8" s="6" t="s">
        <v>491</v>
      </c>
      <c r="C8" s="6" t="s">
        <v>65</v>
      </c>
      <c r="D8" s="6" t="s">
        <v>71</v>
      </c>
      <c r="E8" s="6" t="s">
        <v>491</v>
      </c>
      <c r="F8" s="6" t="s">
        <v>491</v>
      </c>
      <c r="G8" s="6" t="s">
        <v>137</v>
      </c>
      <c r="H8" s="23" t="s">
        <v>192</v>
      </c>
    </row>
    <row r="9" spans="1:8" ht="14.25">
      <c r="A9" s="9" t="s">
        <v>32</v>
      </c>
      <c r="B9" s="6" t="s">
        <v>491</v>
      </c>
      <c r="C9" s="6" t="s">
        <v>75</v>
      </c>
      <c r="D9" s="6" t="s">
        <v>76</v>
      </c>
      <c r="E9" s="6" t="s">
        <v>491</v>
      </c>
      <c r="F9" s="6" t="s">
        <v>491</v>
      </c>
      <c r="G9" s="6" t="s">
        <v>138</v>
      </c>
      <c r="H9" s="23" t="s">
        <v>193</v>
      </c>
    </row>
    <row r="10" spans="1:8" ht="14.25">
      <c r="A10" s="9" t="s">
        <v>34</v>
      </c>
      <c r="B10" s="6" t="s">
        <v>491</v>
      </c>
      <c r="C10" s="6" t="s">
        <v>70</v>
      </c>
      <c r="D10" s="6" t="s">
        <v>68</v>
      </c>
      <c r="E10" s="6" t="s">
        <v>491</v>
      </c>
      <c r="F10" s="6" t="s">
        <v>491</v>
      </c>
      <c r="G10" s="6" t="s">
        <v>139</v>
      </c>
      <c r="H10" s="23" t="s">
        <v>194</v>
      </c>
    </row>
    <row r="11" spans="1:8" ht="14.25">
      <c r="A11" s="10" t="s">
        <v>195</v>
      </c>
      <c r="B11" s="7" t="s">
        <v>491</v>
      </c>
      <c r="C11" s="7" t="s">
        <v>491</v>
      </c>
      <c r="D11" s="7" t="s">
        <v>196</v>
      </c>
      <c r="E11" s="7" t="s">
        <v>491</v>
      </c>
      <c r="F11" s="7" t="s">
        <v>491</v>
      </c>
      <c r="G11" s="7" t="s">
        <v>491</v>
      </c>
      <c r="H11" s="8" t="s">
        <v>197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Методика</vt:lpstr>
      <vt:lpstr>Банк_анализа</vt:lpstr>
      <vt:lpstr>Реестр_единиц</vt:lpstr>
      <vt:lpstr>Оценка_релизов</vt:lpstr>
      <vt:lpstr>Первый_релиз</vt:lpstr>
      <vt:lpstr>Следующие_релизы</vt:lpstr>
      <vt:lpstr>Дорожная_карта</vt:lpstr>
      <vt:lpstr>Проверка_ценности</vt:lpstr>
      <vt:lpstr>Риски_зависимости</vt:lpstr>
      <vt:lpstr>Дашборд</vt:lpstr>
      <vt:lpstr>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2026-10-07T12:13:43Z</dcterms:modified>
</cp:coreProperties>
</file>