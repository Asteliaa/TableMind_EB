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6_ЦП_Канвас_сценарии_релизы\Excel\"/>
    </mc:Choice>
  </mc:AlternateContent>
  <xr:revisionPtr revIDLastSave="0" documentId="13_ncr:1_{088C84BA-4FBC-42E6-A183-EBB3F590B32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1" l="1"/>
  <c r="E15" i="11"/>
  <c r="E14" i="11"/>
  <c r="E13" i="11"/>
  <c r="E12" i="11"/>
  <c r="E11" i="11"/>
  <c r="E10" i="11"/>
  <c r="E9" i="11"/>
  <c r="E8" i="11"/>
  <c r="E7" i="11"/>
  <c r="E6" i="11"/>
  <c r="E5" i="11"/>
  <c r="E4" i="11"/>
  <c r="F14" i="10"/>
  <c r="F13" i="10"/>
  <c r="F12" i="10"/>
  <c r="F11" i="10"/>
  <c r="F10" i="10"/>
  <c r="F9" i="10"/>
  <c r="F8" i="10"/>
  <c r="F7" i="10"/>
  <c r="F6" i="10"/>
  <c r="F5" i="10"/>
  <c r="F4" i="10"/>
  <c r="F3" i="10"/>
  <c r="K9" i="6"/>
  <c r="K8" i="6"/>
  <c r="K7" i="6"/>
  <c r="K6" i="6"/>
  <c r="K5" i="6"/>
  <c r="K3" i="6"/>
  <c r="Q4" i="5"/>
  <c r="J11" i="3"/>
  <c r="J10" i="3"/>
  <c r="J9" i="3"/>
  <c r="E16" i="12" s="1"/>
  <c r="J8" i="3"/>
  <c r="E15" i="12" s="1"/>
  <c r="J7" i="3"/>
  <c r="E14" i="12" s="1"/>
  <c r="J6" i="3"/>
  <c r="E13" i="12" s="1"/>
  <c r="J5" i="3"/>
  <c r="J4" i="3"/>
  <c r="J3" i="3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D11" i="12"/>
  <c r="C11" i="12"/>
  <c r="B11" i="12"/>
  <c r="A11" i="12"/>
  <c r="D10" i="12"/>
  <c r="C10" i="12"/>
  <c r="B10" i="12"/>
  <c r="A10" i="12"/>
  <c r="B7" i="12"/>
  <c r="B5" i="12"/>
  <c r="B4" i="12"/>
  <c r="B3" i="12"/>
  <c r="B3" i="11"/>
  <c r="E3" i="11" s="1"/>
  <c r="K10" i="9"/>
  <c r="K9" i="9"/>
  <c r="K8" i="9"/>
  <c r="K7" i="9"/>
  <c r="K6" i="9"/>
  <c r="K5" i="9"/>
  <c r="K4" i="9"/>
  <c r="K3" i="9"/>
  <c r="K10" i="8"/>
  <c r="K9" i="8"/>
  <c r="K8" i="8"/>
  <c r="K7" i="8"/>
  <c r="K6" i="8"/>
  <c r="K5" i="8"/>
  <c r="K4" i="8"/>
  <c r="K3" i="8"/>
  <c r="M5" i="7"/>
  <c r="N5" i="7" s="1"/>
  <c r="M4" i="7"/>
  <c r="N4" i="7" s="1"/>
  <c r="M3" i="7"/>
  <c r="N3" i="7" s="1"/>
  <c r="J10" i="6"/>
  <c r="K10" i="6" s="1"/>
  <c r="J9" i="6"/>
  <c r="J8" i="6"/>
  <c r="J7" i="6"/>
  <c r="J6" i="6"/>
  <c r="J5" i="6"/>
  <c r="J4" i="6"/>
  <c r="K4" i="6" s="1"/>
  <c r="J3" i="6"/>
  <c r="P5" i="5"/>
  <c r="Q5" i="5" s="1"/>
  <c r="P4" i="5"/>
  <c r="P3" i="5"/>
  <c r="Q3" i="5" s="1"/>
  <c r="J6" i="4"/>
  <c r="K6" i="4" s="1"/>
  <c r="J5" i="4"/>
  <c r="K5" i="4" s="1"/>
  <c r="J4" i="4"/>
  <c r="K4" i="4" s="1"/>
  <c r="J3" i="4"/>
  <c r="K3" i="4" s="1"/>
  <c r="E18" i="12"/>
  <c r="E17" i="12"/>
  <c r="E12" i="12"/>
  <c r="E11" i="1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B8" i="12" l="1"/>
  <c r="C22" i="12" s="1"/>
  <c r="B6" i="12"/>
  <c r="E10" i="12"/>
  <c r="C20" i="12" l="1"/>
  <c r="C21" i="12"/>
  <c r="C23" i="12" l="1"/>
</calcChain>
</file>

<file path=xl/sharedStrings.xml><?xml version="1.0" encoding="utf-8"?>
<sst xmlns="http://schemas.openxmlformats.org/spreadsheetml/2006/main" count="788" uniqueCount="629">
  <si>
    <t>Назначение файла</t>
  </si>
  <si>
    <t>Этап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</si>
  <si>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</si>
  <si>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</si>
  <si>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</si>
  <si>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</si>
  <si>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</si>
  <si>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</si>
  <si>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</si>
  <si>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</si>
  <si>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</si>
  <si>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</si>
  <si>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</si>
  <si>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</si>
  <si>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</si>
  <si>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</si>
  <si>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</si>
  <si>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</si>
  <si>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</si>
  <si>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</si>
  <si>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</si>
  <si>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</si>
  <si>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</si>
  <si>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</si>
  <si>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</si>
  <si>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</si>
  <si>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</si>
  <si>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</si>
  <si>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</si>
  <si>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</si>
  <si>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</si>
  <si>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</si>
  <si>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</si>
  <si>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</si>
  <si>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</si>
  <si>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</si>
  <si>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</si>
  <si>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</si>
  <si>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</si>
  <si>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</si>
  <si>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</si>
  <si>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</si>
  <si>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</si>
  <si>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</si>
  <si>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</si>
  <si>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</si>
  <si>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</si>
  <si>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</si>
  <si>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</si>
  <si>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</si>
  <si>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</si>
  <si>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</si>
  <si>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</si>
  <si>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</si>
  <si>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</si>
  <si>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</si>
  <si>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</si>
  <si>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</si>
  <si>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</si>
  <si>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</si>
  <si>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</si>
  <si>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</si>
  <si>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</si>
  <si>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</si>
  <si>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</si>
  <si>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</si>
  <si>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</si>
  <si>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</si>
  <si>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</si>
  <si>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</si>
  <si>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</si>
  <si>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</si>
  <si>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</si>
  <si>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</si>
  <si>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</si>
  <si>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</si>
  <si>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</si>
  <si>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</si>
  <si>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</si>
  <si>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</si>
  <si>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</si>
  <si>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</si>
  <si>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</si>
  <si>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</si>
  <si>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</si>
  <si>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</si>
  <si>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</si>
  <si>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</si>
  <si>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</si>
  <si>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</si>
  <si>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</si>
  <si>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</si>
  <si>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</si>
  <si>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</si>
  <si>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</si>
  <si>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</si>
  <si>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</si>
  <si>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</si>
  <si>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</si>
  <si>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</si>
  <si>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</si>
  <si>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</si>
  <si>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</si>
  <si>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</si>
  <si>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</si>
  <si>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</si>
  <si>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</si>
  <si>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</si>
  <si>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</si>
  <si>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</si>
  <si>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</si>
  <si>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</si>
  <si>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</si>
  <si>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</si>
  <si>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</si>
  <si>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</si>
  <si>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</si>
  <si>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</si>
  <si>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</si>
  <si>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</si>
  <si>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</si>
  <si>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</si>
  <si>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</si>
  <si>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</si>
  <si>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</si>
  <si>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</si>
  <si>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</si>
  <si>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</si>
  <si>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</si>
  <si>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</si>
  <si>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</si>
  <si>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</si>
  <si>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</si>
  <si>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</si>
  <si>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</si>
  <si>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</si>
  <si>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</si>
  <si>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</si>
  <si>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</si>
  <si>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</si>
  <si>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</si>
  <si>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</si>
  <si>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</si>
  <si>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</si>
  <si>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</si>
  <si>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</si>
  <si>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</si>
  <si>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</si>
  <si>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</si>
  <si>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</si>
  <si>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</si>
  <si>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</si>
  <si>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</si>
  <si>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</si>
  <si>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</si>
  <si>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</si>
  <si>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</si>
  <si>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</si>
  <si>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</si>
  <si>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</si>
  <si>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</si>
  <si>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</si>
  <si>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</si>
  <si>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</si>
  <si>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</si>
  <si>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</si>
  <si>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</si>
  <si>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</si>
  <si>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</si>
  <si>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</si>
  <si>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</si>
  <si>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</si>
  <si>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</si>
  <si>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</si>
  <si>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</si>
  <si>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</si>
  <si>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</si>
  <si>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</si>
  <si>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</si>
  <si>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</si>
  <si>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</si>
  <si>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</si>
  <si>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</si>
  <si>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</si>
  <si>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</si>
  <si>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</si>
  <si>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</si>
  <si>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</si>
  <si>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</si>
  <si>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</si>
  <si>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</si>
  <si>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</si>
  <si>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</si>
  <si>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</si>
  <si>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</si>
  <si>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</si>
  <si>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</si>
  <si>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</si>
  <si>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</si>
  <si>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</si>
  <si>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</si>
  <si>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</si>
  <si>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</si>
  <si>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</si>
  <si>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</si>
  <si>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</si>
  <si>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</si>
  <si>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</si>
  <si>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</si>
  <si>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</si>
  <si>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</si>
  <si>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</si>
  <si>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</si>
  <si>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</si>
  <si>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</si>
  <si>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</si>
  <si>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</si>
  <si>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</si>
  <si>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</si>
  <si>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</si>
  <si>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</si>
  <si>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</si>
  <si>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</si>
  <si>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</si>
  <si>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</si>
  <si>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</si>
  <si>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</si>
  <si>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</si>
  <si>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</si>
  <si>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</si>
  <si>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</si>
  <si>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</si>
  <si>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</si>
  <si>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</si>
  <si>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</si>
  <si>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</si>
  <si>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</si>
  <si>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</si>
  <si>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</si>
  <si>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</si>
  <si>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</si>
  <si>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</si>
  <si>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</si>
  <si>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</si>
  <si>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</si>
  <si>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</si>
  <si>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</si>
  <si>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</si>
  <si>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</si>
  <si>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</si>
  <si>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</si>
  <si>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</si>
  <si>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</si>
  <si>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</si>
  <si>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</si>
  <si>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</si>
  <si>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</si>
  <si>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</si>
  <si>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</si>
  <si>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</si>
  <si>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</si>
  <si>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</si>
  <si>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</si>
  <si>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</si>
  <si>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</si>
  <si>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</si>
  <si>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</si>
  <si>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</si>
  <si>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</si>
  <si>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</si>
  <si>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</si>
  <si>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</si>
  <si>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</si>
  <si>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</si>
  <si>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</si>
  <si>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</si>
  <si>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</si>
  <si>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</si>
  <si>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</si>
  <si>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</si>
  <si>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</si>
  <si>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</si>
  <si>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</si>
  <si>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</si>
  <si>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</si>
  <si>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</si>
  <si>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</si>
  <si>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</si>
  <si>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</si>
  <si>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</si>
  <si>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</si>
  <si>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</si>
  <si>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</si>
  <si>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</si>
  <si>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</si>
  <si>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</si>
  <si>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</si>
  <si>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Отчет ЛР1</t>
  </si>
  <si>
    <t>запросы о таблицах Excel</t>
  </si>
  <si>
    <t>Вордстат</t>
  </si>
  <si>
    <t>ЛР1, раздел 2.4</t>
  </si>
  <si>
    <t>Спрос проблемный, прямого запроса на аудит мало</t>
  </si>
  <si>
    <t>использовано</t>
  </si>
  <si>
    <t>SRC-001</t>
  </si>
  <si>
    <t>Отчет ЛР2-3</t>
  </si>
  <si>
    <t>рынок</t>
  </si>
  <si>
    <t>Расчеты</t>
  </si>
  <si>
    <t>ЛР2-3, раздел 2.10</t>
  </si>
  <si>
    <t>Платежеспособность достаточная</t>
  </si>
  <si>
    <t>SRC-002</t>
  </si>
  <si>
    <t>Отчет ЛР4</t>
  </si>
  <si>
    <t>12 сайтов</t>
  </si>
  <si>
    <t>Similarweb</t>
  </si>
  <si>
    <t>ЛР4, раздел 2.2</t>
  </si>
  <si>
    <t>Заменители дают 73 % релевантного трафика; CR3 52 %</t>
  </si>
  <si>
    <t>Критичная сила - заменители</t>
  </si>
  <si>
    <t>SRC-003</t>
  </si>
  <si>
    <t>Отзывы</t>
  </si>
  <si>
    <t>PerfectXL</t>
  </si>
  <si>
    <t>G2</t>
  </si>
  <si>
    <t>https://www.g2.com/search?query=perfectxl</t>
  </si>
  <si>
    <t>0 отзывов на G2 и Trustpilot</t>
  </si>
  <si>
    <t>У прямых конкурентов нет публичных отзывов</t>
  </si>
  <si>
    <t>SRC-004</t>
  </si>
  <si>
    <t>Datarails</t>
  </si>
  <si>
    <t>https://www.g2.com/search?query=datarails</t>
  </si>
  <si>
    <t>386 отзывов, 4,6</t>
  </si>
  <si>
    <t>Платформы сильнее в доверии</t>
  </si>
  <si>
    <t>SRC-005</t>
  </si>
  <si>
    <t>Страница цен</t>
  </si>
  <si>
    <t>perfectxl.com</t>
  </si>
  <si>
    <t>https://www.perfectxl.com/pricing/</t>
  </si>
  <si>
    <t>SRC-006</t>
  </si>
  <si>
    <t>Shortcut</t>
  </si>
  <si>
    <t>shortcut.ai</t>
  </si>
  <si>
    <t>https://www.shortcut.ai/pricing</t>
  </si>
  <si>
    <t>Лестница тарифов с бесплатным входом</t>
  </si>
  <si>
    <t>SRC-007</t>
  </si>
  <si>
    <t>Главная страница</t>
  </si>
  <si>
    <t>https://www.shortcut.ai/</t>
  </si>
  <si>
    <t>SOC 2 Type II, нулевое хранение данных</t>
  </si>
  <si>
    <t>Безопасность - обязательный признак доверия</t>
  </si>
  <si>
    <t>SRC-008</t>
  </si>
  <si>
    <t>Numerous.ai</t>
  </si>
  <si>
    <t>numerous.ai</t>
  </si>
  <si>
    <t>https://www.numerous.ai/pricing</t>
  </si>
  <si>
    <t>Массовый AI-помощник дешев и не проверяет</t>
  </si>
  <si>
    <t>SRC-009</t>
  </si>
  <si>
    <t>Каталог</t>
  </si>
  <si>
    <t>формулы Excel</t>
  </si>
  <si>
    <t>AppSource</t>
  </si>
  <si>
    <t>https://appsource.microsoft.com/</t>
  </si>
  <si>
    <t>По запросу formula checker найден 1 результат, по excel audit - 138</t>
  </si>
  <si>
    <t>Ниша проверки формул в магазине почти пуста</t>
  </si>
  <si>
    <t>SRC-010</t>
  </si>
  <si>
    <t>Документ проекта</t>
  </si>
  <si>
    <t>концепция</t>
  </si>
  <si>
    <t>ПЗ1</t>
  </si>
  <si>
    <t>ПЗ1, раздел 1.1</t>
  </si>
  <si>
    <t>Ошибки есть в 86-94 % реальных таблиц; AI-надстройки лидеров сами требуют проверки</t>
  </si>
  <si>
    <t>Проблема массовая</t>
  </si>
  <si>
    <t>SRC-011</t>
  </si>
  <si>
    <t>DataSnipper</t>
  </si>
  <si>
    <t>datasnipper.com</t>
  </si>
  <si>
    <t>https://www.datasnipper.com/</t>
  </si>
  <si>
    <t>SOC 2, GDPR, AI Act; клиенты RSM, Mazars, BDO, Grant Thornton</t>
  </si>
  <si>
    <t>Доверие аудиторов строится на соответствии</t>
  </si>
  <si>
    <t>SRC-012</t>
  </si>
  <si>
    <t>Arixcel</t>
  </si>
  <si>
    <t>arixcel.com</t>
  </si>
  <si>
    <t>https://www.arixcel.com/</t>
  </si>
  <si>
    <t>Нишевый инструмент без цены и отзывов</t>
  </si>
  <si>
    <t>SRC-013</t>
  </si>
  <si>
    <t>Отчет ЛР5</t>
  </si>
  <si>
    <t>цифровой товар</t>
  </si>
  <si>
    <t>Excel</t>
  </si>
  <si>
    <t>ЛР5, раздел 2.4</t>
  </si>
  <si>
    <t>Минимальный товар и зоны дифференциации</t>
  </si>
  <si>
    <t>SRC-014</t>
  </si>
  <si>
    <t>Финансовые аналитики и FP&amp;A, бухгалтеры и аудиторы, консультанты по управлению, МСП с финансовой функцией (англоязычные страны и ЕС)</t>
  </si>
  <si>
    <t>Доля платящих по сегментам на MVP</t>
  </si>
  <si>
    <t>Реакция пользователей на доказательства в отчете</t>
  </si>
  <si>
    <t>Поиск по проблемным запросам, Microsoft AppSource, партнеры из бухгалтерских и консалтинговых фирм, Product Hunt</t>
  </si>
  <si>
    <t>Конверсии и стоимость привлечения на MVP</t>
  </si>
  <si>
    <t>Бесплатный старт, самообслуживание, шаблоны отчетов, документация и обучение</t>
  </si>
  <si>
    <t>Доля активации первого аудита</t>
  </si>
  <si>
    <t>Структура платящих (45/45/10 %)</t>
  </si>
  <si>
    <t>Движок проверки, база правил и eval-набор, команда разработки, соответствие GDPR</t>
  </si>
  <si>
    <t>Метрики точности на eval-наборе</t>
  </si>
  <si>
    <t>Развитие правил и движка, оценка точности, контент по проблемным запросам, партнерства</t>
  </si>
  <si>
    <t>ПЗ4: этапы MVP, бета, релиз</t>
  </si>
  <si>
    <t>Загрузка команды</t>
  </si>
  <si>
    <t>Microsoft AppSource, бухгалтерские и консалтинговые фирмы, провайдеры LLM, облако и платежи</t>
  </si>
  <si>
    <t>Условия AppSource и комиссии</t>
  </si>
  <si>
    <t>Себестоимость проверки на пользователя</t>
  </si>
  <si>
    <t>Финансовые аналитики и FP&amp;A</t>
  </si>
  <si>
    <t>Проверить модель перед передачей</t>
  </si>
  <si>
    <t>Скрытые ошибки (P-001)</t>
  </si>
  <si>
    <t>Бухгалтеры и аудиторы</t>
  </si>
  <si>
    <t>Подтвердить расчеты в таблицах</t>
  </si>
  <si>
    <t>Ошибки и отсутствие следов проверки (P-001, P-006)</t>
  </si>
  <si>
    <t>Консультанты по управлению</t>
  </si>
  <si>
    <t>Проверить чужую модель клиента</t>
  </si>
  <si>
    <t>Нет передаваемого отчета (P-006)</t>
  </si>
  <si>
    <t>ЛР2-3: индекс бюджета 4,2</t>
  </si>
  <si>
    <t>МСП с финансовой функцией</t>
  </si>
  <si>
    <t>Контроль таблиц без штатного аудитора</t>
  </si>
  <si>
    <t>Безопасность и цена (P-004, P-005)</t>
  </si>
  <si>
    <t>P-001</t>
  </si>
  <si>
    <t>Скрытые ошибки в формулах обнаруживаются после передачи модели заказчику, инвестору или аудитору</t>
  </si>
  <si>
    <t>ручная проверка, PerfectXL, универсальный AI</t>
  </si>
  <si>
    <t>модель без скрытых ошибок перед передачей</t>
  </si>
  <si>
    <t>Для финансовых аналитиков, бухгалтеров и консультантов, которые передают Excel-модели заказчикам, TableMind находит скрытые ошибки формул до отправки файла и доказывает каждую находку вычислением, поэтому модель можно сдавать без риска неверных чисел.</t>
  </si>
  <si>
    <t>TableMind Web Audit</t>
  </si>
  <si>
    <t>веб-сервис</t>
  </si>
  <si>
    <t>поиск ошибок формул</t>
  </si>
  <si>
    <t>веб-аудит с отчетом</t>
  </si>
  <si>
    <t>объяснения, исправления, история</t>
  </si>
  <si>
    <t>P-002</t>
  </si>
  <si>
    <t>Результат AI-помощника в Excel нельзя подтвердить без ручной проверки</t>
  </si>
  <si>
    <t>Copilot, ChatGPT, ручная проверка результата</t>
  </si>
  <si>
    <t>уверенность в числах, полученных с помощью AI</t>
  </si>
  <si>
    <t>Для тех, кто строит таблицы с помощью AI-помощников, TableMind независимо проверяет результат движком и показывает доказательство каждой ошибки, поэтому использование AI не увеличивает риск.</t>
  </si>
  <si>
    <t>TableMind для Excel</t>
  </si>
  <si>
    <t>надстройка</t>
  </si>
  <si>
    <t>проверка книги в Excel</t>
  </si>
  <si>
    <t>подсветка находок в Excel</t>
  </si>
  <si>
    <t>проверка после правки</t>
  </si>
  <si>
    <t>Привлекательное</t>
  </si>
  <si>
    <t>P-005</t>
  </si>
  <si>
    <t>Неясно, безопасно ли загружать файл с финансовыми данными во внешний сервис</t>
  </si>
  <si>
    <t>отказ от внешних сервисов</t>
  </si>
  <si>
    <t>проверка без утечки данных</t>
  </si>
  <si>
    <t>Для компаний с финансовыми данными TableMind проверяет файл без хранения содержимого дольше сессии и с соблюдением GDPR, поэтому проверку можно разрешить без согласования с безопасностью.</t>
  </si>
  <si>
    <t>обработка без хранения</t>
  </si>
  <si>
    <t>политика данных GDPR</t>
  </si>
  <si>
    <t>план SOC 2</t>
  </si>
  <si>
    <t>Привлечение</t>
  </si>
  <si>
    <t>все</t>
  </si>
  <si>
    <t>Поиск по проблемным запросам (ошибки в формулах)</t>
  </si>
  <si>
    <t>верх воронки</t>
  </si>
  <si>
    <t>органика 34 % трафика конкурентов</t>
  </si>
  <si>
    <t>МСП, консультанты</t>
  </si>
  <si>
    <t>Microsoft AppSource</t>
  </si>
  <si>
    <t>верх воронки и доверие</t>
  </si>
  <si>
    <t>DataSnipper, Rows в магазине</t>
  </si>
  <si>
    <t>консультанты, бухгалтеры</t>
  </si>
  <si>
    <t>Партнерские фирмы и преподаватели Excel</t>
  </si>
  <si>
    <t>рефералы 7 %</t>
  </si>
  <si>
    <t>Product Hunt и профессиональные сообщества</t>
  </si>
  <si>
    <t>соцсети 4,5 %</t>
  </si>
  <si>
    <t>Интерес</t>
  </si>
  <si>
    <t>Страница продукта, примеры найденных ошибок</t>
  </si>
  <si>
    <t>интерес</t>
  </si>
  <si>
    <t>кейсы есть у 5 из 7</t>
  </si>
  <si>
    <t>Регистрация</t>
  </si>
  <si>
    <t>Бесплатная проверка файла без оплаты</t>
  </si>
  <si>
    <t>активация</t>
  </si>
  <si>
    <t>пробный доступ у 3 из 7</t>
  </si>
  <si>
    <t>Оплата</t>
  </si>
  <si>
    <t>Прозрачная страница тарифов</t>
  </si>
  <si>
    <t>оплата</t>
  </si>
  <si>
    <t>прозрачные тарифы у 2 из 7</t>
  </si>
  <si>
    <t>Pro и Team</t>
  </si>
  <si>
    <t>Email, отчеты, обучающие материалы</t>
  </si>
  <si>
    <t>удержание</t>
  </si>
  <si>
    <t>документация у 6 из 7</t>
  </si>
  <si>
    <t>Файл (разовый аудит)</t>
  </si>
  <si>
    <t>оплата проверки файла</t>
  </si>
  <si>
    <t>число проверенных файлов</t>
  </si>
  <si>
    <t>разовые платежи</t>
  </si>
  <si>
    <t>результат проверки</t>
  </si>
  <si>
    <t>Пользователь Pro</t>
  </si>
  <si>
    <t>ежемесячная подписка</t>
  </si>
  <si>
    <t>число активных пользователей</t>
  </si>
  <si>
    <t>подписка</t>
  </si>
  <si>
    <t>постоянная проверка</t>
  </si>
  <si>
    <t>Место Team</t>
  </si>
  <si>
    <t>ежемесячная подписка за место</t>
  </si>
  <si>
    <t>число мест</t>
  </si>
  <si>
    <t>подписка по местам</t>
  </si>
  <si>
    <t>командная работа</t>
  </si>
  <si>
    <t>Ресурсы</t>
  </si>
  <si>
    <t>Движок проверки</t>
  </si>
  <si>
    <t>Детерминированная проверка правил и инвариантов, вычисление находок</t>
  </si>
  <si>
    <t>доказательство вывода</t>
  </si>
  <si>
    <t>разработка в MVP</t>
  </si>
  <si>
    <t>База правил и eval-набор</t>
  </si>
  <si>
    <t>Набор правил, размеченные файлы для оценки precision и recall</t>
  </si>
  <si>
    <t>точность не ниже 90 %</t>
  </si>
  <si>
    <t>накапливать с MVP</t>
  </si>
  <si>
    <t>Безопасность и GDPR</t>
  </si>
  <si>
    <t>Политика данных, шифрование, минимальное хранение</t>
  </si>
  <si>
    <t>доверие</t>
  </si>
  <si>
    <t>ЛР5</t>
  </si>
  <si>
    <t>до открытой беты</t>
  </si>
  <si>
    <t>Деятельности</t>
  </si>
  <si>
    <t>Оценка точности</t>
  </si>
  <si>
    <t>Регулярный прогон eval-набора</t>
  </si>
  <si>
    <t>качество</t>
  </si>
  <si>
    <t>автоматизация</t>
  </si>
  <si>
    <t>Контент и поиск</t>
  </si>
  <si>
    <t>Страницы по проблемным запросам, примеры ошибок</t>
  </si>
  <si>
    <t>канал поиска</t>
  </si>
  <si>
    <t>ЛР1, ЛР4</t>
  </si>
  <si>
    <t>постоянно</t>
  </si>
  <si>
    <t>Партнеры</t>
  </si>
  <si>
    <t>Публикация надстройки, соблюдение правил</t>
  </si>
  <si>
    <t>канал</t>
  </si>
  <si>
    <t>ЛР4</t>
  </si>
  <si>
    <t>бета v1</t>
  </si>
  <si>
    <t>Провайдеры LLM и облако</t>
  </si>
  <si>
    <t>API моделей и хостинг</t>
  </si>
  <si>
    <t>пояснения и исправления</t>
  </si>
  <si>
    <t>заменяемость провайдера</t>
  </si>
  <si>
    <t>Платежи</t>
  </si>
  <si>
    <t>Stripe, налоги и возвраты</t>
  </si>
  <si>
    <t>стандартный сервис</t>
  </si>
  <si>
    <t>Оплата труда команды</t>
  </si>
  <si>
    <t>разработка</t>
  </si>
  <si>
    <t>постоянные</t>
  </si>
  <si>
    <t>численность и сроки</t>
  </si>
  <si>
    <t>весь проект</t>
  </si>
  <si>
    <t>Вычисления и LLM</t>
  </si>
  <si>
    <t>движок, пояснения</t>
  </si>
  <si>
    <t>переменные</t>
  </si>
  <si>
    <t>число проверок</t>
  </si>
  <si>
    <t>после MVP</t>
  </si>
  <si>
    <t>Облачная инфраструктура</t>
  </si>
  <si>
    <t>хостинг</t>
  </si>
  <si>
    <t>объем файлов</t>
  </si>
  <si>
    <t>MVP</t>
  </si>
  <si>
    <t>Продвижение</t>
  </si>
  <si>
    <t>каналы</t>
  </si>
  <si>
    <t>стоимость привлечения</t>
  </si>
  <si>
    <t>бета</t>
  </si>
  <si>
    <t>ЛР2-3: доля трафика 1,5 %</t>
  </si>
  <si>
    <t>Безопасность и соответствие</t>
  </si>
  <si>
    <t>GDPR, SOC 2</t>
  </si>
  <si>
    <t>требования клиентов</t>
  </si>
  <si>
    <t>ЛР5: обязательный разрыв</t>
  </si>
  <si>
    <t>Платежи и налоги</t>
  </si>
  <si>
    <t>оборот</t>
  </si>
  <si>
    <t>стандартные комиссии сервиса</t>
  </si>
  <si>
    <t>Поддержка клиентов</t>
  </si>
  <si>
    <t>сопровождение</t>
  </si>
  <si>
    <t>число платящих</t>
  </si>
  <si>
    <t>релиз</t>
  </si>
  <si>
    <t>ЛР5: документация и обучение</t>
  </si>
  <si>
    <t>Резерв проекта</t>
  </si>
  <si>
    <t>риски</t>
  </si>
  <si>
    <t>10 % бюджета</t>
  </si>
  <si>
    <t>реестр проблем P-001 - P-006, ошибки в 86-94 % таблиц (ПЗ1)</t>
  </si>
  <si>
    <t>доля платящих по сегментам задана сценариями ЛР2-3</t>
  </si>
  <si>
    <t>ценностное предложение построено на проблемах P-001 и P-002</t>
  </si>
  <si>
    <t>ценность закреплена доказательством в отчетах</t>
  </si>
  <si>
    <t>воронка активации описана в сценарии MVP</t>
  </si>
  <si>
    <t>трекер активации входит в состав MVP</t>
  </si>
  <si>
    <t>структура платящих 45/45/10 % задана тарифами</t>
  </si>
  <si>
    <t>eval-набор и метрики точности описаны в ПЗ1</t>
  </si>
  <si>
    <t>условия AppSource описаны в ЛР2-3 и ЛР4</t>
  </si>
  <si>
    <t>виды деятельности связаны с доставкой проверки (лист 07)</t>
  </si>
  <si>
    <t>стоимость проверки на пользователя оценена в расчете затрат</t>
  </si>
  <si>
    <t>цена согласована с ценностью, индекс к медиане рынка 0,99</t>
  </si>
  <si>
    <t>затраты листа 08 соответствуют подписке и разовым платежам</t>
  </si>
  <si>
    <t>бюджет и сроки соответствуют ПЗ1</t>
  </si>
  <si>
    <t>отзывы пилотных пользователей запланированы на бета-версию</t>
  </si>
  <si>
    <t>блоки Канвас согласованы в паспорте (лист 10)</t>
  </si>
  <si>
    <t>согласованность блоков подтверждается в итоговом отчете ЛР7</t>
  </si>
  <si>
    <t>Скрытые ошибки в формулах Excel-моделей и невозможность подтвердить результат AI-помощников (P-001, P-002)</t>
  </si>
  <si>
    <t>поиск по проблемным запросам, AppSource, партнерские фирмы, Product Hunt</t>
  </si>
  <si>
    <t>бесплатный старт, самообслуживание, шаблоны отчетов, документация и обучение</t>
  </si>
  <si>
    <t>разовые платежи за аудит и подписки Pro и Team</t>
  </si>
  <si>
    <t>движок проверки, база правил и eval-набор, соответствие GDPR, команда разработки</t>
  </si>
  <si>
    <t>развитие правил и движка, оценка точности, контент и партнерства</t>
  </si>
  <si>
    <t>Microsoft AppSource, бухгалтерские и консалтинговые фирмы, провайдеры LLM и облака</t>
  </si>
  <si>
    <t>вычисления и LLM, разработка, продвижение, поддержка, резерв 10 %</t>
  </si>
  <si>
    <t>независимое доказательство каждой находки движком при прозрачной цене и бесплатном входе</t>
  </si>
  <si>
    <t>Сборка бизнес-модели по Канвас</t>
  </si>
  <si>
    <t>Содержание</t>
  </si>
  <si>
    <t>Лист</t>
  </si>
  <si>
    <t>Связка «клиент - проблема - ценность - цифровой товар»</t>
  </si>
  <si>
    <t>Структура намерений 4 578 запросов - проблемные 36,6 %, AI 45,3 %, проверка 8,6 %, услуги 2,3 %</t>
  </si>
  <si>
    <t>SAM 35 млн у.е. в год; индекс платежеспособности сегментов 2,4</t>
  </si>
  <si>
    <t>Отдельный инструмент от 69 у.е. в месяц; пакеты без цен</t>
  </si>
  <si>
    <t>Цена специализированных аналогов выше Pro 19 у.е.</t>
  </si>
  <si>
    <t>Free, Pro 89 у.е., Teams 284 у.е. + 89 у.е. за место</t>
  </si>
  <si>
    <t>8,9 у.е. в месяц, 7 дней пробного периода</t>
  </si>
  <si>
    <t>Надстройка - логика формул, сравнение, карта формул; цены нет</t>
  </si>
  <si>
    <t>Стандарт - надстройка Excel (7 из 7); разрывы - поиск ошибок, безопасность, пробный доступ (по 3 из 7)</t>
  </si>
  <si>
    <t>-</t>
  </si>
  <si>
    <t>Канвас - вопросы, источники ответов и рабочие формулировки</t>
  </si>
  <si>
    <t>ЛР2-3 - SAM 35 млн у.е., адресуемых около 237 тысяч клиентов</t>
  </si>
  <si>
    <t>Независимая проверка Excel-моделей - находит скрытые ошибки и доказывает каждую находку вычислением</t>
  </si>
  <si>
    <t>SRC-011, SRC-004, ЛР5 - доказательство вывода есть у 2 из 7 конкурентов</t>
  </si>
  <si>
    <t>ЛР4 - поиск и прямой трафик около трех четвертей; ЛР2-3 - доля трафика 1,5 %</t>
  </si>
  <si>
    <t>ЛР5 - стандарты - пробный доступ, документация (6 из 7)</t>
  </si>
  <si>
    <t>Разовый аудит 9 у.е., Pro 19 у.е. в месяц, Team 29 у.е. за место</t>
  </si>
  <si>
    <t>ЛР2-3 - цена в рыночном коридоре, индекс 0,99 к медиане</t>
  </si>
  <si>
    <t>ПЗ1 - precision не ниже 90 %, аудит 100 тыс. ячеек быстрее 60 с</t>
  </si>
  <si>
    <t>ЛР4 - сила поставщиков средняя</t>
  </si>
  <si>
    <t>Вычисления и LLM, разработка, продвижение, поддержка; бюджет 152 688 у.е.</t>
  </si>
  <si>
    <t>ПЗ1, ПЗ4 - бюджет и ФОТ 126 255 у.е.</t>
  </si>
  <si>
    <t>ПЗ1; ЛР2-3 - 1,2 млн специалистов в границах 0,85 млн</t>
  </si>
  <si>
    <t>ЛР2-3 - 4,4 млн специалистов; DataSnipper показывает спрос аудиторов</t>
  </si>
  <si>
    <t>ЛР2-3 - 17 млн компаний, граница 3 %</t>
  </si>
  <si>
    <t>9 у.е. за файл</t>
  </si>
  <si>
    <t>AI-помощники от 7,1-8,9 у.е. в месяц</t>
  </si>
  <si>
    <t>19 у.е. в месяц</t>
  </si>
  <si>
    <t>Rows Plus 7,1 у.е., Copilot 16 у.е.</t>
  </si>
  <si>
    <t>29 у.е. за место</t>
  </si>
  <si>
    <t>Shortcut Teams 89 у.е. за место</t>
  </si>
  <si>
    <t>ПЗ1: 126 255 у.е.</t>
  </si>
  <si>
    <t>ЛР4 - вычисления конкурентов дорогие</t>
  </si>
  <si>
    <t>ПЗ1 - стек FastAPI, PostgreSQL, Redis</t>
  </si>
  <si>
    <t>ПЗ1: 13 881 у.е.</t>
  </si>
  <si>
    <t>единицы товара PR-001 - PR-003 - веб-аудит, карточка находки, отчет</t>
  </si>
  <si>
    <t>тарифы 9 у.е. за файл, 19 у.е. Pro, 29 у.е. Team (лист 06)</t>
  </si>
  <si>
    <t>каналы листа 05 - поиск, AppSource, партнеры, Product Hunt</t>
  </si>
  <si>
    <t>механика удержания - история проверок во втором релизе</t>
  </si>
  <si>
    <t>ресурсы листа 07 - движок, база правил, команда</t>
  </si>
  <si>
    <t>партнеры - AppSource, провайдеры LLM, платежи</t>
  </si>
  <si>
    <t>отличие - доказательство вывода есть у 2 из 7 конкурентов (ЛР5)</t>
  </si>
  <si>
    <t>TableMind - веб-аудит файла Excel и надстройка Excel с поиском ошибок, объяснениями и отчетом</t>
  </si>
  <si>
    <t>файл (9 у.е.), пользователь Pro (19 у.е. в месяц), место Team (29 у.е. в месяц)</t>
  </si>
  <si>
    <t>Финансисты платят 19 у.е. в месяц за проверку с доказательствами, если получают первый результат бесплатно в течение одного сеанса</t>
  </si>
  <si>
    <t>Частично</t>
  </si>
  <si>
    <t>9 блоков Канвас</t>
  </si>
  <si>
    <t>Книга переводит результаты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Исходные данные выделены голубым, расчетные поля - светлым фоном.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</si>
</sst>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4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2E75B6"/>
        <bgColor indexed="64"/>
      </patternFill>
    </fill>
  </fills>
  <borders count="5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 vertical="center" wrapText="1"/>
    </xf>
    <xf numFmtId="9" fontId="4" fillId="0" borderId="4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141"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spPr>
            <a:solidFill>
              <a:srgbClr val="1F4E79"/>
            </a:solidFill>
          </c:spPr>
          <c:invertIfNegative val="1"/>
          <c:cat>
            <c:strRef>
              <c:f>'11_Дашборд'!$A$10:$A$18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'11_Дашборд'!$B$10:$B$18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40F-499F-BA6E-4B477E911426}"/>
            </c:ext>
          </c:extLst>
        </c:ser>
        <c:ser>
          <c:idx val="1"/>
          <c:order val="1"/>
          <c:tx>
            <c:v>Полнота</c:v>
          </c:tx>
          <c:spPr>
            <a:solidFill>
              <a:srgbClr val="2E75B6"/>
            </a:solidFill>
          </c:spPr>
          <c:invertIfNegative val="1"/>
          <c:cat>
            <c:strRef>
              <c:f>'11_Дашборд'!$A$10:$A$18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'11_Дашборд'!$C$10:$C$18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40F-499F-BA6E-4B477E911426}"/>
            </c:ext>
          </c:extLst>
        </c:ser>
        <c:ser>
          <c:idx val="2"/>
          <c:order val="2"/>
          <c:tx>
            <c:v>Риск</c:v>
          </c:tx>
          <c:spPr>
            <a:solidFill>
              <a:srgbClr val="9DC3E6"/>
            </a:solidFill>
          </c:spPr>
          <c:invertIfNegative val="1"/>
          <c:cat>
            <c:strRef>
              <c:f>'11_Дашборд'!$A$10:$A$18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'11_Дашборд'!$D$10:$D$18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240F-499F-BA6E-4B477E911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ysClr val="window" lastClr="FFFFFF"/>
    </a:solidFill>
    <a:ln w="9525">
      <a:noFill/>
      <a:prstDash val="solid"/>
      <a:round/>
    </a:ln>
    <a:effectLst/>
    <a:extLst>
      <a:ext uri="{91240B29-F687-4F45-9708-019B960494DF}">
        <a14:hiddenLine xmlns:a14="http://schemas.microsoft.com/office/drawing/2010/main" w="9525">
          <a:solidFill>
            <a:srgbClr val="D9D9D9"/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</xdr:col>
      <xdr:colOff>2090737</xdr:colOff>
      <xdr:row>44</xdr:row>
      <xdr:rowOff>44450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16" headerRowDxfId="140" dataDxfId="139" totalsRowDxfId="138">
  <tableColumns count="14">
    <tableColumn id="1" xr3:uid="{00000000-0010-0000-0000-000001000000}" name="ID" dataDxfId="137"/>
    <tableColumn id="2" xr3:uid="{00000000-0010-0000-0000-000002000000}" name="Источник анализа" dataDxfId="136"/>
    <tableColumn id="3" xr3:uid="{00000000-0010-0000-0000-000003000000}" name="Объект анализа" dataDxfId="135"/>
    <tableColumn id="4" xr3:uid="{00000000-0010-0000-0000-000004000000}" name="Компания / товар" dataDxfId="134"/>
    <tableColumn id="5" xr3:uid="{00000000-0010-0000-0000-000005000000}" name="Ссылка или место фиксации" dataDxfId="133"/>
    <tableColumn id="6" xr3:uid="{00000000-0010-0000-0000-000006000000}" name="Факт / наблюдение" dataDxfId="132"/>
    <tableColumn id="7" xr3:uid="{00000000-0010-0000-0000-000007000000}" name="Вывод для бизнес-модели" dataDxfId="131"/>
    <tableColumn id="8" xr3:uid="{00000000-0010-0000-0000-000008000000}" name="Блок Канвас" dataDxfId="130"/>
    <tableColumn id="9" xr3:uid="{00000000-0010-0000-0000-000009000000}" name="Достоверность 1-5" dataDxfId="129"/>
    <tableColumn id="10" xr3:uid="{00000000-0010-0000-0000-00000A000000}" name="Актуальность 1-5" dataDxfId="128"/>
    <tableColumn id="11" xr3:uid="{00000000-0010-0000-0000-00000B000000}" name="Приоритет 1-5" dataDxfId="127"/>
    <tableColumn id="12" xr3:uid="{00000000-0010-0000-0000-00000C000000}" name="Индекс доказательности" dataDxfId="126"/>
    <tableColumn id="13" xr3:uid="{00000000-0010-0000-0000-00000D000000}" name="Статус использования" dataDxfId="125"/>
    <tableColumn id="14" xr3:uid="{00000000-0010-0000-0000-00000E000000}" name="Комментарий" dataDxfId="1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 headerRowDxfId="123" dataDxfId="122" totalsRowDxfId="121">
  <tableColumns count="10">
    <tableColumn id="1" xr3:uid="{00000000-0010-0000-0100-000001000000}" name="Блок Канвас" dataDxfId="120"/>
    <tableColumn id="2" xr3:uid="{00000000-0010-0000-0100-000002000000}" name="Ключевые вопросы" dataDxfId="119"/>
    <tableColumn id="3" xr3:uid="{00000000-0010-0000-0100-000003000000}" name="Источники ответов из анализа" dataDxfId="118"/>
    <tableColumn id="4" xr3:uid="{00000000-0010-0000-0100-000004000000}" name="Рабочая формулировка" dataDxfId="117"/>
    <tableColumn id="5" xr3:uid="{00000000-0010-0000-0100-000005000000}" name="Доказательства" dataDxfId="116"/>
    <tableColumn id="6" xr3:uid="{00000000-0010-0000-0100-000006000000}" name="Достоверность 1-5" dataDxfId="115"/>
    <tableColumn id="7" xr3:uid="{00000000-0010-0000-0100-000007000000}" name="Полнота 1-5" dataDxfId="114"/>
    <tableColumn id="8" xr3:uid="{00000000-0010-0000-0100-000008000000}" name="Риск ошибки 1-5" dataDxfId="113"/>
    <tableColumn id="9" xr3:uid="{00000000-0010-0000-0100-000009000000}" name="Контрольный вопрос" dataDxfId="112"/>
    <tableColumn id="10" xr3:uid="{00000000-0010-0000-0100-00000A000000}" name="Итоговый статус" dataDxfId="1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6" headerRowDxfId="110" dataDxfId="109" totalsRowDxfId="108">
  <tableColumns count="11">
    <tableColumn id="1" xr3:uid="{00000000-0010-0000-0200-000001000000}" name="ID сегмента" dataDxfId="107"/>
    <tableColumn id="2" xr3:uid="{00000000-0010-0000-0200-000002000000}" name="Сегмент" dataDxfId="106"/>
    <tableColumn id="3" xr3:uid="{00000000-0010-0000-0200-000003000000}" name="Задача клиента" dataDxfId="105"/>
    <tableColumn id="4" xr3:uid="{00000000-0010-0000-0200-000004000000}" name="Ключевая проблема" dataDxfId="104"/>
    <tableColumn id="5" xr3:uid="{00000000-0010-0000-0200-000005000000}" name="Доказательства" dataDxfId="103"/>
    <tableColumn id="6" xr3:uid="{00000000-0010-0000-0200-000006000000}" name="Сила боли 1-5" dataDxfId="102"/>
    <tableColumn id="7" xr3:uid="{00000000-0010-0000-0200-000007000000}" name="Рыночный сигнал 1-5" dataDxfId="101"/>
    <tableColumn id="8" xr3:uid="{00000000-0010-0000-0200-000008000000}" name="Платежеспособность 1-5" dataDxfId="100"/>
    <tableColumn id="9" xr3:uid="{00000000-0010-0000-0200-000009000000}" name="Доступность канала 1-5" dataDxfId="99"/>
    <tableColumn id="10" xr3:uid="{00000000-0010-0000-0200-00000A000000}" name="Индекс приоритета" dataDxfId="98"/>
    <tableColumn id="11" xr3:uid="{00000000-0010-0000-0200-00000B000000}" name="Статус" dataDxfId="9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5" headerRowDxfId="96" dataDxfId="95" totalsRowDxfId="94">
  <tableColumns count="17">
    <tableColumn id="1" xr3:uid="{00000000-0010-0000-0300-000001000000}" name="ID" dataDxfId="93"/>
    <tableColumn id="2" xr3:uid="{00000000-0010-0000-0300-000002000000}" name="ID проблемы / сегмента" dataDxfId="92"/>
    <tableColumn id="3" xr3:uid="{00000000-0010-0000-0300-000003000000}" name="Формулировка проблемы" dataDxfId="91"/>
    <tableColumn id="4" xr3:uid="{00000000-0010-0000-0300-000004000000}" name="Текущая альтернатива клиента" dataDxfId="90"/>
    <tableColumn id="5" xr3:uid="{00000000-0010-0000-0300-000005000000}" name="Желаемый результат" dataDxfId="89"/>
    <tableColumn id="6" xr3:uid="{00000000-0010-0000-0300-000006000000}" name="Формулировка ценностного предложения" dataDxfId="88"/>
    <tableColumn id="7" xr3:uid="{00000000-0010-0000-0300-000007000000}" name="Цифровой товар" dataDxfId="87"/>
    <tableColumn id="8" xr3:uid="{00000000-0010-0000-0300-000008000000}" name="Тип цифрового товара" dataDxfId="86"/>
    <tableColumn id="9" xr3:uid="{00000000-0010-0000-0300-000009000000}" name="Ядро товара" dataDxfId="85"/>
    <tableColumn id="10" xr3:uid="{00000000-0010-0000-0300-00000A000000}" name="Реальный товар" dataDxfId="84"/>
    <tableColumn id="11" xr3:uid="{00000000-0010-0000-0300-00000B000000}" name="Расширенный товар" dataDxfId="83"/>
    <tableColumn id="12" xr3:uid="{00000000-0010-0000-0300-00000C000000}" name="Класс требования по Кано" dataDxfId="82"/>
    <tableColumn id="13" xr3:uid="{00000000-0010-0000-0300-00000D000000}" name="Дифференциация 1-5" dataDxfId="81"/>
    <tableColumn id="14" xr3:uid="{00000000-0010-0000-0300-00000E000000}" name="Доказательность 1-5" dataDxfId="80"/>
    <tableColumn id="15" xr3:uid="{00000000-0010-0000-0300-00000F000000}" name="Связь с монетизацией 1-5" dataDxfId="79"/>
    <tableColumn id="16" xr3:uid="{00000000-0010-0000-0300-000010000000}" name="Индекс готовности" dataDxfId="78"/>
    <tableColumn id="17" xr3:uid="{00000000-0010-0000-0300-000011000000}" name="Статус" dataDxfId="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10" headerRowDxfId="76" dataDxfId="75" totalsRowDxfId="74">
  <tableColumns count="11">
    <tableColumn id="1" xr3:uid="{00000000-0010-0000-0400-000001000000}" name="ID" dataDxfId="73"/>
    <tableColumn id="2" xr3:uid="{00000000-0010-0000-0400-000002000000}" name="Этап канала" dataDxfId="72"/>
    <tableColumn id="3" xr3:uid="{00000000-0010-0000-0400-000003000000}" name="Сегмент" dataDxfId="71"/>
    <tableColumn id="4" xr3:uid="{00000000-0010-0000-0400-000004000000}" name="Канал / точка контакта" dataDxfId="70"/>
    <tableColumn id="5" xr3:uid="{00000000-0010-0000-0400-000005000000}" name="Роль в воронке" dataDxfId="69"/>
    <tableColumn id="6" xr3:uid="{00000000-0010-0000-0400-000006000000}" name="Конкурентный стандарт" dataDxfId="68"/>
    <tableColumn id="7" xr3:uid="{00000000-0010-0000-0400-000007000000}" name="Пригодность 1-5" dataDxfId="67"/>
    <tableColumn id="8" xr3:uid="{00000000-0010-0000-0400-000008000000}" name="Затратность/риск 1-5" dataDxfId="66"/>
    <tableColumn id="9" xr3:uid="{00000000-0010-0000-0400-000009000000}" name="Доказательность 1-5" dataDxfId="65"/>
    <tableColumn id="10" xr3:uid="{00000000-0010-0000-0400-00000A000000}" name="Индекс приоритета" dataDxfId="64"/>
    <tableColumn id="11" xr3:uid="{00000000-0010-0000-0400-00000B000000}" name="Решение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5" headerRowDxfId="62" dataDxfId="61" totalsRowDxfId="60">
  <tableColumns count="14">
    <tableColumn id="1" xr3:uid="{00000000-0010-0000-0500-000001000000}" name="ID" dataDxfId="59"/>
    <tableColumn id="2" xr3:uid="{00000000-0010-0000-0500-000002000000}" name="Единица монетизации" dataDxfId="58"/>
    <tableColumn id="3" xr3:uid="{00000000-0010-0000-0500-000003000000}" name="Событие оплаты" dataDxfId="57"/>
    <tableColumn id="4" xr3:uid="{00000000-0010-0000-0500-000004000000}" name="Метрика учета" dataDxfId="56"/>
    <tableColumn id="5" xr3:uid="{00000000-0010-0000-0500-000005000000}" name="Логика цены" dataDxfId="55"/>
    <tableColumn id="6" xr3:uid="{00000000-0010-0000-0500-000006000000}" name="Тип потока доходов" dataDxfId="54"/>
    <tableColumn id="7" xr3:uid="{00000000-0010-0000-0500-000007000000}" name="Сигналы конкурентов" dataDxfId="53"/>
    <tableColumn id="8" xr3:uid="{00000000-0010-0000-0500-000008000000}" name="Связь с ценностью" dataDxfId="52"/>
    <tableColumn id="9" xr3:uid="{00000000-0010-0000-0500-000009000000}" name="Готовность платить 1-5" dataDxfId="51"/>
    <tableColumn id="10" xr3:uid="{00000000-0010-0000-0500-00000A000000}" name="Измеримость 1-5" dataDxfId="50"/>
    <tableColumn id="11" xr3:uid="{00000000-0010-0000-0500-00000B000000}" name="Повторяемость дохода 1-5" dataDxfId="49"/>
    <tableColumn id="12" xr3:uid="{00000000-0010-0000-0500-00000C000000}" name="Доказательность 1-5" dataDxfId="48"/>
    <tableColumn id="13" xr3:uid="{00000000-0010-0000-0500-00000D000000}" name="Индекс монетизации" dataDxfId="47"/>
    <tableColumn id="14" xr3:uid="{00000000-0010-0000-0500-00000E000000}" name="Статус" dataDxfId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0" headerRowDxfId="45" dataDxfId="44" totalsRowDxfId="43">
  <tableColumns count="11">
    <tableColumn id="1" xr3:uid="{00000000-0010-0000-0600-000001000000}" name="ID" dataDxfId="42"/>
    <tableColumn id="2" xr3:uid="{00000000-0010-0000-0600-000002000000}" name="Блок" dataDxfId="41"/>
    <tableColumn id="3" xr3:uid="{00000000-0010-0000-0600-000003000000}" name="Элемент" dataDxfId="40"/>
    <tableColumn id="4" xr3:uid="{00000000-0010-0000-0600-000004000000}" name="Описание" dataDxfId="39"/>
    <tableColumn id="5" xr3:uid="{00000000-0010-0000-0600-000005000000}" name="Как поддерживает ценность / товар" dataDxfId="38"/>
    <tableColumn id="6" xr3:uid="{00000000-0010-0000-0600-000006000000}" name="Источник" dataDxfId="37"/>
    <tableColumn id="7" xr3:uid="{00000000-0010-0000-0600-000007000000}" name="Критичность 1-5" dataDxfId="36"/>
    <tableColumn id="8" xr3:uid="{00000000-0010-0000-0600-000008000000}" name="Доступность 1-5" dataDxfId="35"/>
    <tableColumn id="9" xr3:uid="{00000000-0010-0000-0600-000009000000}" name="Затратное влияние 1-5" dataDxfId="34"/>
    <tableColumn id="10" xr3:uid="{00000000-0010-0000-0600-00000A000000}" name="Подход к обеспечению" dataDxfId="33"/>
    <tableColumn id="11" xr3:uid="{00000000-0010-0000-0600-00000B000000}" name="Операционный приоритет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10" headerRowDxfId="31" dataDxfId="30" totalsRowDxfId="29">
  <tableColumns count="11">
    <tableColumn id="1" xr3:uid="{00000000-0010-0000-0700-000001000000}" name="ID" dataDxfId="28"/>
    <tableColumn id="2" xr3:uid="{00000000-0010-0000-0700-000002000000}" name="Статья затрат" dataDxfId="27"/>
    <tableColumn id="3" xr3:uid="{00000000-0010-0000-0700-000003000000}" name="Связанный ресурс / деятельность" dataDxfId="26"/>
    <tableColumn id="4" xr3:uid="{00000000-0010-0000-0700-000004000000}" name="Тип затрат" dataDxfId="25"/>
    <tableColumn id="5" xr3:uid="{00000000-0010-0000-0700-000005000000}" name="Драйвер затрат" dataDxfId="24"/>
    <tableColumn id="6" xr3:uid="{00000000-0010-0000-0700-000006000000}" name="Этап развития" dataDxfId="23"/>
    <tableColumn id="7" xr3:uid="{00000000-0010-0000-0700-000007000000}" name="Доказательство / основание" dataDxfId="22"/>
    <tableColumn id="8" xr3:uid="{00000000-0010-0000-0700-000008000000}" name="Влияние на экономику 1-5" dataDxfId="21"/>
    <tableColumn id="9" xr3:uid="{00000000-0010-0000-0700-000009000000}" name="Уверенность 1-5" dataDxfId="20"/>
    <tableColumn id="10" xr3:uid="{00000000-0010-0000-0700-00000A000000}" name="Управляемость 1-5" dataDxfId="19"/>
    <tableColumn id="11" xr3:uid="{00000000-0010-0000-0700-00000B000000}" name="Приоритет контроля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 headerRowDxfId="17" dataDxfId="16" totalsRowDxfId="15">
  <tableColumns count="7">
    <tableColumn id="1" xr3:uid="{00000000-0010-0000-0800-000001000000}" name="№" dataDxfId="14"/>
    <tableColumn id="2" xr3:uid="{00000000-0010-0000-0800-000002000000}" name="Контрольный вопрос" dataDxfId="13"/>
    <tableColumn id="3" xr3:uid="{00000000-0010-0000-0800-000003000000}" name="Где искать ответ" dataDxfId="12"/>
    <tableColumn id="4" xr3:uid="{00000000-0010-0000-0800-000004000000}" name="Доказательство / ссылка на вывод" dataDxfId="11"/>
    <tableColumn id="5" xr3:uid="{00000000-0010-0000-0800-000005000000}" name="Оценка 1-5" dataDxfId="10"/>
    <tableColumn id="6" xr3:uid="{00000000-0010-0000-0800-000006000000}" name="Результат" dataDxfId="9"/>
    <tableColumn id="7" xr3:uid="{00000000-0010-0000-0800-000007000000}" name="Что доработать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 headerRowDxfId="7" dataDxfId="6" totalsRowDxfId="5">
  <tableColumns count="5">
    <tableColumn id="1" xr3:uid="{00000000-0010-0000-0900-000001000000}" name="Раздел паспорта" dataDxfId="4"/>
    <tableColumn id="2" xr3:uid="{00000000-0010-0000-0900-000002000000}" name="Итоговая формулировка" dataDxfId="3"/>
    <tableColumn id="3" xr3:uid="{00000000-0010-0000-0900-000003000000}" name="Основной источник" dataDxfId="2"/>
    <tableColumn id="4" xr3:uid="{00000000-0010-0000-0900-000004000000}" name="Контрольный вопрос" dataDxfId="1"/>
    <tableColumn id="5" xr3:uid="{00000000-0010-0000-0900-000005000000}" name="Стату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"/>
    </sheetView>
  </sheetViews>
  <sheetFormatPr defaultRowHeight="13.5"/>
  <cols>
    <col min="1" max="1" width="10.5625" customWidth="1"/>
    <col min="2" max="2" width="51.875" customWidth="1"/>
    <col min="3" max="3" width="40.3125" customWidth="1"/>
    <col min="4" max="5" width="52.5625" customWidth="1"/>
    <col min="6" max="8" width="10.5625" customWidth="1"/>
  </cols>
  <sheetData>
    <row r="1" spans="1:8" ht="20" customHeight="1">
      <c r="A1" s="22" t="s">
        <v>578</v>
      </c>
      <c r="B1" s="22"/>
      <c r="C1" s="22"/>
      <c r="D1" s="22"/>
      <c r="E1" s="22"/>
      <c r="F1" s="22"/>
      <c r="G1" s="22"/>
      <c r="H1" s="23"/>
    </row>
    <row r="2" spans="1:8" ht="20" customHeight="1">
      <c r="A2" s="24" t="s">
        <v>0</v>
      </c>
      <c r="B2" s="24"/>
      <c r="C2" s="24"/>
      <c r="D2" s="24"/>
      <c r="E2" s="24"/>
      <c r="F2" s="24"/>
      <c r="G2" s="24"/>
      <c r="H2" s="25"/>
    </row>
    <row r="3" spans="1:8" ht="36" customHeight="1">
      <c r="A3" s="26" t="s">
        <v>628</v>
      </c>
      <c r="B3" s="26"/>
      <c r="C3" s="26"/>
      <c r="D3" s="26"/>
      <c r="E3" s="26"/>
      <c r="F3" s="27"/>
      <c r="G3" s="27"/>
      <c r="H3" s="28"/>
    </row>
    <row r="4" spans="1:8" ht="14.25">
      <c r="A4" s="3" t="s">
        <v>1</v>
      </c>
      <c r="B4" s="3" t="s">
        <v>579</v>
      </c>
      <c r="C4" s="3" t="s">
        <v>580</v>
      </c>
      <c r="D4" s="3" t="s">
        <v>2</v>
      </c>
      <c r="E4" s="10" t="s">
        <v>3</v>
      </c>
      <c r="F4" s="1"/>
      <c r="G4" s="1"/>
      <c r="H4" s="1"/>
    </row>
    <row r="5" spans="1:8" ht="28.5">
      <c r="A5" s="4">
        <v>1</v>
      </c>
      <c r="B5" s="7" t="s">
        <v>4</v>
      </c>
      <c r="C5" s="4" t="s">
        <v>5</v>
      </c>
      <c r="D5" s="7" t="s">
        <v>6</v>
      </c>
      <c r="E5" s="11" t="s">
        <v>7</v>
      </c>
      <c r="F5" s="1"/>
      <c r="G5" s="1"/>
      <c r="H5" s="1"/>
    </row>
    <row r="6" spans="1:8" ht="28.5">
      <c r="A6" s="4">
        <v>2</v>
      </c>
      <c r="B6" s="4" t="s">
        <v>627</v>
      </c>
      <c r="C6" s="4" t="s">
        <v>8</v>
      </c>
      <c r="D6" s="4" t="s">
        <v>9</v>
      </c>
      <c r="E6" s="11" t="s">
        <v>10</v>
      </c>
      <c r="F6" s="1"/>
      <c r="G6" s="1"/>
      <c r="H6" s="1"/>
    </row>
    <row r="7" spans="1:8" ht="14.25">
      <c r="A7" s="4">
        <v>3</v>
      </c>
      <c r="B7" s="7" t="s">
        <v>11</v>
      </c>
      <c r="C7" s="7" t="s">
        <v>12</v>
      </c>
      <c r="D7" s="7" t="s">
        <v>581</v>
      </c>
      <c r="E7" s="11" t="s">
        <v>13</v>
      </c>
      <c r="F7" s="1"/>
      <c r="G7" s="1"/>
      <c r="H7" s="1"/>
    </row>
    <row r="8" spans="1:8" ht="28.5">
      <c r="A8" s="4">
        <v>4</v>
      </c>
      <c r="B8" s="7" t="s">
        <v>14</v>
      </c>
      <c r="C8" s="7" t="s">
        <v>15</v>
      </c>
      <c r="D8" s="7" t="s">
        <v>16</v>
      </c>
      <c r="E8" s="11" t="s">
        <v>17</v>
      </c>
      <c r="F8" s="1"/>
      <c r="G8" s="1"/>
      <c r="H8" s="1"/>
    </row>
    <row r="9" spans="1:8" ht="28.5">
      <c r="A9" s="4">
        <v>5</v>
      </c>
      <c r="B9" s="7" t="s">
        <v>18</v>
      </c>
      <c r="C9" s="7" t="s">
        <v>19</v>
      </c>
      <c r="D9" s="7" t="s">
        <v>20</v>
      </c>
      <c r="E9" s="11" t="s">
        <v>21</v>
      </c>
      <c r="F9" s="1"/>
      <c r="G9" s="1"/>
      <c r="H9" s="1"/>
    </row>
    <row r="10" spans="1:8" ht="14.25">
      <c r="A10" s="4">
        <v>6</v>
      </c>
      <c r="B10" s="7" t="s">
        <v>22</v>
      </c>
      <c r="C10" s="4" t="s">
        <v>23</v>
      </c>
      <c r="D10" s="7" t="s">
        <v>24</v>
      </c>
      <c r="E10" s="11" t="s">
        <v>25</v>
      </c>
      <c r="F10" s="1"/>
      <c r="G10" s="1"/>
      <c r="H10" s="1"/>
    </row>
    <row r="11" spans="1:8" ht="28.5">
      <c r="A11" s="5">
        <v>7</v>
      </c>
      <c r="B11" s="8" t="s">
        <v>26</v>
      </c>
      <c r="C11" s="5" t="s">
        <v>27</v>
      </c>
      <c r="D11" s="8" t="s">
        <v>28</v>
      </c>
      <c r="E11" s="9" t="s">
        <v>29</v>
      </c>
      <c r="F11" s="1"/>
      <c r="G11" s="1"/>
      <c r="H11" s="1"/>
    </row>
  </sheetData>
  <mergeCells count="3">
    <mergeCell ref="A1:H1"/>
    <mergeCell ref="A2:H2"/>
    <mergeCell ref="A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/>
  </sheetViews>
  <sheetFormatPr defaultRowHeight="13.5"/>
  <cols>
    <col min="1" max="1" width="10.5625" customWidth="1"/>
    <col min="2" max="2" width="20.375" customWidth="1"/>
    <col min="3" max="3" width="28.75" customWidth="1"/>
    <col min="4" max="4" width="20.375" customWidth="1"/>
    <col min="5" max="5" width="46.625" customWidth="1"/>
    <col min="6" max="7" width="52.5625" customWidth="1"/>
    <col min="8" max="8" width="26.6875" customWidth="1"/>
    <col min="9" max="9" width="21.4375" customWidth="1"/>
    <col min="10" max="10" width="20.375" customWidth="1"/>
    <col min="11" max="11" width="17.1875" customWidth="1"/>
    <col min="12" max="12" width="26.6875" customWidth="1"/>
    <col min="13" max="13" width="24.5625" customWidth="1"/>
    <col min="14" max="14" width="15.125" customWidth="1"/>
  </cols>
  <sheetData>
    <row r="1" spans="1:14" ht="20" customHeight="1">
      <c r="A1" s="22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ht="14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10" t="s">
        <v>44</v>
      </c>
    </row>
    <row r="3" spans="1:14" ht="28.5">
      <c r="A3" s="4">
        <v>1</v>
      </c>
      <c r="B3" s="17" t="s">
        <v>297</v>
      </c>
      <c r="C3" s="17" t="s">
        <v>298</v>
      </c>
      <c r="D3" s="17" t="s">
        <v>299</v>
      </c>
      <c r="E3" s="17" t="s">
        <v>300</v>
      </c>
      <c r="F3" s="19" t="s">
        <v>582</v>
      </c>
      <c r="G3" s="19" t="s">
        <v>301</v>
      </c>
      <c r="H3" s="17" t="s">
        <v>52</v>
      </c>
      <c r="I3" s="17">
        <v>4</v>
      </c>
      <c r="J3" s="17">
        <v>5</v>
      </c>
      <c r="K3" s="17">
        <v>4</v>
      </c>
      <c r="L3" s="17">
        <f t="shared" ref="L3:L16" si="0">IF(COUNTA(B3:K3)=0,"",ROUND(AVERAGE(I3:K3),2))</f>
        <v>4.33</v>
      </c>
      <c r="M3" s="17" t="s">
        <v>302</v>
      </c>
      <c r="N3" s="18" t="s">
        <v>303</v>
      </c>
    </row>
    <row r="4" spans="1:14" ht="14.25">
      <c r="A4" s="4">
        <v>2</v>
      </c>
      <c r="B4" s="17" t="s">
        <v>304</v>
      </c>
      <c r="C4" s="17" t="s">
        <v>305</v>
      </c>
      <c r="D4" s="17" t="s">
        <v>306</v>
      </c>
      <c r="E4" s="17" t="s">
        <v>307</v>
      </c>
      <c r="F4" s="19" t="s">
        <v>583</v>
      </c>
      <c r="G4" s="19" t="s">
        <v>308</v>
      </c>
      <c r="H4" s="17" t="s">
        <v>64</v>
      </c>
      <c r="I4" s="17">
        <v>4</v>
      </c>
      <c r="J4" s="17">
        <v>5</v>
      </c>
      <c r="K4" s="17">
        <v>4</v>
      </c>
      <c r="L4" s="17">
        <f t="shared" si="0"/>
        <v>4.33</v>
      </c>
      <c r="M4" s="17" t="s">
        <v>302</v>
      </c>
      <c r="N4" s="18" t="s">
        <v>309</v>
      </c>
    </row>
    <row r="5" spans="1:14" ht="14.25">
      <c r="A5" s="4">
        <v>3</v>
      </c>
      <c r="B5" s="17" t="s">
        <v>310</v>
      </c>
      <c r="C5" s="17" t="s">
        <v>311</v>
      </c>
      <c r="D5" s="17" t="s">
        <v>312</v>
      </c>
      <c r="E5" s="17" t="s">
        <v>313</v>
      </c>
      <c r="F5" s="19" t="s">
        <v>314</v>
      </c>
      <c r="G5" s="17" t="s">
        <v>315</v>
      </c>
      <c r="H5" s="17" t="s">
        <v>58</v>
      </c>
      <c r="I5" s="17">
        <v>4</v>
      </c>
      <c r="J5" s="17">
        <v>5</v>
      </c>
      <c r="K5" s="17">
        <v>4</v>
      </c>
      <c r="L5" s="17">
        <f t="shared" si="0"/>
        <v>4.33</v>
      </c>
      <c r="M5" s="17" t="s">
        <v>302</v>
      </c>
      <c r="N5" s="18" t="s">
        <v>316</v>
      </c>
    </row>
    <row r="6" spans="1:14" ht="14.25">
      <c r="A6" s="4">
        <v>4</v>
      </c>
      <c r="B6" s="17" t="s">
        <v>317</v>
      </c>
      <c r="C6" s="17" t="s">
        <v>318</v>
      </c>
      <c r="D6" s="17" t="s">
        <v>319</v>
      </c>
      <c r="E6" s="19" t="s">
        <v>320</v>
      </c>
      <c r="F6" s="17" t="s">
        <v>321</v>
      </c>
      <c r="G6" s="19" t="s">
        <v>322</v>
      </c>
      <c r="H6" s="17" t="s">
        <v>61</v>
      </c>
      <c r="I6" s="17">
        <v>5</v>
      </c>
      <c r="J6" s="17">
        <v>5</v>
      </c>
      <c r="K6" s="17">
        <v>4</v>
      </c>
      <c r="L6" s="17">
        <f t="shared" si="0"/>
        <v>4.67</v>
      </c>
      <c r="M6" s="17" t="s">
        <v>302</v>
      </c>
      <c r="N6" s="18" t="s">
        <v>323</v>
      </c>
    </row>
    <row r="7" spans="1:14" ht="14.25">
      <c r="A7" s="4">
        <v>5</v>
      </c>
      <c r="B7" s="17" t="s">
        <v>317</v>
      </c>
      <c r="C7" s="17" t="s">
        <v>324</v>
      </c>
      <c r="D7" s="17" t="s">
        <v>319</v>
      </c>
      <c r="E7" s="19" t="s">
        <v>325</v>
      </c>
      <c r="F7" s="17" t="s">
        <v>326</v>
      </c>
      <c r="G7" s="17" t="s">
        <v>327</v>
      </c>
      <c r="H7" s="17" t="s">
        <v>61</v>
      </c>
      <c r="I7" s="17">
        <v>5</v>
      </c>
      <c r="J7" s="17">
        <v>5</v>
      </c>
      <c r="K7" s="17">
        <v>4</v>
      </c>
      <c r="L7" s="17">
        <f t="shared" si="0"/>
        <v>4.67</v>
      </c>
      <c r="M7" s="17" t="s">
        <v>302</v>
      </c>
      <c r="N7" s="18" t="s">
        <v>328</v>
      </c>
    </row>
    <row r="8" spans="1:14" ht="14.25">
      <c r="A8" s="4">
        <v>6</v>
      </c>
      <c r="B8" s="17" t="s">
        <v>329</v>
      </c>
      <c r="C8" s="17" t="s">
        <v>318</v>
      </c>
      <c r="D8" s="17" t="s">
        <v>330</v>
      </c>
      <c r="E8" s="19" t="s">
        <v>331</v>
      </c>
      <c r="F8" s="19" t="s">
        <v>584</v>
      </c>
      <c r="G8" s="19" t="s">
        <v>585</v>
      </c>
      <c r="H8" s="17" t="s">
        <v>64</v>
      </c>
      <c r="I8" s="17">
        <v>5</v>
      </c>
      <c r="J8" s="17">
        <v>5</v>
      </c>
      <c r="K8" s="17">
        <v>4</v>
      </c>
      <c r="L8" s="17">
        <f t="shared" si="0"/>
        <v>4.67</v>
      </c>
      <c r="M8" s="17" t="s">
        <v>302</v>
      </c>
      <c r="N8" s="18" t="s">
        <v>332</v>
      </c>
    </row>
    <row r="9" spans="1:14" ht="14.25">
      <c r="A9" s="4">
        <v>7</v>
      </c>
      <c r="B9" s="17" t="s">
        <v>329</v>
      </c>
      <c r="C9" s="17" t="s">
        <v>333</v>
      </c>
      <c r="D9" s="17" t="s">
        <v>334</v>
      </c>
      <c r="E9" s="19" t="s">
        <v>335</v>
      </c>
      <c r="F9" s="19" t="s">
        <v>586</v>
      </c>
      <c r="G9" s="19" t="s">
        <v>336</v>
      </c>
      <c r="H9" s="17" t="s">
        <v>64</v>
      </c>
      <c r="I9" s="17">
        <v>5</v>
      </c>
      <c r="J9" s="17">
        <v>5</v>
      </c>
      <c r="K9" s="17">
        <v>4</v>
      </c>
      <c r="L9" s="17">
        <f t="shared" si="0"/>
        <v>4.67</v>
      </c>
      <c r="M9" s="17" t="s">
        <v>302</v>
      </c>
      <c r="N9" s="18" t="s">
        <v>337</v>
      </c>
    </row>
    <row r="10" spans="1:14" ht="14.25">
      <c r="A10" s="4">
        <v>8</v>
      </c>
      <c r="B10" s="17" t="s">
        <v>338</v>
      </c>
      <c r="C10" s="17" t="s">
        <v>333</v>
      </c>
      <c r="D10" s="17" t="s">
        <v>334</v>
      </c>
      <c r="E10" s="17" t="s">
        <v>339</v>
      </c>
      <c r="F10" s="19" t="s">
        <v>340</v>
      </c>
      <c r="G10" s="19" t="s">
        <v>341</v>
      </c>
      <c r="H10" s="17" t="s">
        <v>55</v>
      </c>
      <c r="I10" s="17">
        <v>5</v>
      </c>
      <c r="J10" s="17">
        <v>5</v>
      </c>
      <c r="K10" s="17">
        <v>4</v>
      </c>
      <c r="L10" s="17">
        <f t="shared" si="0"/>
        <v>4.67</v>
      </c>
      <c r="M10" s="17" t="s">
        <v>302</v>
      </c>
      <c r="N10" s="18" t="s">
        <v>342</v>
      </c>
    </row>
    <row r="11" spans="1:14" ht="14.25">
      <c r="A11" s="4">
        <v>9</v>
      </c>
      <c r="B11" s="17" t="s">
        <v>329</v>
      </c>
      <c r="C11" s="17" t="s">
        <v>343</v>
      </c>
      <c r="D11" s="17" t="s">
        <v>344</v>
      </c>
      <c r="E11" s="19" t="s">
        <v>345</v>
      </c>
      <c r="F11" s="19" t="s">
        <v>587</v>
      </c>
      <c r="G11" s="19" t="s">
        <v>346</v>
      </c>
      <c r="H11" s="17" t="s">
        <v>64</v>
      </c>
      <c r="I11" s="17">
        <v>5</v>
      </c>
      <c r="J11" s="17">
        <v>5</v>
      </c>
      <c r="K11" s="17">
        <v>4</v>
      </c>
      <c r="L11" s="17">
        <f t="shared" si="0"/>
        <v>4.67</v>
      </c>
      <c r="M11" s="17" t="s">
        <v>302</v>
      </c>
      <c r="N11" s="18" t="s">
        <v>347</v>
      </c>
    </row>
    <row r="12" spans="1:14" ht="28.5">
      <c r="A12" s="4">
        <v>10</v>
      </c>
      <c r="B12" s="17" t="s">
        <v>348</v>
      </c>
      <c r="C12" s="17" t="s">
        <v>349</v>
      </c>
      <c r="D12" s="17" t="s">
        <v>350</v>
      </c>
      <c r="E12" s="19" t="s">
        <v>351</v>
      </c>
      <c r="F12" s="19" t="s">
        <v>352</v>
      </c>
      <c r="G12" s="19" t="s">
        <v>353</v>
      </c>
      <c r="H12" s="17" t="s">
        <v>58</v>
      </c>
      <c r="I12" s="17">
        <v>4</v>
      </c>
      <c r="J12" s="17">
        <v>5</v>
      </c>
      <c r="K12" s="17">
        <v>4</v>
      </c>
      <c r="L12" s="17">
        <f t="shared" si="0"/>
        <v>4.33</v>
      </c>
      <c r="M12" s="17" t="s">
        <v>302</v>
      </c>
      <c r="N12" s="18" t="s">
        <v>354</v>
      </c>
    </row>
    <row r="13" spans="1:14" ht="28.5">
      <c r="A13" s="4">
        <v>11</v>
      </c>
      <c r="B13" s="17" t="s">
        <v>355</v>
      </c>
      <c r="C13" s="17" t="s">
        <v>356</v>
      </c>
      <c r="D13" s="17" t="s">
        <v>357</v>
      </c>
      <c r="E13" s="17" t="s">
        <v>358</v>
      </c>
      <c r="F13" s="19" t="s">
        <v>359</v>
      </c>
      <c r="G13" s="17" t="s">
        <v>360</v>
      </c>
      <c r="H13" s="17" t="s">
        <v>67</v>
      </c>
      <c r="I13" s="17">
        <v>4</v>
      </c>
      <c r="J13" s="17">
        <v>5</v>
      </c>
      <c r="K13" s="17">
        <v>4</v>
      </c>
      <c r="L13" s="17">
        <f t="shared" si="0"/>
        <v>4.33</v>
      </c>
      <c r="M13" s="17" t="s">
        <v>302</v>
      </c>
      <c r="N13" s="18" t="s">
        <v>361</v>
      </c>
    </row>
    <row r="14" spans="1:14" ht="14.25">
      <c r="A14" s="4">
        <v>12</v>
      </c>
      <c r="B14" s="17" t="s">
        <v>338</v>
      </c>
      <c r="C14" s="17" t="s">
        <v>362</v>
      </c>
      <c r="D14" s="17" t="s">
        <v>363</v>
      </c>
      <c r="E14" s="17" t="s">
        <v>364</v>
      </c>
      <c r="F14" s="19" t="s">
        <v>365</v>
      </c>
      <c r="G14" s="19" t="s">
        <v>366</v>
      </c>
      <c r="H14" s="17" t="s">
        <v>55</v>
      </c>
      <c r="I14" s="17">
        <v>5</v>
      </c>
      <c r="J14" s="17">
        <v>5</v>
      </c>
      <c r="K14" s="17">
        <v>4</v>
      </c>
      <c r="L14" s="17">
        <f t="shared" si="0"/>
        <v>4.67</v>
      </c>
      <c r="M14" s="17" t="s">
        <v>302</v>
      </c>
      <c r="N14" s="18" t="s">
        <v>367</v>
      </c>
    </row>
    <row r="15" spans="1:14" ht="14.25">
      <c r="A15" s="4">
        <v>13</v>
      </c>
      <c r="B15" s="17" t="s">
        <v>338</v>
      </c>
      <c r="C15" s="17" t="s">
        <v>368</v>
      </c>
      <c r="D15" s="17" t="s">
        <v>369</v>
      </c>
      <c r="E15" s="17" t="s">
        <v>370</v>
      </c>
      <c r="F15" s="19" t="s">
        <v>588</v>
      </c>
      <c r="G15" s="19" t="s">
        <v>371</v>
      </c>
      <c r="H15" s="17" t="s">
        <v>55</v>
      </c>
      <c r="I15" s="17">
        <v>4</v>
      </c>
      <c r="J15" s="17">
        <v>5</v>
      </c>
      <c r="K15" s="17">
        <v>4</v>
      </c>
      <c r="L15" s="17">
        <f t="shared" si="0"/>
        <v>4.33</v>
      </c>
      <c r="M15" s="17" t="s">
        <v>302</v>
      </c>
      <c r="N15" s="18" t="s">
        <v>372</v>
      </c>
    </row>
    <row r="16" spans="1:14" ht="28.5">
      <c r="A16" s="5">
        <v>14</v>
      </c>
      <c r="B16" s="12" t="s">
        <v>373</v>
      </c>
      <c r="C16" s="12" t="s">
        <v>374</v>
      </c>
      <c r="D16" s="12" t="s">
        <v>375</v>
      </c>
      <c r="E16" s="12" t="s">
        <v>376</v>
      </c>
      <c r="F16" s="20" t="s">
        <v>589</v>
      </c>
      <c r="G16" s="20" t="s">
        <v>377</v>
      </c>
      <c r="H16" s="12" t="s">
        <v>55</v>
      </c>
      <c r="I16" s="12">
        <v>4</v>
      </c>
      <c r="J16" s="12">
        <v>5</v>
      </c>
      <c r="K16" s="12">
        <v>4</v>
      </c>
      <c r="L16" s="12">
        <f t="shared" si="0"/>
        <v>4.33</v>
      </c>
      <c r="M16" s="12" t="s">
        <v>302</v>
      </c>
      <c r="N16" s="13" t="s">
        <v>378</v>
      </c>
    </row>
  </sheetData>
  <mergeCells count="1">
    <mergeCell ref="A1:N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B3:B16</xm:sqref>
        </x14:dataValidation>
        <x14:dataValidation type="list" xr:uid="{00000000-0002-0000-0100-000001000000}">
          <x14:formula1>
            <xm:f>'12_Справочники'!$B$3:$B$11</xm:f>
          </x14:formula1>
          <xm:sqref>H3:H16</xm:sqref>
        </x14:dataValidation>
        <x14:dataValidation type="list" xr:uid="{00000000-0002-0000-0100-000002000000}">
          <x14:formula1>
            <xm:f>'12_Справочники'!$C$3:$C$7</xm:f>
          </x14:formula1>
          <xm:sqref>I3:K16</xm:sqref>
        </x14:dataValidation>
        <x14:dataValidation type="list" xr:uid="{00000000-0002-0000-0100-000003000000}">
          <x14:formula1>
            <xm:f>'12_Справочники'!$D$3:$D$8</xm:f>
          </x14:formula1>
          <xm:sqref>M3:M16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3.5"/>
  <cols>
    <col min="1" max="1" width="30.875" customWidth="1"/>
    <col min="2" max="5" width="52.5625" customWidth="1"/>
    <col min="6" max="6" width="21.4375" customWidth="1"/>
    <col min="7" max="7" width="15.125" customWidth="1"/>
    <col min="8" max="8" width="19.3125" customWidth="1"/>
    <col min="9" max="9" width="52.5625" customWidth="1"/>
    <col min="10" max="10" width="19.3125" customWidth="1"/>
  </cols>
  <sheetData>
    <row r="1" spans="1:10" ht="20" customHeight="1">
      <c r="A1" s="22" t="s">
        <v>591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14.25">
      <c r="A2" s="3" t="s">
        <v>38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39</v>
      </c>
      <c r="G2" s="3" t="s">
        <v>49</v>
      </c>
      <c r="H2" s="3" t="s">
        <v>50</v>
      </c>
      <c r="I2" s="3" t="s">
        <v>150</v>
      </c>
      <c r="J2" s="10" t="s">
        <v>51</v>
      </c>
    </row>
    <row r="3" spans="1:10" ht="42.75">
      <c r="A3" s="7" t="s">
        <v>52</v>
      </c>
      <c r="B3" s="7" t="s">
        <v>53</v>
      </c>
      <c r="C3" s="7" t="s">
        <v>54</v>
      </c>
      <c r="D3" s="19" t="s">
        <v>379</v>
      </c>
      <c r="E3" s="19" t="s">
        <v>592</v>
      </c>
      <c r="F3" s="17">
        <v>4</v>
      </c>
      <c r="G3" s="17">
        <v>5</v>
      </c>
      <c r="H3" s="17">
        <v>2</v>
      </c>
      <c r="I3" s="19" t="s">
        <v>380</v>
      </c>
      <c r="J3" s="18" t="str">
        <f t="shared" ref="J3:J11" si="0">IF(COUNTA(D3:E3)=0,"-",IF(AND(F3&gt;=4,G3&gt;=4,H3&lt;=2),"Готово",IF(OR(F3&lt;3,G3&lt;3,H3&gt;=4),"Частично","Частично")))</f>
        <v>Готово</v>
      </c>
    </row>
    <row r="4" spans="1:10" ht="28.5">
      <c r="A4" s="7" t="s">
        <v>55</v>
      </c>
      <c r="B4" s="7" t="s">
        <v>56</v>
      </c>
      <c r="C4" s="7" t="s">
        <v>57</v>
      </c>
      <c r="D4" s="19" t="s">
        <v>593</v>
      </c>
      <c r="E4" s="19" t="s">
        <v>594</v>
      </c>
      <c r="F4" s="17">
        <v>5</v>
      </c>
      <c r="G4" s="17">
        <v>4</v>
      </c>
      <c r="H4" s="17">
        <v>2</v>
      </c>
      <c r="I4" s="19" t="s">
        <v>381</v>
      </c>
      <c r="J4" s="18" t="str">
        <f t="shared" si="0"/>
        <v>Готово</v>
      </c>
    </row>
    <row r="5" spans="1:10" ht="42.75">
      <c r="A5" s="7" t="s">
        <v>58</v>
      </c>
      <c r="B5" s="7" t="s">
        <v>59</v>
      </c>
      <c r="C5" s="7" t="s">
        <v>60</v>
      </c>
      <c r="D5" s="19" t="s">
        <v>382</v>
      </c>
      <c r="E5" s="19" t="s">
        <v>595</v>
      </c>
      <c r="F5" s="17">
        <v>3</v>
      </c>
      <c r="G5" s="17">
        <v>4</v>
      </c>
      <c r="H5" s="17">
        <v>3</v>
      </c>
      <c r="I5" s="19" t="s">
        <v>383</v>
      </c>
      <c r="J5" s="18" t="str">
        <f t="shared" si="0"/>
        <v>Частично</v>
      </c>
    </row>
    <row r="6" spans="1:10" ht="28.5">
      <c r="A6" s="7" t="s">
        <v>61</v>
      </c>
      <c r="B6" s="7" t="s">
        <v>62</v>
      </c>
      <c r="C6" s="7" t="s">
        <v>63</v>
      </c>
      <c r="D6" s="19" t="s">
        <v>384</v>
      </c>
      <c r="E6" s="19" t="s">
        <v>596</v>
      </c>
      <c r="F6" s="17">
        <v>4</v>
      </c>
      <c r="G6" s="17">
        <v>5</v>
      </c>
      <c r="H6" s="17">
        <v>1</v>
      </c>
      <c r="I6" s="19" t="s">
        <v>385</v>
      </c>
      <c r="J6" s="18" t="str">
        <f t="shared" si="0"/>
        <v>Готово</v>
      </c>
    </row>
    <row r="7" spans="1:10" ht="28.5">
      <c r="A7" s="7" t="s">
        <v>64</v>
      </c>
      <c r="B7" s="7" t="s">
        <v>65</v>
      </c>
      <c r="C7" s="7" t="s">
        <v>66</v>
      </c>
      <c r="D7" s="19" t="s">
        <v>597</v>
      </c>
      <c r="E7" s="19" t="s">
        <v>598</v>
      </c>
      <c r="F7" s="17">
        <v>5</v>
      </c>
      <c r="G7" s="17">
        <v>4</v>
      </c>
      <c r="H7" s="17">
        <v>2</v>
      </c>
      <c r="I7" s="19" t="s">
        <v>386</v>
      </c>
      <c r="J7" s="18" t="str">
        <f t="shared" si="0"/>
        <v>Готово</v>
      </c>
    </row>
    <row r="8" spans="1:10" ht="28.5">
      <c r="A8" s="7" t="s">
        <v>67</v>
      </c>
      <c r="B8" s="7" t="s">
        <v>68</v>
      </c>
      <c r="C8" s="7" t="s">
        <v>69</v>
      </c>
      <c r="D8" s="19" t="s">
        <v>387</v>
      </c>
      <c r="E8" s="19" t="s">
        <v>599</v>
      </c>
      <c r="F8" s="17">
        <v>4</v>
      </c>
      <c r="G8" s="17">
        <v>3</v>
      </c>
      <c r="H8" s="17">
        <v>3</v>
      </c>
      <c r="I8" s="19" t="s">
        <v>388</v>
      </c>
      <c r="J8" s="18" t="str">
        <f t="shared" si="0"/>
        <v>Частично</v>
      </c>
    </row>
    <row r="9" spans="1:10" ht="28.5">
      <c r="A9" s="7" t="s">
        <v>70</v>
      </c>
      <c r="B9" s="7" t="s">
        <v>71</v>
      </c>
      <c r="C9" s="7" t="s">
        <v>72</v>
      </c>
      <c r="D9" s="19" t="s">
        <v>389</v>
      </c>
      <c r="E9" s="17" t="s">
        <v>390</v>
      </c>
      <c r="F9" s="17">
        <v>4</v>
      </c>
      <c r="G9" s="17">
        <v>4</v>
      </c>
      <c r="H9" s="17">
        <v>1</v>
      </c>
      <c r="I9" s="17" t="s">
        <v>391</v>
      </c>
      <c r="J9" s="18" t="str">
        <f t="shared" si="0"/>
        <v>Готово</v>
      </c>
    </row>
    <row r="10" spans="1:10" ht="42.75">
      <c r="A10" s="7" t="s">
        <v>73</v>
      </c>
      <c r="B10" s="7" t="s">
        <v>74</v>
      </c>
      <c r="C10" s="7" t="s">
        <v>75</v>
      </c>
      <c r="D10" s="19" t="s">
        <v>392</v>
      </c>
      <c r="E10" s="19" t="s">
        <v>600</v>
      </c>
      <c r="F10" s="17">
        <v>3</v>
      </c>
      <c r="G10" s="17">
        <v>3</v>
      </c>
      <c r="H10" s="17">
        <v>4</v>
      </c>
      <c r="I10" s="17" t="s">
        <v>393</v>
      </c>
      <c r="J10" s="18" t="str">
        <f t="shared" si="0"/>
        <v>Частично</v>
      </c>
    </row>
    <row r="11" spans="1:10" ht="28.5">
      <c r="A11" s="8" t="s">
        <v>76</v>
      </c>
      <c r="B11" s="8" t="s">
        <v>77</v>
      </c>
      <c r="C11" s="8" t="s">
        <v>78</v>
      </c>
      <c r="D11" s="20" t="s">
        <v>601</v>
      </c>
      <c r="E11" s="20" t="s">
        <v>602</v>
      </c>
      <c r="F11" s="12">
        <v>5</v>
      </c>
      <c r="G11" s="12">
        <v>5</v>
      </c>
      <c r="H11" s="12">
        <v>2</v>
      </c>
      <c r="I11" s="20" t="s">
        <v>394</v>
      </c>
      <c r="J11" s="13" t="str">
        <f t="shared" si="0"/>
        <v>Готово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5B9BD5"/>
      </dataBar>
    </cfRule>
  </conditionalFormatting>
  <conditionalFormatting sqref="F3:G11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3.5"/>
  <cols>
    <col min="1" max="1" width="15.125" customWidth="1"/>
    <col min="2" max="2" width="31.9375" customWidth="1"/>
    <col min="3" max="3" width="42.4375" customWidth="1"/>
    <col min="4" max="5" width="52.5625" customWidth="1"/>
    <col min="6" max="6" width="17.1875" customWidth="1"/>
    <col min="7" max="7" width="23.5" customWidth="1"/>
    <col min="8" max="9" width="26.6875" customWidth="1"/>
    <col min="10" max="10" width="21.4375" customWidth="1"/>
    <col min="11" max="11" width="17.1875" customWidth="1"/>
  </cols>
  <sheetData>
    <row r="1" spans="1:11" ht="20" customHeight="1">
      <c r="A1" s="22" t="s">
        <v>79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25">
      <c r="A2" s="3" t="s">
        <v>80</v>
      </c>
      <c r="B2" s="3" t="s">
        <v>81</v>
      </c>
      <c r="C2" s="3" t="s">
        <v>82</v>
      </c>
      <c r="D2" s="3" t="s">
        <v>83</v>
      </c>
      <c r="E2" s="3" t="s">
        <v>48</v>
      </c>
      <c r="F2" s="3" t="s">
        <v>84</v>
      </c>
      <c r="G2" s="3" t="s">
        <v>85</v>
      </c>
      <c r="H2" s="3" t="s">
        <v>86</v>
      </c>
      <c r="I2" s="3" t="s">
        <v>87</v>
      </c>
      <c r="J2" s="3" t="s">
        <v>88</v>
      </c>
      <c r="K2" s="10" t="s">
        <v>89</v>
      </c>
    </row>
    <row r="3" spans="1:11" ht="14.25">
      <c r="A3" s="4">
        <v>1</v>
      </c>
      <c r="B3" s="17" t="s">
        <v>395</v>
      </c>
      <c r="C3" s="19" t="s">
        <v>396</v>
      </c>
      <c r="D3" s="17" t="s">
        <v>397</v>
      </c>
      <c r="E3" s="19" t="s">
        <v>603</v>
      </c>
      <c r="F3" s="17">
        <v>5</v>
      </c>
      <c r="G3" s="17">
        <v>4</v>
      </c>
      <c r="H3" s="17">
        <v>4</v>
      </c>
      <c r="I3" s="17">
        <v>4</v>
      </c>
      <c r="J3" s="17">
        <f t="shared" ref="J3:J6" si="0">IF(COUNTA(B3:I3)=0,"",ROUND(AVERAGE(F3:I3),2))</f>
        <v>4.25</v>
      </c>
      <c r="K3" s="18" t="str">
        <f t="shared" ref="K3:K6" si="1">IF(J3="","",IF(J3&gt;=4,"Приоритетный",IF(J3&gt;=3,"Перспективный","Низкий приоритет")))</f>
        <v>Приоритетный</v>
      </c>
    </row>
    <row r="4" spans="1:11" ht="28.5">
      <c r="A4" s="4">
        <v>2</v>
      </c>
      <c r="B4" s="17" t="s">
        <v>398</v>
      </c>
      <c r="C4" s="19" t="s">
        <v>399</v>
      </c>
      <c r="D4" s="19" t="s">
        <v>400</v>
      </c>
      <c r="E4" s="19" t="s">
        <v>604</v>
      </c>
      <c r="F4" s="17">
        <v>4</v>
      </c>
      <c r="G4" s="17">
        <v>4</v>
      </c>
      <c r="H4" s="17">
        <v>3</v>
      </c>
      <c r="I4" s="17">
        <v>4</v>
      </c>
      <c r="J4" s="17">
        <f t="shared" si="0"/>
        <v>3.75</v>
      </c>
      <c r="K4" s="18" t="str">
        <f t="shared" si="1"/>
        <v>Перспективный</v>
      </c>
    </row>
    <row r="5" spans="1:11" ht="14.25">
      <c r="A5" s="4">
        <v>3</v>
      </c>
      <c r="B5" s="17" t="s">
        <v>401</v>
      </c>
      <c r="C5" s="19" t="s">
        <v>402</v>
      </c>
      <c r="D5" s="19" t="s">
        <v>403</v>
      </c>
      <c r="E5" s="17" t="s">
        <v>404</v>
      </c>
      <c r="F5" s="17">
        <v>4</v>
      </c>
      <c r="G5" s="17">
        <v>4</v>
      </c>
      <c r="H5" s="17">
        <v>5</v>
      </c>
      <c r="I5" s="17">
        <v>4</v>
      </c>
      <c r="J5" s="17">
        <f t="shared" si="0"/>
        <v>4.25</v>
      </c>
      <c r="K5" s="18" t="str">
        <f t="shared" si="1"/>
        <v>Приоритетный</v>
      </c>
    </row>
    <row r="6" spans="1:11" ht="14.25">
      <c r="A6" s="5">
        <v>4</v>
      </c>
      <c r="B6" s="12" t="s">
        <v>405</v>
      </c>
      <c r="C6" s="20" t="s">
        <v>406</v>
      </c>
      <c r="D6" s="20" t="s">
        <v>407</v>
      </c>
      <c r="E6" s="20" t="s">
        <v>605</v>
      </c>
      <c r="F6" s="12">
        <v>3</v>
      </c>
      <c r="G6" s="12">
        <v>3</v>
      </c>
      <c r="H6" s="12">
        <v>3</v>
      </c>
      <c r="I6" s="12">
        <v>3</v>
      </c>
      <c r="J6" s="12">
        <f t="shared" si="0"/>
        <v>3</v>
      </c>
      <c r="K6" s="13" t="str">
        <f t="shared" si="1"/>
        <v>Перспективный</v>
      </c>
    </row>
  </sheetData>
  <mergeCells count="1">
    <mergeCell ref="A1:K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/>
  </sheetViews>
  <sheetFormatPr defaultRowHeight="13.5"/>
  <cols>
    <col min="1" max="1" width="10.5625" customWidth="1"/>
    <col min="2" max="2" width="26.6875" customWidth="1"/>
    <col min="3" max="3" width="52.5625" customWidth="1"/>
    <col min="4" max="4" width="49.75" customWidth="1"/>
    <col min="5" max="5" width="50.8125" customWidth="1"/>
    <col min="6" max="6" width="52.5625" customWidth="1"/>
    <col min="7" max="7" width="23.5" customWidth="1"/>
    <col min="8" max="8" width="24.5625" customWidth="1"/>
    <col min="9" max="9" width="26.6875" customWidth="1"/>
    <col min="10" max="10" width="29.8125" customWidth="1"/>
    <col min="11" max="11" width="37.1875" customWidth="1"/>
    <col min="12" max="12" width="28.75" customWidth="1"/>
    <col min="13" max="13" width="22.4375" customWidth="1"/>
    <col min="14" max="14" width="23.5" customWidth="1"/>
    <col min="15" max="15" width="28.75" customWidth="1"/>
    <col min="16" max="16" width="21.4375" customWidth="1"/>
    <col min="17" max="17" width="11.9375" customWidth="1"/>
  </cols>
  <sheetData>
    <row r="1" spans="1:17" ht="20" customHeight="1">
      <c r="A1" s="22" t="s">
        <v>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</row>
    <row r="2" spans="1:17" ht="14.25">
      <c r="A2" s="3" t="s">
        <v>31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10" t="s">
        <v>89</v>
      </c>
    </row>
    <row r="3" spans="1:17" ht="71.25">
      <c r="A3" s="4">
        <v>1</v>
      </c>
      <c r="B3" s="17" t="s">
        <v>408</v>
      </c>
      <c r="C3" s="19" t="s">
        <v>409</v>
      </c>
      <c r="D3" s="19" t="s">
        <v>410</v>
      </c>
      <c r="E3" s="19" t="s">
        <v>411</v>
      </c>
      <c r="F3" s="19" t="s">
        <v>412</v>
      </c>
      <c r="G3" s="17" t="s">
        <v>413</v>
      </c>
      <c r="H3" s="17" t="s">
        <v>414</v>
      </c>
      <c r="I3" s="17" t="s">
        <v>415</v>
      </c>
      <c r="J3" s="17" t="s">
        <v>416</v>
      </c>
      <c r="K3" s="19" t="s">
        <v>417</v>
      </c>
      <c r="L3" s="17" t="s">
        <v>235</v>
      </c>
      <c r="M3" s="17">
        <v>4</v>
      </c>
      <c r="N3" s="17">
        <v>4</v>
      </c>
      <c r="O3" s="17">
        <v>5</v>
      </c>
      <c r="P3" s="17">
        <f t="shared" ref="P3:P5" si="0">IF(COUNTA(B3:O3)=0,"",ROUND(AVERAGE(M3:O3),2))</f>
        <v>4.33</v>
      </c>
      <c r="Q3" s="18" t="str">
        <f>IF(P3="","",IF(P3&gt;=4,"Готово",IF(P3&gt;=3,"Частично","Развить в следующих релизах")))</f>
        <v>Готово</v>
      </c>
    </row>
    <row r="4" spans="1:17" ht="57">
      <c r="A4" s="4">
        <v>2</v>
      </c>
      <c r="B4" s="17" t="s">
        <v>418</v>
      </c>
      <c r="C4" s="19" t="s">
        <v>419</v>
      </c>
      <c r="D4" s="19" t="s">
        <v>420</v>
      </c>
      <c r="E4" s="19" t="s">
        <v>421</v>
      </c>
      <c r="F4" s="19" t="s">
        <v>422</v>
      </c>
      <c r="G4" s="17" t="s">
        <v>423</v>
      </c>
      <c r="H4" s="17" t="s">
        <v>424</v>
      </c>
      <c r="I4" s="17" t="s">
        <v>425</v>
      </c>
      <c r="J4" s="17" t="s">
        <v>426</v>
      </c>
      <c r="K4" s="17" t="s">
        <v>427</v>
      </c>
      <c r="L4" s="17" t="s">
        <v>428</v>
      </c>
      <c r="M4" s="17">
        <v>5</v>
      </c>
      <c r="N4" s="17">
        <v>3</v>
      </c>
      <c r="O4" s="17">
        <v>4</v>
      </c>
      <c r="P4" s="17">
        <f t="shared" si="0"/>
        <v>4</v>
      </c>
      <c r="Q4" s="18" t="str">
        <f>IF(P4="","",IF(P4&gt;=4,"Готово",IF(P4&gt;=3,"Частично","Развить в следующих релизах")))</f>
        <v>Готово</v>
      </c>
    </row>
    <row r="5" spans="1:17" ht="57">
      <c r="A5" s="5">
        <v>3</v>
      </c>
      <c r="B5" s="12" t="s">
        <v>429</v>
      </c>
      <c r="C5" s="20" t="s">
        <v>430</v>
      </c>
      <c r="D5" s="12" t="s">
        <v>431</v>
      </c>
      <c r="E5" s="12" t="s">
        <v>432</v>
      </c>
      <c r="F5" s="20" t="s">
        <v>433</v>
      </c>
      <c r="G5" s="12" t="s">
        <v>413</v>
      </c>
      <c r="H5" s="12" t="s">
        <v>414</v>
      </c>
      <c r="I5" s="12" t="s">
        <v>434</v>
      </c>
      <c r="J5" s="12" t="s">
        <v>435</v>
      </c>
      <c r="K5" s="12" t="s">
        <v>436</v>
      </c>
      <c r="L5" s="12" t="s">
        <v>235</v>
      </c>
      <c r="M5" s="12">
        <v>3</v>
      </c>
      <c r="N5" s="12">
        <v>4</v>
      </c>
      <c r="O5" s="12">
        <v>4</v>
      </c>
      <c r="P5" s="12">
        <f t="shared" si="0"/>
        <v>3.67</v>
      </c>
      <c r="Q5" s="13" t="str">
        <f>IF(P5="","",IF(P5&gt;=4,"Готово",IF(P5&gt;=3,"Частично","Развить в следующих релизах")))</f>
        <v>Частично</v>
      </c>
    </row>
  </sheetData>
  <mergeCells count="1">
    <mergeCell ref="A1:Q1"/>
  </mergeCells>
  <conditionalFormatting sqref="P3:P5">
    <cfRule type="dataBar" priority="5">
      <dataBar>
        <cfvo type="min"/>
        <cfvo type="max"/>
        <color rgb="FF5B9BD5"/>
      </dataBar>
    </cfRule>
  </conditionalFormatting>
  <conditionalFormatting sqref="P3:P5"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H3:H5</xm:sqref>
        </x14:dataValidation>
        <x14:dataValidation type="list" xr:uid="{00000000-0002-0000-0400-000001000000}">
          <x14:formula1>
            <xm:f>'12_Справочники'!$F$3:$F$8</xm:f>
          </x14:formula1>
          <xm:sqref>L3:L5</xm:sqref>
        </x14:dataValidation>
        <x14:dataValidation type="list" xr:uid="{00000000-0002-0000-0400-000002000000}">
          <x14:formula1>
            <xm:f>'12_Справочники'!$C$3:$C$7</xm:f>
          </x14:formula1>
          <xm:sqref>M3:O5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workbookViewId="0"/>
  </sheetViews>
  <sheetFormatPr defaultRowHeight="13.5"/>
  <cols>
    <col min="1" max="1" width="10.5625" customWidth="1"/>
    <col min="2" max="2" width="15.125" customWidth="1"/>
    <col min="3" max="3" width="28.75" customWidth="1"/>
    <col min="4" max="4" width="52.5625" customWidth="1"/>
    <col min="5" max="5" width="26.6875" customWidth="1"/>
    <col min="6" max="6" width="38.1875" customWidth="1"/>
    <col min="7" max="7" width="19.3125" customWidth="1"/>
    <col min="8" max="8" width="24.5625" customWidth="1"/>
    <col min="9" max="9" width="23.5" customWidth="1"/>
    <col min="10" max="10" width="21.4375" customWidth="1"/>
    <col min="11" max="11" width="11.9375" customWidth="1"/>
  </cols>
  <sheetData>
    <row r="1" spans="1:11" ht="20" customHeight="1">
      <c r="A1" s="22" t="s">
        <v>106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25">
      <c r="A2" s="3" t="s">
        <v>31</v>
      </c>
      <c r="B2" s="3" t="s">
        <v>107</v>
      </c>
      <c r="C2" s="3" t="s">
        <v>81</v>
      </c>
      <c r="D2" s="3" t="s">
        <v>108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103</v>
      </c>
      <c r="J2" s="3" t="s">
        <v>88</v>
      </c>
      <c r="K2" s="10" t="s">
        <v>113</v>
      </c>
    </row>
    <row r="3" spans="1:11" ht="14.25">
      <c r="A3" s="4">
        <v>1</v>
      </c>
      <c r="B3" s="17" t="s">
        <v>437</v>
      </c>
      <c r="C3" s="17" t="s">
        <v>438</v>
      </c>
      <c r="D3" s="19" t="s">
        <v>439</v>
      </c>
      <c r="E3" s="17" t="s">
        <v>440</v>
      </c>
      <c r="F3" s="19" t="s">
        <v>441</v>
      </c>
      <c r="G3" s="17">
        <v>5</v>
      </c>
      <c r="H3" s="17">
        <v>2</v>
      </c>
      <c r="I3" s="17">
        <v>4</v>
      </c>
      <c r="J3" s="17">
        <f t="shared" ref="J3:J10" si="0">IF(COUNTA(B3:I3)=0,"",ROUND(AVERAGE(G3,6-H3,I3),2))</f>
        <v>4.33</v>
      </c>
      <c r="K3" s="18" t="str">
        <f t="shared" ref="K3:K10" si="1">IF(J3="","",IF(J3&gt;=4,"Включить",IF(J3&gt;=3,"Частично","Не основной")))</f>
        <v>Включить</v>
      </c>
    </row>
    <row r="4" spans="1:11" ht="14.25">
      <c r="A4" s="4">
        <v>2</v>
      </c>
      <c r="B4" s="17" t="s">
        <v>437</v>
      </c>
      <c r="C4" s="17" t="s">
        <v>442</v>
      </c>
      <c r="D4" s="17" t="s">
        <v>443</v>
      </c>
      <c r="E4" s="17" t="s">
        <v>444</v>
      </c>
      <c r="F4" s="17" t="s">
        <v>445</v>
      </c>
      <c r="G4" s="17">
        <v>4</v>
      </c>
      <c r="H4" s="17">
        <v>2</v>
      </c>
      <c r="I4" s="17">
        <v>3</v>
      </c>
      <c r="J4" s="17">
        <f t="shared" si="0"/>
        <v>3.67</v>
      </c>
      <c r="K4" s="18" t="str">
        <f t="shared" si="1"/>
        <v>Частично</v>
      </c>
    </row>
    <row r="5" spans="1:11" ht="14.25">
      <c r="A5" s="4">
        <v>3</v>
      </c>
      <c r="B5" s="17" t="s">
        <v>437</v>
      </c>
      <c r="C5" s="17" t="s">
        <v>446</v>
      </c>
      <c r="D5" s="19" t="s">
        <v>447</v>
      </c>
      <c r="E5" s="17" t="s">
        <v>440</v>
      </c>
      <c r="F5" s="17" t="s">
        <v>448</v>
      </c>
      <c r="G5" s="17">
        <v>4</v>
      </c>
      <c r="H5" s="17">
        <v>3</v>
      </c>
      <c r="I5" s="17">
        <v>3</v>
      </c>
      <c r="J5" s="17">
        <f t="shared" si="0"/>
        <v>3.33</v>
      </c>
      <c r="K5" s="18" t="str">
        <f t="shared" si="1"/>
        <v>Частично</v>
      </c>
    </row>
    <row r="6" spans="1:11" ht="14.25">
      <c r="A6" s="4">
        <v>4</v>
      </c>
      <c r="B6" s="17" t="s">
        <v>437</v>
      </c>
      <c r="C6" s="17" t="s">
        <v>438</v>
      </c>
      <c r="D6" s="19" t="s">
        <v>449</v>
      </c>
      <c r="E6" s="17" t="s">
        <v>440</v>
      </c>
      <c r="F6" s="17" t="s">
        <v>450</v>
      </c>
      <c r="G6" s="17">
        <v>3</v>
      </c>
      <c r="H6" s="17">
        <v>2</v>
      </c>
      <c r="I6" s="17">
        <v>3</v>
      </c>
      <c r="J6" s="17">
        <f t="shared" si="0"/>
        <v>3.33</v>
      </c>
      <c r="K6" s="18" t="str">
        <f t="shared" si="1"/>
        <v>Частично</v>
      </c>
    </row>
    <row r="7" spans="1:11" ht="14.25">
      <c r="A7" s="4">
        <v>5</v>
      </c>
      <c r="B7" s="17" t="s">
        <v>451</v>
      </c>
      <c r="C7" s="17" t="s">
        <v>438</v>
      </c>
      <c r="D7" s="19" t="s">
        <v>452</v>
      </c>
      <c r="E7" s="17" t="s">
        <v>453</v>
      </c>
      <c r="F7" s="17" t="s">
        <v>454</v>
      </c>
      <c r="G7" s="17">
        <v>5</v>
      </c>
      <c r="H7" s="17">
        <v>2</v>
      </c>
      <c r="I7" s="17">
        <v>4</v>
      </c>
      <c r="J7" s="17">
        <f t="shared" si="0"/>
        <v>4.33</v>
      </c>
      <c r="K7" s="18" t="str">
        <f t="shared" si="1"/>
        <v>Включить</v>
      </c>
    </row>
    <row r="8" spans="1:11" ht="14.25">
      <c r="A8" s="4">
        <v>6</v>
      </c>
      <c r="B8" s="17" t="s">
        <v>455</v>
      </c>
      <c r="C8" s="17" t="s">
        <v>438</v>
      </c>
      <c r="D8" s="19" t="s">
        <v>456</v>
      </c>
      <c r="E8" s="17" t="s">
        <v>457</v>
      </c>
      <c r="F8" s="17" t="s">
        <v>458</v>
      </c>
      <c r="G8" s="17">
        <v>5</v>
      </c>
      <c r="H8" s="17">
        <v>2</v>
      </c>
      <c r="I8" s="17">
        <v>4</v>
      </c>
      <c r="J8" s="17">
        <f t="shared" si="0"/>
        <v>4.33</v>
      </c>
      <c r="K8" s="18" t="str">
        <f t="shared" si="1"/>
        <v>Включить</v>
      </c>
    </row>
    <row r="9" spans="1:11" ht="14.25">
      <c r="A9" s="4">
        <v>7</v>
      </c>
      <c r="B9" s="17" t="s">
        <v>459</v>
      </c>
      <c r="C9" s="17" t="s">
        <v>438</v>
      </c>
      <c r="D9" s="17" t="s">
        <v>460</v>
      </c>
      <c r="E9" s="17" t="s">
        <v>461</v>
      </c>
      <c r="F9" s="17" t="s">
        <v>462</v>
      </c>
      <c r="G9" s="17">
        <v>5</v>
      </c>
      <c r="H9" s="17">
        <v>1</v>
      </c>
      <c r="I9" s="17">
        <v>5</v>
      </c>
      <c r="J9" s="17">
        <f t="shared" si="0"/>
        <v>5</v>
      </c>
      <c r="K9" s="18" t="str">
        <f t="shared" si="1"/>
        <v>Включить</v>
      </c>
    </row>
    <row r="10" spans="1:11" ht="14.25">
      <c r="A10" s="5">
        <v>8</v>
      </c>
      <c r="B10" s="12" t="s">
        <v>281</v>
      </c>
      <c r="C10" s="12" t="s">
        <v>463</v>
      </c>
      <c r="D10" s="20" t="s">
        <v>464</v>
      </c>
      <c r="E10" s="12" t="s">
        <v>465</v>
      </c>
      <c r="F10" s="12" t="s">
        <v>466</v>
      </c>
      <c r="G10" s="12">
        <v>4</v>
      </c>
      <c r="H10" s="12">
        <v>2</v>
      </c>
      <c r="I10" s="12">
        <v>3</v>
      </c>
      <c r="J10" s="12">
        <f t="shared" si="0"/>
        <v>3.67</v>
      </c>
      <c r="K10" s="13" t="str">
        <f t="shared" si="1"/>
        <v>Частично</v>
      </c>
    </row>
  </sheetData>
  <mergeCells count="1">
    <mergeCell ref="A1:K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B3:B10</xm:sqref>
        </x14:dataValidation>
        <x14:dataValidation type="list" xr:uid="{00000000-0002-0000-0500-000001000000}">
          <x14:formula1>
            <xm:f>'12_Справочники'!$C$3:$C$7</xm:f>
          </x14:formula1>
          <xm:sqref>G3:I10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/>
  </sheetViews>
  <sheetFormatPr defaultRowHeight="13.5"/>
  <cols>
    <col min="1" max="1" width="10.5625" customWidth="1"/>
    <col min="2" max="2" width="24.5625" customWidth="1"/>
    <col min="3" max="3" width="34" customWidth="1"/>
    <col min="4" max="4" width="32.9375" customWidth="1"/>
    <col min="5" max="5" width="20.375" customWidth="1"/>
    <col min="6" max="6" width="22.4375" customWidth="1"/>
    <col min="7" max="7" width="41.375" customWidth="1"/>
    <col min="8" max="8" width="23.5" customWidth="1"/>
    <col min="9" max="9" width="26.6875" customWidth="1"/>
    <col min="10" max="10" width="19.3125" customWidth="1"/>
    <col min="11" max="11" width="28.75" customWidth="1"/>
    <col min="12" max="12" width="23.5" customWidth="1"/>
    <col min="13" max="13" width="22.4375" customWidth="1"/>
    <col min="14" max="14" width="25.625" customWidth="1"/>
  </cols>
  <sheetData>
    <row r="1" spans="1:14" ht="20" customHeight="1">
      <c r="A1" s="22" t="s">
        <v>114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ht="14.25">
      <c r="A2" s="3" t="s">
        <v>31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 t="s">
        <v>103</v>
      </c>
      <c r="M2" s="3" t="s">
        <v>125</v>
      </c>
      <c r="N2" s="10" t="s">
        <v>89</v>
      </c>
    </row>
    <row r="3" spans="1:14" ht="14.25">
      <c r="A3" s="4">
        <v>1</v>
      </c>
      <c r="B3" s="17" t="s">
        <v>467</v>
      </c>
      <c r="C3" s="17" t="s">
        <v>468</v>
      </c>
      <c r="D3" s="17" t="s">
        <v>469</v>
      </c>
      <c r="E3" s="17" t="s">
        <v>606</v>
      </c>
      <c r="F3" s="17" t="s">
        <v>470</v>
      </c>
      <c r="G3" s="19" t="s">
        <v>607</v>
      </c>
      <c r="H3" s="17" t="s">
        <v>471</v>
      </c>
      <c r="I3" s="17">
        <v>4</v>
      </c>
      <c r="J3" s="17">
        <v>5</v>
      </c>
      <c r="K3" s="17">
        <v>2</v>
      </c>
      <c r="L3" s="17">
        <v>4</v>
      </c>
      <c r="M3" s="17">
        <f t="shared" ref="M3:M5" si="0">IF(COUNTA(B3:L3)=0,"",ROUND(AVERAGE(I3:L3),2))</f>
        <v>3.75</v>
      </c>
      <c r="N3" s="18" t="str">
        <f>IF(M3="","",IF(M3&gt;=4,"Основная гипотеза",IF(M3&gt;=3,"Подтверждено частично","Слабая гипотеза")))</f>
        <v>Подтверждено частично</v>
      </c>
    </row>
    <row r="4" spans="1:14" ht="14.25">
      <c r="A4" s="4">
        <v>2</v>
      </c>
      <c r="B4" s="17" t="s">
        <v>472</v>
      </c>
      <c r="C4" s="17" t="s">
        <v>473</v>
      </c>
      <c r="D4" s="17" t="s">
        <v>474</v>
      </c>
      <c r="E4" s="17" t="s">
        <v>608</v>
      </c>
      <c r="F4" s="17" t="s">
        <v>475</v>
      </c>
      <c r="G4" s="19" t="s">
        <v>609</v>
      </c>
      <c r="H4" s="17" t="s">
        <v>476</v>
      </c>
      <c r="I4" s="17">
        <v>4</v>
      </c>
      <c r="J4" s="17">
        <v>5</v>
      </c>
      <c r="K4" s="17">
        <v>5</v>
      </c>
      <c r="L4" s="17">
        <v>4</v>
      </c>
      <c r="M4" s="17">
        <f t="shared" si="0"/>
        <v>4.5</v>
      </c>
      <c r="N4" s="18" t="str">
        <f>IF(M4="","",IF(M4&gt;=4,"Основная гипотеза",IF(M4&gt;=3,"Подтверждено частично","Слабая гипотеза")))</f>
        <v>Основная гипотеза</v>
      </c>
    </row>
    <row r="5" spans="1:14" ht="14.25">
      <c r="A5" s="5">
        <v>3</v>
      </c>
      <c r="B5" s="12" t="s">
        <v>477</v>
      </c>
      <c r="C5" s="20" t="s">
        <v>478</v>
      </c>
      <c r="D5" s="12" t="s">
        <v>479</v>
      </c>
      <c r="E5" s="12" t="s">
        <v>610</v>
      </c>
      <c r="F5" s="12" t="s">
        <v>480</v>
      </c>
      <c r="G5" s="20" t="s">
        <v>611</v>
      </c>
      <c r="H5" s="12" t="s">
        <v>481</v>
      </c>
      <c r="I5" s="12">
        <v>4</v>
      </c>
      <c r="J5" s="12">
        <v>5</v>
      </c>
      <c r="K5" s="12">
        <v>5</v>
      </c>
      <c r="L5" s="12">
        <v>3</v>
      </c>
      <c r="M5" s="12">
        <f t="shared" si="0"/>
        <v>4.25</v>
      </c>
      <c r="N5" s="13" t="str">
        <f>IF(M5="","",IF(M5&gt;=4,"Основная гипотеза",IF(M5&gt;=3,"Подтверждено частично","Слабая гипотеза")))</f>
        <v>Основная гипотеза</v>
      </c>
    </row>
  </sheetData>
  <mergeCells count="1">
    <mergeCell ref="A1:N1"/>
  </mergeCells>
  <conditionalFormatting sqref="M3:M5">
    <cfRule type="dataBar" priority="7">
      <dataBar>
        <cfvo type="min"/>
        <cfvo type="max"/>
        <color rgb="FF5B9BD5"/>
      </dataBar>
    </cfRule>
  </conditionalFormatting>
  <conditionalFormatting sqref="M3:M5">
    <cfRule type="dataBar" priority="8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F3:F5</xm:sqref>
        </x14:dataValidation>
        <x14:dataValidation type="list" xr:uid="{00000000-0002-0000-0600-000001000000}">
          <x14:formula1>
            <xm:f>'12_Справочники'!$C$3:$C$7</xm:f>
          </x14:formula1>
          <xm:sqref>I3:L5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/>
  </sheetViews>
  <sheetFormatPr defaultRowHeight="13.5"/>
  <cols>
    <col min="1" max="1" width="10.5625" customWidth="1"/>
    <col min="2" max="2" width="16.1875" customWidth="1"/>
    <col min="3" max="3" width="28.75" customWidth="1"/>
    <col min="4" max="4" width="52.5625" customWidth="1"/>
    <col min="5" max="5" width="38.1875" customWidth="1"/>
    <col min="6" max="6" width="11.9375" customWidth="1"/>
    <col min="7" max="8" width="19.3125" customWidth="1"/>
    <col min="9" max="9" width="25.625" customWidth="1"/>
    <col min="10" max="10" width="27.6875" customWidth="1"/>
    <col min="11" max="11" width="26.6875" customWidth="1"/>
  </cols>
  <sheetData>
    <row r="1" spans="1:11" ht="20" customHeight="1">
      <c r="A1" s="22" t="s">
        <v>126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25">
      <c r="A2" s="3" t="s">
        <v>31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10" t="s">
        <v>136</v>
      </c>
    </row>
    <row r="3" spans="1:11" ht="28.5">
      <c r="A3" s="4">
        <v>1</v>
      </c>
      <c r="B3" s="17" t="s">
        <v>482</v>
      </c>
      <c r="C3" s="17" t="s">
        <v>483</v>
      </c>
      <c r="D3" s="19" t="s">
        <v>484</v>
      </c>
      <c r="E3" s="17" t="s">
        <v>485</v>
      </c>
      <c r="F3" s="17" t="s">
        <v>357</v>
      </c>
      <c r="G3" s="17">
        <v>5</v>
      </c>
      <c r="H3" s="17">
        <v>3</v>
      </c>
      <c r="I3" s="17">
        <v>4</v>
      </c>
      <c r="J3" s="17" t="s">
        <v>486</v>
      </c>
      <c r="K3" s="18">
        <f t="shared" ref="K3:K10" si="0">IF(COUNTA(B3:J3)=0,"",ROUND(AVERAGE(G3,6-H3,I3),2))</f>
        <v>4</v>
      </c>
    </row>
    <row r="4" spans="1:11" ht="14.25">
      <c r="A4" s="4">
        <v>2</v>
      </c>
      <c r="B4" s="17" t="s">
        <v>482</v>
      </c>
      <c r="C4" s="17" t="s">
        <v>487</v>
      </c>
      <c r="D4" s="19" t="s">
        <v>488</v>
      </c>
      <c r="E4" s="17" t="s">
        <v>489</v>
      </c>
      <c r="F4" s="17" t="s">
        <v>357</v>
      </c>
      <c r="G4" s="17">
        <v>5</v>
      </c>
      <c r="H4" s="17">
        <v>3</v>
      </c>
      <c r="I4" s="17">
        <v>4</v>
      </c>
      <c r="J4" s="17" t="s">
        <v>490</v>
      </c>
      <c r="K4" s="18">
        <f t="shared" si="0"/>
        <v>4</v>
      </c>
    </row>
    <row r="5" spans="1:11" ht="14.25">
      <c r="A5" s="4">
        <v>3</v>
      </c>
      <c r="B5" s="17" t="s">
        <v>482</v>
      </c>
      <c r="C5" s="17" t="s">
        <v>491</v>
      </c>
      <c r="D5" s="19" t="s">
        <v>492</v>
      </c>
      <c r="E5" s="17" t="s">
        <v>493</v>
      </c>
      <c r="F5" s="17" t="s">
        <v>494</v>
      </c>
      <c r="G5" s="17">
        <v>5</v>
      </c>
      <c r="H5" s="17">
        <v>3</v>
      </c>
      <c r="I5" s="17">
        <v>3</v>
      </c>
      <c r="J5" s="17" t="s">
        <v>495</v>
      </c>
      <c r="K5" s="18">
        <f t="shared" si="0"/>
        <v>3.67</v>
      </c>
    </row>
    <row r="6" spans="1:11" ht="14.25">
      <c r="A6" s="4">
        <v>4</v>
      </c>
      <c r="B6" s="17" t="s">
        <v>496</v>
      </c>
      <c r="C6" s="17" t="s">
        <v>497</v>
      </c>
      <c r="D6" s="19" t="s">
        <v>498</v>
      </c>
      <c r="E6" s="17" t="s">
        <v>499</v>
      </c>
      <c r="F6" s="17" t="s">
        <v>357</v>
      </c>
      <c r="G6" s="17">
        <v>4</v>
      </c>
      <c r="H6" s="17">
        <v>4</v>
      </c>
      <c r="I6" s="17">
        <v>2</v>
      </c>
      <c r="J6" s="17" t="s">
        <v>500</v>
      </c>
      <c r="K6" s="18">
        <f t="shared" si="0"/>
        <v>2.67</v>
      </c>
    </row>
    <row r="7" spans="1:11" ht="14.25">
      <c r="A7" s="4">
        <v>5</v>
      </c>
      <c r="B7" s="17" t="s">
        <v>496</v>
      </c>
      <c r="C7" s="17" t="s">
        <v>501</v>
      </c>
      <c r="D7" s="19" t="s">
        <v>502</v>
      </c>
      <c r="E7" s="17" t="s">
        <v>503</v>
      </c>
      <c r="F7" s="17" t="s">
        <v>504</v>
      </c>
      <c r="G7" s="17">
        <v>4</v>
      </c>
      <c r="H7" s="17">
        <v>4</v>
      </c>
      <c r="I7" s="17">
        <v>2</v>
      </c>
      <c r="J7" s="17" t="s">
        <v>505</v>
      </c>
      <c r="K7" s="18">
        <f t="shared" si="0"/>
        <v>2.67</v>
      </c>
    </row>
    <row r="8" spans="1:11" ht="14.25">
      <c r="A8" s="4">
        <v>6</v>
      </c>
      <c r="B8" s="17" t="s">
        <v>506</v>
      </c>
      <c r="C8" s="17" t="s">
        <v>443</v>
      </c>
      <c r="D8" s="19" t="s">
        <v>507</v>
      </c>
      <c r="E8" s="17" t="s">
        <v>508</v>
      </c>
      <c r="F8" s="17" t="s">
        <v>509</v>
      </c>
      <c r="G8" s="17">
        <v>4</v>
      </c>
      <c r="H8" s="17">
        <v>3</v>
      </c>
      <c r="I8" s="17">
        <v>2</v>
      </c>
      <c r="J8" s="17" t="s">
        <v>510</v>
      </c>
      <c r="K8" s="18">
        <f t="shared" si="0"/>
        <v>3</v>
      </c>
    </row>
    <row r="9" spans="1:11" ht="14.25">
      <c r="A9" s="4">
        <v>7</v>
      </c>
      <c r="B9" s="17" t="s">
        <v>506</v>
      </c>
      <c r="C9" s="17" t="s">
        <v>511</v>
      </c>
      <c r="D9" s="17" t="s">
        <v>512</v>
      </c>
      <c r="E9" s="17" t="s">
        <v>513</v>
      </c>
      <c r="F9" s="17" t="s">
        <v>509</v>
      </c>
      <c r="G9" s="17">
        <v>4</v>
      </c>
      <c r="H9" s="17">
        <v>4</v>
      </c>
      <c r="I9" s="17">
        <v>4</v>
      </c>
      <c r="J9" s="17" t="s">
        <v>514</v>
      </c>
      <c r="K9" s="18">
        <f t="shared" si="0"/>
        <v>3.33</v>
      </c>
    </row>
    <row r="10" spans="1:11" ht="14.25">
      <c r="A10" s="5">
        <v>8</v>
      </c>
      <c r="B10" s="12" t="s">
        <v>506</v>
      </c>
      <c r="C10" s="12" t="s">
        <v>515</v>
      </c>
      <c r="D10" s="12" t="s">
        <v>516</v>
      </c>
      <c r="E10" s="12" t="s">
        <v>461</v>
      </c>
      <c r="F10" s="12" t="s">
        <v>357</v>
      </c>
      <c r="G10" s="12">
        <v>4</v>
      </c>
      <c r="H10" s="12">
        <v>5</v>
      </c>
      <c r="I10" s="12">
        <v>2</v>
      </c>
      <c r="J10" s="12" t="s">
        <v>517</v>
      </c>
      <c r="K10" s="13">
        <f t="shared" si="0"/>
        <v>2.33</v>
      </c>
    </row>
  </sheetData>
  <mergeCells count="1">
    <mergeCell ref="A1:K1"/>
  </mergeCells>
  <dataValidations count="1">
    <dataValidation type="list" sqref="B3:B10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G3:I10</xm:sqref>
        </x14:dataValidation>
        <x14:dataValidation type="list" xr:uid="{00000000-0002-0000-0700-000002000000}">
          <x14:formula1>
            <xm:f>'12_Справочники'!$J$3:$J$7</xm:f>
          </x14:formula1>
          <xm:sqref>J3:J10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"/>
  <sheetViews>
    <sheetView workbookViewId="0"/>
  </sheetViews>
  <sheetFormatPr defaultRowHeight="13.5"/>
  <cols>
    <col min="1" max="1" width="10.5625" customWidth="1"/>
    <col min="2" max="2" width="31.9375" customWidth="1"/>
    <col min="3" max="3" width="36.125" customWidth="1"/>
    <col min="4" max="4" width="14.0625" customWidth="1"/>
    <col min="5" max="5" width="25.625" customWidth="1"/>
    <col min="6" max="6" width="17.1875" customWidth="1"/>
    <col min="7" max="7" width="42.4375" customWidth="1"/>
    <col min="8" max="8" width="28.75" customWidth="1"/>
    <col min="9" max="9" width="19.3125" customWidth="1"/>
    <col min="10" max="10" width="21.4375" customWidth="1"/>
    <col min="11" max="11" width="22.4375" customWidth="1"/>
  </cols>
  <sheetData>
    <row r="1" spans="1:11" ht="20" customHeight="1">
      <c r="A1" s="22" t="s">
        <v>137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25">
      <c r="A2" s="3" t="s">
        <v>31</v>
      </c>
      <c r="B2" s="3" t="s">
        <v>138</v>
      </c>
      <c r="C2" s="3" t="s">
        <v>139</v>
      </c>
      <c r="D2" s="3" t="s">
        <v>140</v>
      </c>
      <c r="E2" s="3" t="s">
        <v>141</v>
      </c>
      <c r="F2" s="3" t="s">
        <v>142</v>
      </c>
      <c r="G2" s="3" t="s">
        <v>143</v>
      </c>
      <c r="H2" s="3" t="s">
        <v>144</v>
      </c>
      <c r="I2" s="3" t="s">
        <v>145</v>
      </c>
      <c r="J2" s="3" t="s">
        <v>146</v>
      </c>
      <c r="K2" s="10" t="s">
        <v>147</v>
      </c>
    </row>
    <row r="3" spans="1:11" ht="14.25">
      <c r="A3" s="4">
        <v>1</v>
      </c>
      <c r="B3" s="17" t="s">
        <v>518</v>
      </c>
      <c r="C3" s="17" t="s">
        <v>519</v>
      </c>
      <c r="D3" s="17" t="s">
        <v>520</v>
      </c>
      <c r="E3" s="17" t="s">
        <v>521</v>
      </c>
      <c r="F3" s="17" t="s">
        <v>522</v>
      </c>
      <c r="G3" s="17" t="s">
        <v>612</v>
      </c>
      <c r="H3" s="17">
        <v>5</v>
      </c>
      <c r="I3" s="17">
        <v>4</v>
      </c>
      <c r="J3" s="17">
        <v>3</v>
      </c>
      <c r="K3" s="18">
        <f t="shared" ref="K3:K10" si="0">IF(COUNTA(B3:J3)=0,"",ROUND(AVERAGE(H3,I3,6-J3),2))</f>
        <v>4</v>
      </c>
    </row>
    <row r="4" spans="1:11" ht="14.25">
      <c r="A4" s="4">
        <v>2</v>
      </c>
      <c r="B4" s="17" t="s">
        <v>523</v>
      </c>
      <c r="C4" s="17" t="s">
        <v>524</v>
      </c>
      <c r="D4" s="17" t="s">
        <v>525</v>
      </c>
      <c r="E4" s="17" t="s">
        <v>526</v>
      </c>
      <c r="F4" s="17" t="s">
        <v>527</v>
      </c>
      <c r="G4" s="19" t="s">
        <v>613</v>
      </c>
      <c r="H4" s="17">
        <v>4</v>
      </c>
      <c r="I4" s="17">
        <v>3</v>
      </c>
      <c r="J4" s="17">
        <v>4</v>
      </c>
      <c r="K4" s="18">
        <f t="shared" si="0"/>
        <v>3</v>
      </c>
    </row>
    <row r="5" spans="1:11" ht="14.25">
      <c r="A5" s="4">
        <v>3</v>
      </c>
      <c r="B5" s="17" t="s">
        <v>528</v>
      </c>
      <c r="C5" s="17" t="s">
        <v>529</v>
      </c>
      <c r="D5" s="17" t="s">
        <v>525</v>
      </c>
      <c r="E5" s="17" t="s">
        <v>530</v>
      </c>
      <c r="F5" s="17" t="s">
        <v>531</v>
      </c>
      <c r="G5" s="19" t="s">
        <v>614</v>
      </c>
      <c r="H5" s="17">
        <v>3</v>
      </c>
      <c r="I5" s="17">
        <v>4</v>
      </c>
      <c r="J5" s="17">
        <v>4</v>
      </c>
      <c r="K5" s="18">
        <f t="shared" si="0"/>
        <v>3</v>
      </c>
    </row>
    <row r="6" spans="1:11" ht="14.25">
      <c r="A6" s="4">
        <v>4</v>
      </c>
      <c r="B6" s="17" t="s">
        <v>532</v>
      </c>
      <c r="C6" s="17" t="s">
        <v>533</v>
      </c>
      <c r="D6" s="17" t="s">
        <v>525</v>
      </c>
      <c r="E6" s="17" t="s">
        <v>534</v>
      </c>
      <c r="F6" s="17" t="s">
        <v>535</v>
      </c>
      <c r="G6" s="17" t="s">
        <v>536</v>
      </c>
      <c r="H6" s="17">
        <v>4</v>
      </c>
      <c r="I6" s="17">
        <v>2</v>
      </c>
      <c r="J6" s="17">
        <v>4</v>
      </c>
      <c r="K6" s="18">
        <f t="shared" si="0"/>
        <v>2.67</v>
      </c>
    </row>
    <row r="7" spans="1:11" ht="14.25">
      <c r="A7" s="4">
        <v>5</v>
      </c>
      <c r="B7" s="17" t="s">
        <v>537</v>
      </c>
      <c r="C7" s="17" t="s">
        <v>538</v>
      </c>
      <c r="D7" s="17" t="s">
        <v>520</v>
      </c>
      <c r="E7" s="17" t="s">
        <v>539</v>
      </c>
      <c r="F7" s="17" t="s">
        <v>535</v>
      </c>
      <c r="G7" s="17" t="s">
        <v>540</v>
      </c>
      <c r="H7" s="17">
        <v>4</v>
      </c>
      <c r="I7" s="17">
        <v>3</v>
      </c>
      <c r="J7" s="17">
        <v>3</v>
      </c>
      <c r="K7" s="18">
        <f t="shared" si="0"/>
        <v>3.33</v>
      </c>
    </row>
    <row r="8" spans="1:11" ht="14.25">
      <c r="A8" s="4">
        <v>6</v>
      </c>
      <c r="B8" s="17" t="s">
        <v>541</v>
      </c>
      <c r="C8" s="17" t="s">
        <v>461</v>
      </c>
      <c r="D8" s="17" t="s">
        <v>525</v>
      </c>
      <c r="E8" s="17" t="s">
        <v>542</v>
      </c>
      <c r="F8" s="17" t="s">
        <v>535</v>
      </c>
      <c r="G8" s="17" t="s">
        <v>543</v>
      </c>
      <c r="H8" s="17">
        <v>2</v>
      </c>
      <c r="I8" s="17">
        <v>4</v>
      </c>
      <c r="J8" s="17">
        <v>4</v>
      </c>
      <c r="K8" s="18">
        <f t="shared" si="0"/>
        <v>2.67</v>
      </c>
    </row>
    <row r="9" spans="1:11" ht="14.25">
      <c r="A9" s="4">
        <v>7</v>
      </c>
      <c r="B9" s="17" t="s">
        <v>544</v>
      </c>
      <c r="C9" s="17" t="s">
        <v>545</v>
      </c>
      <c r="D9" s="17" t="s">
        <v>525</v>
      </c>
      <c r="E9" s="17" t="s">
        <v>546</v>
      </c>
      <c r="F9" s="17" t="s">
        <v>547</v>
      </c>
      <c r="G9" s="17" t="s">
        <v>548</v>
      </c>
      <c r="H9" s="17">
        <v>2</v>
      </c>
      <c r="I9" s="17">
        <v>3</v>
      </c>
      <c r="J9" s="17">
        <v>4</v>
      </c>
      <c r="K9" s="18">
        <f t="shared" si="0"/>
        <v>2.33</v>
      </c>
    </row>
    <row r="10" spans="1:11" ht="14.25">
      <c r="A10" s="5">
        <v>8</v>
      </c>
      <c r="B10" s="12" t="s">
        <v>549</v>
      </c>
      <c r="C10" s="12" t="s">
        <v>550</v>
      </c>
      <c r="D10" s="12" t="s">
        <v>520</v>
      </c>
      <c r="E10" s="12" t="s">
        <v>551</v>
      </c>
      <c r="F10" s="12" t="s">
        <v>522</v>
      </c>
      <c r="G10" s="12" t="s">
        <v>615</v>
      </c>
      <c r="H10" s="12">
        <v>3</v>
      </c>
      <c r="I10" s="12">
        <v>5</v>
      </c>
      <c r="J10" s="12">
        <v>3</v>
      </c>
      <c r="K10" s="13">
        <f t="shared" si="0"/>
        <v>3.67</v>
      </c>
    </row>
  </sheetData>
  <mergeCells count="1">
    <mergeCell ref="A1:K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D3:D10</xm:sqref>
        </x14:dataValidation>
        <x14:dataValidation type="list" xr:uid="{00000000-0002-0000-0800-000001000000}">
          <x14:formula1>
            <xm:f>'12_Справочники'!$C$3:$C$7</xm:f>
          </x14:formula1>
          <xm:sqref>H3:J10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/>
  </sheetViews>
  <sheetFormatPr defaultRowHeight="13.5"/>
  <cols>
    <col min="1" max="1" width="10.5625" customWidth="1"/>
    <col min="2" max="2" width="52.5625" customWidth="1"/>
    <col min="3" max="3" width="41.375" customWidth="1"/>
    <col min="4" max="4" width="52.5625" customWidth="1"/>
    <col min="5" max="5" width="14.0625" customWidth="1"/>
    <col min="6" max="6" width="25.625" customWidth="1"/>
    <col min="7" max="7" width="52.5625" customWidth="1"/>
  </cols>
  <sheetData>
    <row r="1" spans="1:7" ht="20" customHeight="1">
      <c r="A1" s="22" t="s">
        <v>148</v>
      </c>
      <c r="B1" s="22"/>
      <c r="C1" s="22"/>
      <c r="D1" s="22"/>
      <c r="E1" s="22"/>
      <c r="F1" s="22"/>
      <c r="G1" s="23"/>
    </row>
    <row r="2" spans="1:7" ht="14.25">
      <c r="A2" s="3" t="s">
        <v>149</v>
      </c>
      <c r="B2" s="3" t="s">
        <v>150</v>
      </c>
      <c r="C2" s="3" t="s">
        <v>151</v>
      </c>
      <c r="D2" s="3" t="s">
        <v>152</v>
      </c>
      <c r="E2" s="3" t="s">
        <v>153</v>
      </c>
      <c r="F2" s="3" t="s">
        <v>154</v>
      </c>
      <c r="G2" s="10" t="s">
        <v>155</v>
      </c>
    </row>
    <row r="3" spans="1:7" ht="14.25">
      <c r="A3" s="4">
        <v>1</v>
      </c>
      <c r="B3" s="7" t="s">
        <v>156</v>
      </c>
      <c r="C3" s="7" t="s">
        <v>157</v>
      </c>
      <c r="D3" s="19" t="s">
        <v>552</v>
      </c>
      <c r="E3" s="17">
        <v>5</v>
      </c>
      <c r="F3" s="17" t="str">
        <f t="shared" ref="F3:F14" si="0">IF(E3="","-",IF(E3&gt;=4,"Подтверждено",IF(E3&gt;=3,"Подтверждено частично","Риск разрыва")))</f>
        <v>Подтверждено</v>
      </c>
      <c r="G3" s="14" t="s">
        <v>553</v>
      </c>
    </row>
    <row r="4" spans="1:7" ht="28.5">
      <c r="A4" s="4">
        <v>2</v>
      </c>
      <c r="B4" s="7" t="s">
        <v>158</v>
      </c>
      <c r="C4" s="4" t="s">
        <v>159</v>
      </c>
      <c r="D4" s="19" t="s">
        <v>554</v>
      </c>
      <c r="E4" s="17">
        <v>4</v>
      </c>
      <c r="F4" s="17" t="str">
        <f t="shared" si="0"/>
        <v>Подтверждено</v>
      </c>
      <c r="G4" s="14" t="s">
        <v>555</v>
      </c>
    </row>
    <row r="5" spans="1:7" ht="28.5">
      <c r="A5" s="4">
        <v>3</v>
      </c>
      <c r="B5" s="7" t="s">
        <v>160</v>
      </c>
      <c r="C5" s="4" t="s">
        <v>161</v>
      </c>
      <c r="D5" s="19" t="s">
        <v>616</v>
      </c>
      <c r="E5" s="17">
        <v>4</v>
      </c>
      <c r="F5" s="17" t="str">
        <f t="shared" si="0"/>
        <v>Подтверждено</v>
      </c>
      <c r="G5" s="14" t="s">
        <v>556</v>
      </c>
    </row>
    <row r="6" spans="1:7" ht="14.25">
      <c r="A6" s="4">
        <v>4</v>
      </c>
      <c r="B6" s="7" t="s">
        <v>162</v>
      </c>
      <c r="C6" s="4" t="s">
        <v>163</v>
      </c>
      <c r="D6" s="19" t="s">
        <v>617</v>
      </c>
      <c r="E6" s="17">
        <v>5</v>
      </c>
      <c r="F6" s="17" t="str">
        <f t="shared" si="0"/>
        <v>Подтверждено</v>
      </c>
      <c r="G6" s="14" t="s">
        <v>557</v>
      </c>
    </row>
    <row r="7" spans="1:7" ht="14.25">
      <c r="A7" s="4">
        <v>5</v>
      </c>
      <c r="B7" s="7" t="s">
        <v>164</v>
      </c>
      <c r="C7" s="4" t="s">
        <v>165</v>
      </c>
      <c r="D7" s="19" t="s">
        <v>618</v>
      </c>
      <c r="E7" s="17">
        <v>4</v>
      </c>
      <c r="F7" s="17" t="str">
        <f t="shared" si="0"/>
        <v>Подтверждено</v>
      </c>
      <c r="G7" s="14" t="s">
        <v>558</v>
      </c>
    </row>
    <row r="8" spans="1:7" ht="28.5">
      <c r="A8" s="4">
        <v>6</v>
      </c>
      <c r="B8" s="7" t="s">
        <v>166</v>
      </c>
      <c r="C8" s="7" t="s">
        <v>167</v>
      </c>
      <c r="D8" s="19" t="s">
        <v>619</v>
      </c>
      <c r="E8" s="17">
        <v>3</v>
      </c>
      <c r="F8" s="17" t="str">
        <f t="shared" si="0"/>
        <v>Подтверждено частично</v>
      </c>
      <c r="G8" s="14" t="s">
        <v>559</v>
      </c>
    </row>
    <row r="9" spans="1:7" ht="28.5">
      <c r="A9" s="4">
        <v>7</v>
      </c>
      <c r="B9" s="7" t="s">
        <v>168</v>
      </c>
      <c r="C9" s="4" t="s">
        <v>169</v>
      </c>
      <c r="D9" s="19" t="s">
        <v>620</v>
      </c>
      <c r="E9" s="17">
        <v>3</v>
      </c>
      <c r="F9" s="17" t="str">
        <f t="shared" si="0"/>
        <v>Подтверждено частично</v>
      </c>
      <c r="G9" s="14" t="s">
        <v>560</v>
      </c>
    </row>
    <row r="10" spans="1:7" ht="28.5">
      <c r="A10" s="4">
        <v>8</v>
      </c>
      <c r="B10" s="7" t="s">
        <v>170</v>
      </c>
      <c r="C10" s="4" t="s">
        <v>169</v>
      </c>
      <c r="D10" s="19" t="s">
        <v>561</v>
      </c>
      <c r="E10" s="17">
        <v>4</v>
      </c>
      <c r="F10" s="17" t="str">
        <f t="shared" si="0"/>
        <v>Подтверждено</v>
      </c>
      <c r="G10" s="14" t="s">
        <v>562</v>
      </c>
    </row>
    <row r="11" spans="1:7" ht="28.5">
      <c r="A11" s="4">
        <v>9</v>
      </c>
      <c r="B11" s="7" t="s">
        <v>171</v>
      </c>
      <c r="C11" s="4" t="s">
        <v>169</v>
      </c>
      <c r="D11" s="19" t="s">
        <v>621</v>
      </c>
      <c r="E11" s="17">
        <v>3</v>
      </c>
      <c r="F11" s="17" t="str">
        <f t="shared" si="0"/>
        <v>Подтверждено частично</v>
      </c>
      <c r="G11" s="14" t="s">
        <v>563</v>
      </c>
    </row>
    <row r="12" spans="1:7" ht="14.25">
      <c r="A12" s="4">
        <v>10</v>
      </c>
      <c r="B12" s="7" t="s">
        <v>172</v>
      </c>
      <c r="C12" s="4" t="s">
        <v>173</v>
      </c>
      <c r="D12" s="19" t="s">
        <v>564</v>
      </c>
      <c r="E12" s="17">
        <v>5</v>
      </c>
      <c r="F12" s="17" t="str">
        <f t="shared" si="0"/>
        <v>Подтверждено</v>
      </c>
      <c r="G12" s="14" t="s">
        <v>565</v>
      </c>
    </row>
    <row r="13" spans="1:7" ht="28.5">
      <c r="A13" s="4">
        <v>11</v>
      </c>
      <c r="B13" s="7" t="s">
        <v>174</v>
      </c>
      <c r="C13" s="7" t="s">
        <v>175</v>
      </c>
      <c r="D13" s="19" t="s">
        <v>622</v>
      </c>
      <c r="E13" s="17">
        <v>3</v>
      </c>
      <c r="F13" s="17" t="str">
        <f t="shared" si="0"/>
        <v>Подтверждено частично</v>
      </c>
      <c r="G13" s="14" t="s">
        <v>566</v>
      </c>
    </row>
    <row r="14" spans="1:7" ht="14.25">
      <c r="A14" s="5">
        <v>12</v>
      </c>
      <c r="B14" s="8" t="s">
        <v>176</v>
      </c>
      <c r="C14" s="5" t="s">
        <v>177</v>
      </c>
      <c r="D14" s="20" t="s">
        <v>567</v>
      </c>
      <c r="E14" s="12">
        <v>4</v>
      </c>
      <c r="F14" s="12" t="str">
        <f t="shared" si="0"/>
        <v>Подтверждено</v>
      </c>
      <c r="G14" s="21" t="s">
        <v>568</v>
      </c>
    </row>
  </sheetData>
  <mergeCells count="1">
    <mergeCell ref="A1:G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3.5"/>
  <cols>
    <col min="1" max="1" width="35.0625" customWidth="1"/>
    <col min="2" max="2" width="52.5625" customWidth="1"/>
    <col min="3" max="3" width="42.4375" customWidth="1"/>
    <col min="4" max="4" width="52.5625" customWidth="1"/>
    <col min="5" max="5" width="13" customWidth="1"/>
  </cols>
  <sheetData>
    <row r="1" spans="1:5" ht="20" customHeight="1">
      <c r="A1" s="22" t="s">
        <v>178</v>
      </c>
      <c r="B1" s="22"/>
      <c r="C1" s="22"/>
      <c r="D1" s="22"/>
      <c r="E1" s="23"/>
    </row>
    <row r="2" spans="1:5" ht="14.25">
      <c r="A2" s="3" t="s">
        <v>179</v>
      </c>
      <c r="B2" s="3" t="s">
        <v>180</v>
      </c>
      <c r="C2" s="3" t="s">
        <v>181</v>
      </c>
      <c r="D2" s="3" t="s">
        <v>150</v>
      </c>
      <c r="E2" s="10" t="s">
        <v>89</v>
      </c>
    </row>
    <row r="3" spans="1:5" ht="42.75">
      <c r="A3" s="7" t="s">
        <v>182</v>
      </c>
      <c r="B3" s="19" t="str">
        <f>IFERROR(INDEX('02_Канвас'!$D$3:$D$11,MATCH("Клиентские сегменты",'02_Канвас'!$A$3:$A$11,0)),"")</f>
        <v>Финансовые аналитики и FP&amp;A, бухгалтеры и аудиторы, консультанты по управлению, МСП с финансовой функцией (англоязычные страны и ЕС)</v>
      </c>
      <c r="C3" s="4" t="s">
        <v>183</v>
      </c>
      <c r="D3" s="7" t="s">
        <v>184</v>
      </c>
      <c r="E3" s="18" t="str">
        <f t="shared" ref="E3:E16" si="0">IF(B3="","-","Заполнено")</f>
        <v>Заполнено</v>
      </c>
    </row>
    <row r="4" spans="1:5" ht="28.5">
      <c r="A4" s="7" t="s">
        <v>185</v>
      </c>
      <c r="B4" s="19" t="s">
        <v>569</v>
      </c>
      <c r="C4" s="7" t="s">
        <v>186</v>
      </c>
      <c r="D4" s="7" t="s">
        <v>187</v>
      </c>
      <c r="E4" s="18" t="str">
        <f t="shared" si="0"/>
        <v>Заполнено</v>
      </c>
    </row>
    <row r="5" spans="1:5" ht="71.25">
      <c r="A5" s="7" t="s">
        <v>55</v>
      </c>
      <c r="B5" s="19" t="s">
        <v>412</v>
      </c>
      <c r="C5" s="7" t="s">
        <v>188</v>
      </c>
      <c r="D5" s="7" t="s">
        <v>189</v>
      </c>
      <c r="E5" s="18" t="str">
        <f t="shared" si="0"/>
        <v>Заполнено</v>
      </c>
    </row>
    <row r="6" spans="1:5" ht="28.5">
      <c r="A6" s="7" t="s">
        <v>96</v>
      </c>
      <c r="B6" s="19" t="s">
        <v>623</v>
      </c>
      <c r="C6" s="4" t="s">
        <v>161</v>
      </c>
      <c r="D6" s="7" t="s">
        <v>190</v>
      </c>
      <c r="E6" s="18" t="str">
        <f t="shared" si="0"/>
        <v>Заполнено</v>
      </c>
    </row>
    <row r="7" spans="1:5" ht="28.5">
      <c r="A7" s="7" t="s">
        <v>115</v>
      </c>
      <c r="B7" s="19" t="s">
        <v>624</v>
      </c>
      <c r="C7" s="4" t="s">
        <v>163</v>
      </c>
      <c r="D7" s="7" t="s">
        <v>191</v>
      </c>
      <c r="E7" s="18" t="str">
        <f t="shared" si="0"/>
        <v>Заполнено</v>
      </c>
    </row>
    <row r="8" spans="1:5" ht="28.5">
      <c r="A8" s="7" t="s">
        <v>58</v>
      </c>
      <c r="B8" s="19" t="s">
        <v>570</v>
      </c>
      <c r="C8" s="7" t="s">
        <v>192</v>
      </c>
      <c r="D8" s="7" t="s">
        <v>193</v>
      </c>
      <c r="E8" s="18" t="str">
        <f t="shared" si="0"/>
        <v>Заполнено</v>
      </c>
    </row>
    <row r="9" spans="1:5" ht="28.5">
      <c r="A9" s="7" t="s">
        <v>61</v>
      </c>
      <c r="B9" s="19" t="s">
        <v>571</v>
      </c>
      <c r="C9" s="7" t="s">
        <v>192</v>
      </c>
      <c r="D9" s="7" t="s">
        <v>194</v>
      </c>
      <c r="E9" s="18" t="str">
        <f t="shared" si="0"/>
        <v>Заполнено</v>
      </c>
    </row>
    <row r="10" spans="1:5" ht="14.25">
      <c r="A10" s="7" t="s">
        <v>64</v>
      </c>
      <c r="B10" s="19" t="s">
        <v>572</v>
      </c>
      <c r="C10" s="4" t="s">
        <v>195</v>
      </c>
      <c r="D10" s="7" t="s">
        <v>196</v>
      </c>
      <c r="E10" s="18" t="str">
        <f t="shared" si="0"/>
        <v>Заполнено</v>
      </c>
    </row>
    <row r="11" spans="1:5" ht="28.5">
      <c r="A11" s="7" t="s">
        <v>67</v>
      </c>
      <c r="B11" s="19" t="s">
        <v>573</v>
      </c>
      <c r="C11" s="7" t="s">
        <v>197</v>
      </c>
      <c r="D11" s="7" t="s">
        <v>198</v>
      </c>
      <c r="E11" s="18" t="str">
        <f t="shared" si="0"/>
        <v>Заполнено</v>
      </c>
    </row>
    <row r="12" spans="1:5" ht="28.5">
      <c r="A12" s="7" t="s">
        <v>70</v>
      </c>
      <c r="B12" s="19" t="s">
        <v>574</v>
      </c>
      <c r="C12" s="7" t="s">
        <v>197</v>
      </c>
      <c r="D12" s="7" t="s">
        <v>199</v>
      </c>
      <c r="E12" s="18" t="str">
        <f t="shared" si="0"/>
        <v>Заполнено</v>
      </c>
    </row>
    <row r="13" spans="1:5" ht="28.5">
      <c r="A13" s="7" t="s">
        <v>73</v>
      </c>
      <c r="B13" s="19" t="s">
        <v>575</v>
      </c>
      <c r="C13" s="7" t="s">
        <v>197</v>
      </c>
      <c r="D13" s="7" t="s">
        <v>200</v>
      </c>
      <c r="E13" s="18" t="str">
        <f t="shared" si="0"/>
        <v>Заполнено</v>
      </c>
    </row>
    <row r="14" spans="1:5" ht="28.5">
      <c r="A14" s="7" t="s">
        <v>76</v>
      </c>
      <c r="B14" s="19" t="s">
        <v>576</v>
      </c>
      <c r="C14" s="4" t="s">
        <v>201</v>
      </c>
      <c r="D14" s="7" t="s">
        <v>202</v>
      </c>
      <c r="E14" s="18" t="str">
        <f t="shared" si="0"/>
        <v>Заполнено</v>
      </c>
    </row>
    <row r="15" spans="1:5" ht="28.5">
      <c r="A15" s="7" t="s">
        <v>203</v>
      </c>
      <c r="B15" s="19" t="s">
        <v>577</v>
      </c>
      <c r="C15" s="7" t="s">
        <v>204</v>
      </c>
      <c r="D15" s="7" t="s">
        <v>205</v>
      </c>
      <c r="E15" s="18" t="str">
        <f t="shared" si="0"/>
        <v>Заполнено</v>
      </c>
    </row>
    <row r="16" spans="1:5" ht="42.75">
      <c r="A16" s="8" t="s">
        <v>206</v>
      </c>
      <c r="B16" s="20" t="s">
        <v>625</v>
      </c>
      <c r="C16" s="5" t="s">
        <v>23</v>
      </c>
      <c r="D16" s="8" t="s">
        <v>207</v>
      </c>
      <c r="E16" s="13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/>
  </sheetViews>
  <sheetFormatPr defaultRowHeight="13.5"/>
  <cols>
    <col min="1" max="1" width="47.6875" customWidth="1"/>
    <col min="2" max="2" width="52.5625" customWidth="1"/>
    <col min="3" max="3" width="37.1875" customWidth="1"/>
    <col min="4" max="4" width="10.5625" customWidth="1"/>
    <col min="5" max="5" width="11.9375" customWidth="1"/>
    <col min="6" max="8" width="10.5625" customWidth="1"/>
  </cols>
  <sheetData>
    <row r="1" spans="1:8" ht="20" customHeight="1">
      <c r="A1" s="22" t="s">
        <v>208</v>
      </c>
      <c r="B1" s="22"/>
      <c r="C1" s="29"/>
      <c r="D1" s="29"/>
      <c r="E1" s="29"/>
      <c r="F1" s="29"/>
      <c r="G1" s="29"/>
      <c r="H1" s="30"/>
    </row>
    <row r="2" spans="1:8" ht="14.25">
      <c r="A2" s="3" t="s">
        <v>209</v>
      </c>
      <c r="B2" s="10" t="s">
        <v>210</v>
      </c>
      <c r="C2" s="1"/>
      <c r="D2" s="1"/>
      <c r="E2" s="1"/>
      <c r="F2" s="1"/>
      <c r="G2" s="1"/>
      <c r="H2" s="1"/>
    </row>
    <row r="3" spans="1:8" ht="14.25">
      <c r="A3" s="19" t="s">
        <v>211</v>
      </c>
      <c r="B3" s="15">
        <f>IFERROR(AVERAGE('02_Канвас'!G3:G11)/5,0)</f>
        <v>0.82222222222222219</v>
      </c>
      <c r="C3" s="2"/>
      <c r="D3" s="2"/>
      <c r="E3" s="2"/>
      <c r="F3" s="1"/>
      <c r="G3" s="1"/>
      <c r="H3" s="1"/>
    </row>
    <row r="4" spans="1:8" ht="14.25">
      <c r="A4" s="19" t="s">
        <v>212</v>
      </c>
      <c r="B4" s="15">
        <f>IFERROR(AVERAGE('02_Канвас'!F3:F11)/5,0)</f>
        <v>0.82222222222222219</v>
      </c>
      <c r="C4" s="2"/>
      <c r="D4" s="2"/>
      <c r="E4" s="2"/>
      <c r="F4" s="1"/>
      <c r="G4" s="1"/>
      <c r="H4" s="1"/>
    </row>
    <row r="5" spans="1:8" ht="14.25">
      <c r="A5" s="19" t="s">
        <v>213</v>
      </c>
      <c r="B5" s="15">
        <f>IFERROR(1-AVERAGE('02_Канвас'!H3:H11)/5,0)</f>
        <v>0.55555555555555558</v>
      </c>
      <c r="C5" s="2"/>
      <c r="D5" s="2"/>
      <c r="E5" s="2"/>
      <c r="F5" s="1"/>
      <c r="G5" s="1"/>
      <c r="H5" s="1"/>
    </row>
    <row r="6" spans="1:8" ht="14.25">
      <c r="A6" s="19" t="s">
        <v>214</v>
      </c>
      <c r="B6" s="15">
        <f>IFERROR(COUNTIF('02_Канвас'!J3:J11,"Готово")/9,0)</f>
        <v>0.66666666666666663</v>
      </c>
      <c r="C6" s="2"/>
      <c r="D6" s="2"/>
      <c r="E6" s="2"/>
      <c r="F6" s="1"/>
      <c r="G6" s="1"/>
      <c r="H6" s="1"/>
    </row>
    <row r="7" spans="1:8" ht="14.25">
      <c r="A7" s="19" t="s">
        <v>215</v>
      </c>
      <c r="B7" s="16">
        <f>COUNTA('01_Данные_анализа'!F3:F16)</f>
        <v>14</v>
      </c>
      <c r="C7" s="2"/>
      <c r="D7" s="2"/>
      <c r="E7" s="2"/>
      <c r="F7" s="1"/>
      <c r="G7" s="1"/>
      <c r="H7" s="1"/>
    </row>
    <row r="8" spans="1:8" ht="14.25">
      <c r="A8" s="19" t="s">
        <v>216</v>
      </c>
      <c r="B8" s="15">
        <f>IFERROR(COUNTIF('09_Проверка_связности'!F3:F14,"Подтверждено")/COUNTA('09_Проверка_связности'!A3:A14),0)</f>
        <v>0.66666666666666663</v>
      </c>
      <c r="C8" s="2"/>
      <c r="D8" s="2"/>
      <c r="E8" s="2"/>
      <c r="F8" s="1"/>
      <c r="G8" s="1"/>
      <c r="H8" s="1"/>
    </row>
    <row r="9" spans="1:8" ht="14.25">
      <c r="A9" s="3" t="s">
        <v>38</v>
      </c>
      <c r="B9" s="3" t="s">
        <v>217</v>
      </c>
      <c r="C9" s="3" t="s">
        <v>218</v>
      </c>
      <c r="D9" s="3" t="s">
        <v>219</v>
      </c>
      <c r="E9" s="10" t="s">
        <v>89</v>
      </c>
      <c r="F9" s="1"/>
      <c r="G9" s="1"/>
      <c r="H9" s="1"/>
    </row>
    <row r="10" spans="1:8" ht="14.25">
      <c r="A10" s="7" t="str">
        <f>'02_Канвас'!A3</f>
        <v>Клиентские сегменты</v>
      </c>
      <c r="B10" s="4">
        <f>'02_Канвас'!F3</f>
        <v>4</v>
      </c>
      <c r="C10" s="4">
        <f>'02_Канвас'!G3</f>
        <v>5</v>
      </c>
      <c r="D10" s="4">
        <f>'02_Канвас'!H3</f>
        <v>2</v>
      </c>
      <c r="E10" s="16" t="str">
        <f>'02_Канвас'!J3</f>
        <v>Готово</v>
      </c>
      <c r="F10" s="1"/>
      <c r="G10" s="1"/>
      <c r="H10" s="1"/>
    </row>
    <row r="11" spans="1:8" ht="14.25">
      <c r="A11" s="7" t="str">
        <f>'02_Канвас'!A4</f>
        <v>Ценностное предложение</v>
      </c>
      <c r="B11" s="4">
        <f>'02_Канвас'!F4</f>
        <v>5</v>
      </c>
      <c r="C11" s="4">
        <f>'02_Канвас'!G4</f>
        <v>4</v>
      </c>
      <c r="D11" s="4">
        <f>'02_Канвас'!H4</f>
        <v>2</v>
      </c>
      <c r="E11" s="16" t="str">
        <f>'02_Канвас'!J4</f>
        <v>Готово</v>
      </c>
      <c r="F11" s="1"/>
      <c r="G11" s="1"/>
      <c r="H11" s="1"/>
    </row>
    <row r="12" spans="1:8" ht="14.25">
      <c r="A12" s="7" t="str">
        <f>'02_Канвас'!A5</f>
        <v>Каналы</v>
      </c>
      <c r="B12" s="4">
        <f>'02_Канвас'!F5</f>
        <v>3</v>
      </c>
      <c r="C12" s="4">
        <f>'02_Канвас'!G5</f>
        <v>4</v>
      </c>
      <c r="D12" s="4">
        <f>'02_Канвас'!H5</f>
        <v>3</v>
      </c>
      <c r="E12" s="16" t="str">
        <f>'02_Канвас'!J5</f>
        <v>Частично</v>
      </c>
      <c r="F12" s="1"/>
      <c r="G12" s="1"/>
      <c r="H12" s="1"/>
    </row>
    <row r="13" spans="1:8" ht="14.25">
      <c r="A13" s="7" t="str">
        <f>'02_Канвас'!A6</f>
        <v>Отношения с клиентами</v>
      </c>
      <c r="B13" s="4">
        <f>'02_Канвас'!F6</f>
        <v>4</v>
      </c>
      <c r="C13" s="4">
        <f>'02_Канвас'!G6</f>
        <v>5</v>
      </c>
      <c r="D13" s="4">
        <f>'02_Канвас'!H6</f>
        <v>1</v>
      </c>
      <c r="E13" s="16" t="str">
        <f>'02_Канвас'!J6</f>
        <v>Готово</v>
      </c>
      <c r="F13" s="1"/>
      <c r="G13" s="1"/>
      <c r="H13" s="1"/>
    </row>
    <row r="14" spans="1:8" ht="14.25">
      <c r="A14" s="7" t="str">
        <f>'02_Канвас'!A7</f>
        <v>Потоки доходов</v>
      </c>
      <c r="B14" s="4">
        <f>'02_Канвас'!F7</f>
        <v>5</v>
      </c>
      <c r="C14" s="4">
        <f>'02_Канвас'!G7</f>
        <v>4</v>
      </c>
      <c r="D14" s="4">
        <f>'02_Канвас'!H7</f>
        <v>2</v>
      </c>
      <c r="E14" s="16" t="str">
        <f>'02_Канвас'!J7</f>
        <v>Готово</v>
      </c>
      <c r="F14" s="1"/>
      <c r="G14" s="1"/>
      <c r="H14" s="1"/>
    </row>
    <row r="15" spans="1:8" ht="14.25">
      <c r="A15" s="7" t="str">
        <f>'02_Канвас'!A8</f>
        <v>Ключевые ресурсы</v>
      </c>
      <c r="B15" s="4">
        <f>'02_Канвас'!F8</f>
        <v>4</v>
      </c>
      <c r="C15" s="4">
        <f>'02_Канвас'!G8</f>
        <v>3</v>
      </c>
      <c r="D15" s="4">
        <f>'02_Канвас'!H8</f>
        <v>3</v>
      </c>
      <c r="E15" s="16" t="str">
        <f>'02_Канвас'!J8</f>
        <v>Частично</v>
      </c>
      <c r="F15" s="1"/>
      <c r="G15" s="1"/>
      <c r="H15" s="1"/>
    </row>
    <row r="16" spans="1:8" ht="14.25">
      <c r="A16" s="7" t="str">
        <f>'02_Канвас'!A9</f>
        <v>Ключевые виды деятельности</v>
      </c>
      <c r="B16" s="4">
        <f>'02_Канвас'!F9</f>
        <v>4</v>
      </c>
      <c r="C16" s="4">
        <f>'02_Канвас'!G9</f>
        <v>4</v>
      </c>
      <c r="D16" s="4">
        <f>'02_Канвас'!H9</f>
        <v>1</v>
      </c>
      <c r="E16" s="16" t="str">
        <f>'02_Канвас'!J9</f>
        <v>Готово</v>
      </c>
      <c r="F16" s="1"/>
      <c r="G16" s="1"/>
      <c r="H16" s="1"/>
    </row>
    <row r="17" spans="1:8" ht="14.25">
      <c r="A17" s="7" t="str">
        <f>'02_Канвас'!A10</f>
        <v>Ключевые партнеры</v>
      </c>
      <c r="B17" s="4">
        <f>'02_Канвас'!F10</f>
        <v>3</v>
      </c>
      <c r="C17" s="4">
        <f>'02_Канвас'!G10</f>
        <v>3</v>
      </c>
      <c r="D17" s="4">
        <f>'02_Канвас'!H10</f>
        <v>4</v>
      </c>
      <c r="E17" s="16" t="str">
        <f>'02_Канвас'!J10</f>
        <v>Частично</v>
      </c>
      <c r="F17" s="1"/>
      <c r="G17" s="1"/>
      <c r="H17" s="1"/>
    </row>
    <row r="18" spans="1:8" ht="14.25">
      <c r="A18" s="7" t="str">
        <f>'02_Канвас'!A11</f>
        <v>Структура затрат</v>
      </c>
      <c r="B18" s="4">
        <f>'02_Канвас'!F11</f>
        <v>5</v>
      </c>
      <c r="C18" s="4">
        <f>'02_Канвас'!G11</f>
        <v>5</v>
      </c>
      <c r="D18" s="5">
        <f>'02_Канвас'!H11</f>
        <v>2</v>
      </c>
      <c r="E18" s="6" t="str">
        <f>'02_Канвас'!J11</f>
        <v>Готово</v>
      </c>
      <c r="F18" s="1"/>
      <c r="G18" s="1"/>
      <c r="H18" s="1"/>
    </row>
    <row r="19" spans="1:8" ht="14.25">
      <c r="A19" s="3" t="s">
        <v>220</v>
      </c>
      <c r="B19" s="3" t="s">
        <v>221</v>
      </c>
      <c r="C19" s="10" t="s">
        <v>154</v>
      </c>
      <c r="D19" s="2"/>
      <c r="E19" s="2"/>
      <c r="F19" s="1"/>
      <c r="G19" s="1"/>
      <c r="H19" s="1"/>
    </row>
    <row r="20" spans="1:8" ht="14.25">
      <c r="A20" s="7" t="s">
        <v>222</v>
      </c>
      <c r="B20" s="4" t="s">
        <v>223</v>
      </c>
      <c r="C20" s="16" t="str">
        <f>IF(AND(B3&gt;=0.8,B4&gt;=0.8,B5&gt;=0.8,B6&gt;=0.8,B8&gt;=0.8),"Да","Нет")</f>
        <v>Нет</v>
      </c>
      <c r="D20" s="2"/>
      <c r="E20" s="2"/>
      <c r="F20" s="1"/>
      <c r="G20" s="1"/>
      <c r="H20" s="1"/>
    </row>
    <row r="21" spans="1:8" ht="14.25">
      <c r="A21" s="7" t="s">
        <v>224</v>
      </c>
      <c r="B21" s="4" t="s">
        <v>225</v>
      </c>
      <c r="C21" s="16" t="str">
        <f>IF(AND(B3&gt;=0.6,B4&gt;=0.6,B5&gt;=0.6,B6&gt;=0.6,B8&gt;=0.6),"Да","Нет")</f>
        <v>Нет</v>
      </c>
      <c r="D21" s="2"/>
      <c r="E21" s="2"/>
      <c r="F21" s="1"/>
      <c r="G21" s="1"/>
      <c r="H21" s="1"/>
    </row>
    <row r="22" spans="1:8" ht="14.25">
      <c r="A22" s="7" t="s">
        <v>226</v>
      </c>
      <c r="B22" s="7" t="s">
        <v>227</v>
      </c>
      <c r="C22" s="16" t="str">
        <f>IF(OR(B3&lt;0.6,B4&lt;0.6,B5&lt;0.6,B8&lt;0.6),"Да","Нет")</f>
        <v>Да</v>
      </c>
      <c r="D22" s="2"/>
      <c r="E22" s="2"/>
      <c r="F22" s="1"/>
      <c r="G22" s="1"/>
      <c r="H22" s="1"/>
    </row>
    <row r="23" spans="1:8" ht="14.25">
      <c r="A23" s="8" t="s">
        <v>228</v>
      </c>
      <c r="B23" s="8" t="s">
        <v>229</v>
      </c>
      <c r="C23" s="9" t="str">
        <f>IF(C20="Да","Можно оформлять итоговую бизнес-модель",IF(C21="Да","Гипотезы подтверждены частично","Исходные данные связаны частично"))</f>
        <v>Исходные данные связаны частично</v>
      </c>
      <c r="D23" s="2"/>
      <c r="E23" s="2"/>
      <c r="F23" s="1"/>
      <c r="G23" s="1"/>
      <c r="H23" s="1"/>
    </row>
  </sheetData>
  <mergeCells count="1">
    <mergeCell ref="A1:H1"/>
  </mergeCells>
  <conditionalFormatting sqref="B10:D18">
    <cfRule type="dataBar" priority="3">
      <dataBar>
        <cfvo type="min"/>
        <cfvo type="max"/>
        <color rgb="FF5B9BD5"/>
      </dataBar>
    </cfRule>
  </conditionalFormatting>
  <conditionalFormatting sqref="B10:D18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B10:D18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/>
  </sheetViews>
  <sheetFormatPr defaultRowHeight="13.5"/>
  <cols>
    <col min="1" max="1" width="39.25" customWidth="1"/>
    <col min="2" max="2" width="30.875" customWidth="1"/>
    <col min="3" max="3" width="14.0625" customWidth="1"/>
    <col min="4" max="4" width="13" customWidth="1"/>
    <col min="5" max="5" width="32.9375" customWidth="1"/>
    <col min="6" max="6" width="28.75" customWidth="1"/>
    <col min="7" max="7" width="32.9375" customWidth="1"/>
    <col min="8" max="8" width="20.375" customWidth="1"/>
    <col min="9" max="9" width="21.4375" customWidth="1"/>
    <col min="10" max="10" width="27.6875" customWidth="1"/>
    <col min="11" max="11" width="28.75" customWidth="1"/>
  </cols>
  <sheetData>
    <row r="1" spans="1:11" ht="20" customHeight="1">
      <c r="A1" s="22" t="s">
        <v>230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25">
      <c r="A2" s="3" t="s">
        <v>231</v>
      </c>
      <c r="B2" s="3" t="s">
        <v>38</v>
      </c>
      <c r="C2" s="3" t="s">
        <v>153</v>
      </c>
      <c r="D2" s="3" t="s">
        <v>89</v>
      </c>
      <c r="E2" s="3" t="s">
        <v>97</v>
      </c>
      <c r="F2" s="3" t="s">
        <v>101</v>
      </c>
      <c r="G2" s="3" t="s">
        <v>119</v>
      </c>
      <c r="H2" s="3" t="s">
        <v>140</v>
      </c>
      <c r="I2" s="3" t="s">
        <v>107</v>
      </c>
      <c r="J2" s="3" t="s">
        <v>135</v>
      </c>
      <c r="K2" s="10" t="s">
        <v>232</v>
      </c>
    </row>
    <row r="3" spans="1:11" ht="14.25">
      <c r="A3" s="7" t="s">
        <v>233</v>
      </c>
      <c r="B3" s="4" t="s">
        <v>52</v>
      </c>
      <c r="C3" s="4">
        <v>1</v>
      </c>
      <c r="D3" s="4" t="s">
        <v>590</v>
      </c>
      <c r="E3" s="4" t="s">
        <v>234</v>
      </c>
      <c r="F3" s="4" t="s">
        <v>235</v>
      </c>
      <c r="G3" s="4" t="s">
        <v>236</v>
      </c>
      <c r="H3" s="4" t="s">
        <v>237</v>
      </c>
      <c r="I3" s="4" t="s">
        <v>238</v>
      </c>
      <c r="J3" s="4" t="s">
        <v>239</v>
      </c>
      <c r="K3" s="16" t="s">
        <v>240</v>
      </c>
    </row>
    <row r="4" spans="1:11" ht="14.25">
      <c r="A4" s="7" t="s">
        <v>241</v>
      </c>
      <c r="B4" s="4" t="s">
        <v>55</v>
      </c>
      <c r="C4" s="4">
        <v>2</v>
      </c>
      <c r="D4" s="4" t="s">
        <v>626</v>
      </c>
      <c r="E4" s="4" t="s">
        <v>242</v>
      </c>
      <c r="F4" s="4" t="s">
        <v>243</v>
      </c>
      <c r="G4" s="4" t="s">
        <v>244</v>
      </c>
      <c r="H4" s="4" t="s">
        <v>245</v>
      </c>
      <c r="I4" s="4" t="s">
        <v>246</v>
      </c>
      <c r="J4" s="4" t="s">
        <v>247</v>
      </c>
      <c r="K4" s="16" t="s">
        <v>248</v>
      </c>
    </row>
    <row r="5" spans="1:11" ht="14.25">
      <c r="A5" s="7" t="s">
        <v>249</v>
      </c>
      <c r="B5" s="4" t="s">
        <v>58</v>
      </c>
      <c r="C5" s="4">
        <v>3</v>
      </c>
      <c r="D5" s="4" t="s">
        <v>250</v>
      </c>
      <c r="E5" s="4" t="s">
        <v>251</v>
      </c>
      <c r="F5" s="4" t="s">
        <v>252</v>
      </c>
      <c r="G5" s="4" t="s">
        <v>253</v>
      </c>
      <c r="H5" s="4" t="s">
        <v>254</v>
      </c>
      <c r="I5" s="4" t="s">
        <v>255</v>
      </c>
      <c r="J5" s="4" t="s">
        <v>256</v>
      </c>
      <c r="K5" s="16" t="s">
        <v>257</v>
      </c>
    </row>
    <row r="6" spans="1:11" ht="14.25">
      <c r="A6" s="7" t="s">
        <v>258</v>
      </c>
      <c r="B6" s="4" t="s">
        <v>61</v>
      </c>
      <c r="C6" s="4">
        <v>4</v>
      </c>
      <c r="D6" s="4" t="s">
        <v>626</v>
      </c>
      <c r="E6" s="4" t="s">
        <v>259</v>
      </c>
      <c r="F6" s="4" t="s">
        <v>260</v>
      </c>
      <c r="G6" s="4" t="s">
        <v>261</v>
      </c>
      <c r="H6" s="4" t="s">
        <v>262</v>
      </c>
      <c r="I6" s="4" t="s">
        <v>263</v>
      </c>
      <c r="J6" s="4" t="s">
        <v>264</v>
      </c>
      <c r="K6" s="16" t="s">
        <v>265</v>
      </c>
    </row>
    <row r="7" spans="1:11" ht="14.25">
      <c r="A7" s="7" t="s">
        <v>266</v>
      </c>
      <c r="B7" s="4" t="s">
        <v>64</v>
      </c>
      <c r="C7" s="4">
        <v>5</v>
      </c>
      <c r="D7" s="4" t="s">
        <v>267</v>
      </c>
      <c r="E7" s="4" t="s">
        <v>268</v>
      </c>
      <c r="F7" s="4" t="s">
        <v>269</v>
      </c>
      <c r="G7" s="4" t="s">
        <v>270</v>
      </c>
      <c r="H7" s="4" t="s">
        <v>271</v>
      </c>
      <c r="I7" s="4" t="s">
        <v>272</v>
      </c>
      <c r="J7" s="4" t="s">
        <v>273</v>
      </c>
      <c r="K7" s="16" t="s">
        <v>274</v>
      </c>
    </row>
    <row r="8" spans="1:11" ht="14.25">
      <c r="A8" s="7" t="s">
        <v>275</v>
      </c>
      <c r="B8" s="4" t="s">
        <v>67</v>
      </c>
      <c r="C8" s="4" t="s">
        <v>590</v>
      </c>
      <c r="D8" s="4" t="s">
        <v>276</v>
      </c>
      <c r="E8" s="4" t="s">
        <v>277</v>
      </c>
      <c r="F8" s="4" t="s">
        <v>278</v>
      </c>
      <c r="G8" s="4" t="s">
        <v>279</v>
      </c>
      <c r="H8" s="4" t="s">
        <v>280</v>
      </c>
      <c r="I8" s="4" t="s">
        <v>281</v>
      </c>
      <c r="J8" s="4" t="s">
        <v>590</v>
      </c>
      <c r="K8" s="16" t="s">
        <v>282</v>
      </c>
    </row>
    <row r="9" spans="1:11" ht="14.25">
      <c r="A9" s="7" t="s">
        <v>283</v>
      </c>
      <c r="B9" s="4" t="s">
        <v>70</v>
      </c>
      <c r="C9" s="4" t="s">
        <v>590</v>
      </c>
      <c r="D9" s="4" t="s">
        <v>590</v>
      </c>
      <c r="E9" s="4" t="s">
        <v>284</v>
      </c>
      <c r="F9" s="4" t="s">
        <v>590</v>
      </c>
      <c r="G9" s="4" t="s">
        <v>285</v>
      </c>
      <c r="H9" s="4" t="s">
        <v>286</v>
      </c>
      <c r="I9" s="4" t="s">
        <v>287</v>
      </c>
      <c r="J9" s="4" t="s">
        <v>590</v>
      </c>
      <c r="K9" s="16" t="s">
        <v>590</v>
      </c>
    </row>
    <row r="10" spans="1:11" ht="14.25">
      <c r="A10" s="7" t="s">
        <v>288</v>
      </c>
      <c r="B10" s="4" t="s">
        <v>73</v>
      </c>
      <c r="C10" s="4" t="s">
        <v>590</v>
      </c>
      <c r="D10" s="4" t="s">
        <v>590</v>
      </c>
      <c r="E10" s="4" t="s">
        <v>289</v>
      </c>
      <c r="F10" s="4" t="s">
        <v>590</v>
      </c>
      <c r="G10" s="4" t="s">
        <v>290</v>
      </c>
      <c r="H10" s="4" t="s">
        <v>291</v>
      </c>
      <c r="I10" s="4" t="s">
        <v>292</v>
      </c>
      <c r="J10" s="4" t="s">
        <v>590</v>
      </c>
      <c r="K10" s="16" t="s">
        <v>590</v>
      </c>
    </row>
    <row r="11" spans="1:11" ht="14.25">
      <c r="A11" s="7" t="s">
        <v>293</v>
      </c>
      <c r="B11" s="4" t="s">
        <v>76</v>
      </c>
      <c r="C11" s="4" t="s">
        <v>590</v>
      </c>
      <c r="D11" s="4" t="s">
        <v>590</v>
      </c>
      <c r="E11" s="4" t="s">
        <v>590</v>
      </c>
      <c r="F11" s="4" t="s">
        <v>590</v>
      </c>
      <c r="G11" s="4" t="s">
        <v>294</v>
      </c>
      <c r="H11" s="4" t="s">
        <v>590</v>
      </c>
      <c r="I11" s="4" t="s">
        <v>590</v>
      </c>
      <c r="J11" s="4" t="s">
        <v>590</v>
      </c>
      <c r="K11" s="16" t="s">
        <v>590</v>
      </c>
    </row>
    <row r="12" spans="1:11" ht="14.25">
      <c r="A12" s="8" t="s">
        <v>295</v>
      </c>
      <c r="B12" s="5" t="s">
        <v>590</v>
      </c>
      <c r="C12" s="5" t="s">
        <v>590</v>
      </c>
      <c r="D12" s="5" t="s">
        <v>590</v>
      </c>
      <c r="E12" s="5" t="s">
        <v>590</v>
      </c>
      <c r="F12" s="5" t="s">
        <v>590</v>
      </c>
      <c r="G12" s="5" t="s">
        <v>296</v>
      </c>
      <c r="H12" s="5" t="s">
        <v>590</v>
      </c>
      <c r="I12" s="5" t="s">
        <v>590</v>
      </c>
      <c r="J12" s="5" t="s">
        <v>590</v>
      </c>
      <c r="K12" s="6" t="s">
        <v>590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Р. В. Земляник</cp:lastModifiedBy>
  <dcterms:modified xsi:type="dcterms:W3CDTF">2026-10-06T21:30:20Z</dcterms:modified>
</cp:coreProperties>
</file>