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6_ЦП_Канвас_сценарии_релизы\Excel\"/>
    </mc:Choice>
  </mc:AlternateContent>
  <xr:revisionPtr revIDLastSave="0" documentId="13_ncr:1_{E81234CA-BB34-4B53-A337-A3537155CC51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Инструкция" sheetId="1" r:id="rId1"/>
    <sheet name="Банк_выводов" sheetId="2" r:id="rId2"/>
    <sheet name="Роли_и_сегменты" sheetId="3" r:id="rId3"/>
    <sheet name="Пользовательские_сценарии" sheetId="4" r:id="rId4"/>
    <sheet name="Страницы_и_экраны" sheetId="5" r:id="rId5"/>
    <sheet name="Матрица_сценарий_интерфейс" sheetId="6" r:id="rId6"/>
    <sheet name="Навигация_и_карта" sheetId="7" r:id="rId7"/>
    <sheet name="Состояния_и_ошибки" sheetId="8" r:id="rId8"/>
    <sheet name="Контент_и_данные" sheetId="9" r:id="rId9"/>
    <sheet name="Паспорт_экрана" sheetId="10" r:id="rId10"/>
    <sheet name="Приоритизация" sheetId="11" r:id="rId11"/>
    <sheet name="Проверка_связности" sheetId="12" r:id="rId12"/>
    <sheet name="Дашборд" sheetId="13" r:id="rId13"/>
    <sheet name="Справочники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0" i="10" l="1"/>
  <c r="O9" i="10"/>
  <c r="O8" i="10"/>
  <c r="B6" i="13"/>
  <c r="B4" i="13"/>
  <c r="D10" i="12"/>
  <c r="E10" i="12" s="1"/>
  <c r="D9" i="12"/>
  <c r="E9" i="12" s="1"/>
  <c r="D7" i="12"/>
  <c r="E7" i="12" s="1"/>
  <c r="D5" i="12"/>
  <c r="E5" i="12" s="1"/>
  <c r="I17" i="11"/>
  <c r="J17" i="11" s="1"/>
  <c r="I16" i="11"/>
  <c r="J16" i="11" s="1"/>
  <c r="I15" i="11"/>
  <c r="J15" i="11" s="1"/>
  <c r="I14" i="11"/>
  <c r="J14" i="11" s="1"/>
  <c r="I13" i="11"/>
  <c r="J13" i="11" s="1"/>
  <c r="I12" i="11"/>
  <c r="J12" i="11" s="1"/>
  <c r="I11" i="11"/>
  <c r="J11" i="11" s="1"/>
  <c r="I10" i="11"/>
  <c r="J10" i="11" s="1"/>
  <c r="I9" i="11"/>
  <c r="J9" i="11" s="1"/>
  <c r="I8" i="11"/>
  <c r="J8" i="11" s="1"/>
  <c r="I7" i="11"/>
  <c r="J7" i="11" s="1"/>
  <c r="I6" i="11"/>
  <c r="J6" i="11" s="1"/>
  <c r="I5" i="11"/>
  <c r="J5" i="11" s="1"/>
  <c r="I4" i="11"/>
  <c r="J4" i="11" s="1"/>
  <c r="N17" i="10"/>
  <c r="O17" i="10" s="1"/>
  <c r="N16" i="10"/>
  <c r="O16" i="10" s="1"/>
  <c r="N15" i="10"/>
  <c r="O15" i="10" s="1"/>
  <c r="N14" i="10"/>
  <c r="O14" i="10" s="1"/>
  <c r="N13" i="10"/>
  <c r="O13" i="10" s="1"/>
  <c r="N12" i="10"/>
  <c r="O12" i="10" s="1"/>
  <c r="N11" i="10"/>
  <c r="O11" i="10" s="1"/>
  <c r="N10" i="10"/>
  <c r="N9" i="10"/>
  <c r="N8" i="10"/>
  <c r="N7" i="10"/>
  <c r="O7" i="10" s="1"/>
  <c r="N6" i="10"/>
  <c r="O6" i="10" s="1"/>
  <c r="N5" i="10"/>
  <c r="O5" i="10" s="1"/>
  <c r="N4" i="10"/>
  <c r="O4" i="10" s="1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T17" i="5"/>
  <c r="T16" i="5"/>
  <c r="T15" i="5"/>
  <c r="Q15" i="5"/>
  <c r="T14" i="5"/>
  <c r="Q14" i="5"/>
  <c r="T13" i="5"/>
  <c r="T12" i="5"/>
  <c r="T11" i="5"/>
  <c r="T10" i="5"/>
  <c r="T9" i="5"/>
  <c r="T8" i="5"/>
  <c r="T7" i="5"/>
  <c r="T6" i="5"/>
  <c r="T5" i="5"/>
  <c r="T4" i="5"/>
  <c r="O13" i="4"/>
  <c r="Q13" i="5" s="1"/>
  <c r="M13" i="4"/>
  <c r="N13" i="4" s="1"/>
  <c r="O12" i="4"/>
  <c r="Q16" i="5" s="1"/>
  <c r="M12" i="4"/>
  <c r="N12" i="4" s="1"/>
  <c r="O11" i="4"/>
  <c r="M11" i="4"/>
  <c r="N11" i="4" s="1"/>
  <c r="O10" i="4"/>
  <c r="M10" i="4"/>
  <c r="N10" i="4" s="1"/>
  <c r="O9" i="4"/>
  <c r="Q8" i="5" s="1"/>
  <c r="M9" i="4"/>
  <c r="N9" i="4" s="1"/>
  <c r="O8" i="4"/>
  <c r="M8" i="4"/>
  <c r="N8" i="4" s="1"/>
  <c r="O7" i="4"/>
  <c r="M7" i="4"/>
  <c r="N7" i="4" s="1"/>
  <c r="O6" i="4"/>
  <c r="Q11" i="5" s="1"/>
  <c r="M6" i="4"/>
  <c r="N6" i="4" s="1"/>
  <c r="O5" i="4"/>
  <c r="Q5" i="5" s="1"/>
  <c r="M5" i="4"/>
  <c r="N5" i="4" s="1"/>
  <c r="O4" i="4"/>
  <c r="Q4" i="5" s="1"/>
  <c r="M4" i="4"/>
  <c r="N4" i="4" s="1"/>
  <c r="Q17" i="5" l="1"/>
  <c r="Q6" i="5"/>
  <c r="Q7" i="5"/>
  <c r="Q9" i="5"/>
  <c r="Q10" i="5"/>
  <c r="Q12" i="5"/>
  <c r="B10" i="13"/>
  <c r="D6" i="12"/>
  <c r="E6" i="12" s="1"/>
  <c r="D8" i="12"/>
  <c r="E8" i="12" s="1"/>
  <c r="B7" i="13"/>
  <c r="B14" i="13" s="1"/>
  <c r="D4" i="12"/>
  <c r="E4" i="12" s="1"/>
  <c r="B5" i="13"/>
  <c r="B8" i="13"/>
  <c r="B15" i="13" s="1"/>
  <c r="B9" i="13"/>
  <c r="B16" i="13" s="1"/>
  <c r="B13" i="13" l="1"/>
  <c r="B11" i="13"/>
</calcChain>
</file>

<file path=xl/sharedStrings.xml><?xml version="1.0" encoding="utf-8"?>
<sst xmlns="http://schemas.openxmlformats.org/spreadsheetml/2006/main" count="1559" uniqueCount="834">
  <si>
    <t>Рабочая книга предназначена для проектирования состава сайта или мобильного приложения на основе результатов анализа проблем, конкурентов, ценностного предложения, цифрового товара, бизнес-модели и пользовательских сценариев.</t>
  </si>
  <si>
    <t>Шаг</t>
  </si>
  <si>
    <t>Действие</t>
  </si>
  <si>
    <t>Что сделать</t>
  </si>
  <si>
    <t>1</t>
  </si>
  <si>
    <t>Собрать исходные выводы</t>
  </si>
  <si>
    <t>2</t>
  </si>
  <si>
    <t>Зафиксировать роли</t>
  </si>
  <si>
    <t>3</t>
  </si>
  <si>
    <t>Описать сценарии</t>
  </si>
  <si>
    <t>4</t>
  </si>
  <si>
    <t>Вывести страницы и экраны</t>
  </si>
  <si>
    <t>На листе «Страницы_и_экраны» каждая интерфейсная единица должна иметь связанный сценарий, задачу пользователя, действие и источник требования.</t>
  </si>
  <si>
    <t>5</t>
  </si>
  <si>
    <t>Проверить покрытие</t>
  </si>
  <si>
    <t>Лист «Матрица_сценарий_интерфейс» связывает сценарии со страницами и экранами. По нему рассчитывается покрытие сценариев.</t>
  </si>
  <si>
    <t>6</t>
  </si>
  <si>
    <t>Описать навигацию и состояния</t>
  </si>
  <si>
    <t>7</t>
  </si>
  <si>
    <t>Сформировать паспорта</t>
  </si>
  <si>
    <t>На листе «Паспорт_экрана» оформите итоговое описание каждой страницы или экрана для передачи в проектирование прототипа и техническое задание.</t>
  </si>
  <si>
    <t>8</t>
  </si>
  <si>
    <t>Приоритизировать</t>
  </si>
  <si>
    <t>Используйте лист «Приоритизация» для выбора первой версии, следующих выпусков и отложенных интерфейсных единиц.</t>
  </si>
  <si>
    <t>9</t>
  </si>
  <si>
    <t>Проверить готовность</t>
  </si>
  <si>
    <t>Листы «Проверка_связности» и «Дашборд» показывают полноту и согласованность проектной логики.</t>
  </si>
  <si>
    <t>Банк исходных выводов из всех видов анализа</t>
  </si>
  <si>
    <t>ID вывода</t>
  </si>
  <si>
    <t>Вид анализа</t>
  </si>
  <si>
    <t>Объект анализа</t>
  </si>
  <si>
    <t>Вывод / факт</t>
  </si>
  <si>
    <t>Доказательство / ссылка</t>
  </si>
  <si>
    <t>Надежность 1–5</t>
  </si>
  <si>
    <t>Значимость 1–5</t>
  </si>
  <si>
    <t>Влияние на интерфейс</t>
  </si>
  <si>
    <t>Связанные роли</t>
  </si>
  <si>
    <t>Связанные сценарии</t>
  </si>
  <si>
    <t>Решение для страниц/экранов</t>
  </si>
  <si>
    <t>F-001</t>
  </si>
  <si>
    <t>Анализ отзывов</t>
  </si>
  <si>
    <t>ROLE-001</t>
  </si>
  <si>
    <t>SC-003</t>
  </si>
  <si>
    <t>F-002</t>
  </si>
  <si>
    <t>Анализ конкурентов</t>
  </si>
  <si>
    <t>ROLE-002</t>
  </si>
  <si>
    <t>SC-001</t>
  </si>
  <si>
    <t>Роли и пользовательские сегменты</t>
  </si>
  <si>
    <t>Роли используются как связующее звено между бизнес-логикой, сценариями, страницами и экранами.</t>
  </si>
  <si>
    <t>Роль_ID</t>
  </si>
  <si>
    <t>Роль / сегмент</t>
  </si>
  <si>
    <t>Цель роли</t>
  </si>
  <si>
    <t>Основная проблема</t>
  </si>
  <si>
    <t>Ожидаемая ценность</t>
  </si>
  <si>
    <t>Цифровая зрелость</t>
  </si>
  <si>
    <t>Частота использования</t>
  </si>
  <si>
    <t>Критичность задачи 1–5</t>
  </si>
  <si>
    <t>Канал входа</t>
  </si>
  <si>
    <t>Примечание</t>
  </si>
  <si>
    <t>Средняя</t>
  </si>
  <si>
    <t>Поиск</t>
  </si>
  <si>
    <t>Реклама</t>
  </si>
  <si>
    <t>Пользовательские сценарии</t>
  </si>
  <si>
    <t>Сценарий должен иметь пользовательскую цель, поток действий, бизнес-результат и связку с интерфейсными единицами.</t>
  </si>
  <si>
    <t>Сценарий_ID</t>
  </si>
  <si>
    <t>Этап пути</t>
  </si>
  <si>
    <t>Пользовательская цель</t>
  </si>
  <si>
    <t>Начальный триггер</t>
  </si>
  <si>
    <t>Основной поток</t>
  </si>
  <si>
    <t>Альтернативный поток</t>
  </si>
  <si>
    <t>Данные / контент</t>
  </si>
  <si>
    <t>Бизнес-результат</t>
  </si>
  <si>
    <t>Критичность 1–5</t>
  </si>
  <si>
    <t>Частота 1–5</t>
  </si>
  <si>
    <t>Сложность 1–5</t>
  </si>
  <si>
    <t>Кол-во страниц/экранов</t>
  </si>
  <si>
    <t>Статус покрытия</t>
  </si>
  <si>
    <t>Приоритет сценария</t>
  </si>
  <si>
    <t>Первичный интерес</t>
  </si>
  <si>
    <t>SC-002</t>
  </si>
  <si>
    <t>Регистрация</t>
  </si>
  <si>
    <t>Страницы сайта и экраны приложения</t>
  </si>
  <si>
    <t>Каждая интерфейсная единица должна выводиться из сценария, проблемы, ценностного предложения или требования бизнес-модели.</t>
  </si>
  <si>
    <t>Unit_ID</t>
  </si>
  <si>
    <t>Тип</t>
  </si>
  <si>
    <t>Название</t>
  </si>
  <si>
    <t>Назначение</t>
  </si>
  <si>
    <t>Связанный сценарий_ID</t>
  </si>
  <si>
    <t>Главная задача пользователя</t>
  </si>
  <si>
    <t>Ключевое действие</t>
  </si>
  <si>
    <t>Источник требования</t>
  </si>
  <si>
    <t>Компоненты</t>
  </si>
  <si>
    <t>Состояния</t>
  </si>
  <si>
    <t>Ошибки / исключения</t>
  </si>
  <si>
    <t>Нужна авторизация</t>
  </si>
  <si>
    <t>Монетизационная роль</t>
  </si>
  <si>
    <t>Оценка приоритета</t>
  </si>
  <si>
    <t>Статус</t>
  </si>
  <si>
    <t>Доказательность 1–5</t>
  </si>
  <si>
    <t>Полнота описания</t>
  </si>
  <si>
    <t>Решение</t>
  </si>
  <si>
    <t>U-001</t>
  </si>
  <si>
    <t>Страница сайта</t>
  </si>
  <si>
    <t>Понять пользу</t>
  </si>
  <si>
    <t>Нет</t>
  </si>
  <si>
    <t>Подведение к оплате</t>
  </si>
  <si>
    <t>Требует уточнения</t>
  </si>
  <si>
    <t>Оставить</t>
  </si>
  <si>
    <t>U-002</t>
  </si>
  <si>
    <t>Экран приложения</t>
  </si>
  <si>
    <t>Удержание</t>
  </si>
  <si>
    <t>В проектировании</t>
  </si>
  <si>
    <t>Матрица связи сценариев со страницами и экранами</t>
  </si>
  <si>
    <t>Используется для проверки покрытия сценариев и исключения интерфейсных единиц без понятной задачи.</t>
  </si>
  <si>
    <t>Связь_ID</t>
  </si>
  <si>
    <t>Тип связи</t>
  </si>
  <si>
    <t>Обязательность</t>
  </si>
  <si>
    <t>Порядок в сценарии</t>
  </si>
  <si>
    <t>Предыдущее Unit_ID</t>
  </si>
  <si>
    <t>Следующее Unit_ID</t>
  </si>
  <si>
    <t>Комментарий</t>
  </si>
  <si>
    <t>M-001</t>
  </si>
  <si>
    <t>Основная</t>
  </si>
  <si>
    <t>Обязательно для первой версии</t>
  </si>
  <si>
    <t>M-002</t>
  </si>
  <si>
    <t>Навигация и карта переходов</t>
  </si>
  <si>
    <t>Каждый переход описывает действие, условие, направление и риск разрыва пользовательского сценария.</t>
  </si>
  <si>
    <t>Переход_ID</t>
  </si>
  <si>
    <t>Откуда Unit_ID</t>
  </si>
  <si>
    <t>Куда Unit_ID</t>
  </si>
  <si>
    <t>Событие / действие</t>
  </si>
  <si>
    <t>Условие</t>
  </si>
  <si>
    <t>Тип перехода</t>
  </si>
  <si>
    <t>Риск разрыва 1–5</t>
  </si>
  <si>
    <t>N-001</t>
  </si>
  <si>
    <t>Основной</t>
  </si>
  <si>
    <t>Состояния, ошибки и исключения</t>
  </si>
  <si>
    <t>Для каждой ключевой страницы или экрана фиксируются нормальные, пустые, загрузочные, ошибочные и успешные состояния.</t>
  </si>
  <si>
    <t>State_ID</t>
  </si>
  <si>
    <t>Нормальное состояние</t>
  </si>
  <si>
    <t>Пустое состояние</t>
  </si>
  <si>
    <t>Загрузка</t>
  </si>
  <si>
    <t>Ошибка валидации</t>
  </si>
  <si>
    <t>Ошибка сети/сервера</t>
  </si>
  <si>
    <t>Нет прав</t>
  </si>
  <si>
    <t>Успешное завершение</t>
  </si>
  <si>
    <t>Сообщение пользователю</t>
  </si>
  <si>
    <t>Полнота состояний</t>
  </si>
  <si>
    <t>S-001</t>
  </si>
  <si>
    <t>Не применимо</t>
  </si>
  <si>
    <t>Сообщение о недоступности</t>
  </si>
  <si>
    <t>S-002</t>
  </si>
  <si>
    <t>Контент и данные для страниц и экранов</t>
  </si>
  <si>
    <t>Лист нужен для перевода сценариев в состав данных, текстов, полей, правил отображения и источников информации.</t>
  </si>
  <si>
    <t>Элемент контента / данных</t>
  </si>
  <si>
    <t>Источник данных</t>
  </si>
  <si>
    <t>Частота обновления</t>
  </si>
  <si>
    <t>Персонализация</t>
  </si>
  <si>
    <t>Правило отображения</t>
  </si>
  <si>
    <t>Формат</t>
  </si>
  <si>
    <t>Ответственный</t>
  </si>
  <si>
    <t>Ценностное предложение</t>
  </si>
  <si>
    <t>По мере изменения товара</t>
  </si>
  <si>
    <t>Показывать всем</t>
  </si>
  <si>
    <t>Текст + визуальный блок</t>
  </si>
  <si>
    <t>Форма</t>
  </si>
  <si>
    <t>Паспорт страницы или экрана</t>
  </si>
  <si>
    <t>Итоговая форма описания интерфейсной единицы для прототипирования, постановки задачи и проверки связности.</t>
  </si>
  <si>
    <t>Главная задача</t>
  </si>
  <si>
    <t>Основное действие</t>
  </si>
  <si>
    <t>Состав блоков</t>
  </si>
  <si>
    <t>Навигация</t>
  </si>
  <si>
    <t>Метрики успеха</t>
  </si>
  <si>
    <t>Риски</t>
  </si>
  <si>
    <t>Полнота паспорта</t>
  </si>
  <si>
    <t>Вердикт</t>
  </si>
  <si>
    <t>Приоритизация страниц, экранов и интерфейсных инициатив</t>
  </si>
  <si>
    <t>Итоговый балл помогает определить состав первой версии и очередность следующих выпусков.</t>
  </si>
  <si>
    <t>Ценность для пользователя 1–5</t>
  </si>
  <si>
    <t>Влияние на бизнес 1–5</t>
  </si>
  <si>
    <t>Частота использования 1–5</t>
  </si>
  <si>
    <t>Риск без реализации 1–5</t>
  </si>
  <si>
    <t>Итоговый балл</t>
  </si>
  <si>
    <t>Класс приоритета</t>
  </si>
  <si>
    <t>Основание</t>
  </si>
  <si>
    <t>Критична для первичного понимания ценности</t>
  </si>
  <si>
    <t>Проверка связности проектной логики</t>
  </si>
  <si>
    <t>Лист показывает, насколько интерфейсные единицы выведены из анализа и связаны со сценариями, навигацией, состояниями и бизнес-моделью.</t>
  </si>
  <si>
    <t>Проверка</t>
  </si>
  <si>
    <t>Описание</t>
  </si>
  <si>
    <t>Расчет / критерий</t>
  </si>
  <si>
    <t>Результат</t>
  </si>
  <si>
    <t>Что исправить</t>
  </si>
  <si>
    <t>Покрытие сценариев</t>
  </si>
  <si>
    <t>У каждого значимого сценария есть хотя бы одна страница или экран</t>
  </si>
  <si>
    <t>Сценарии с покрытием / всего сценариев</t>
  </si>
  <si>
    <t>Для сценариев без покрытия добавить интерфейсную единицу или исключить сценарий</t>
  </si>
  <si>
    <t>Интерфейсные единицы без сценария</t>
  </si>
  <si>
    <t>Не должно быть страниц и экранов без связанного сценария</t>
  </si>
  <si>
    <t>Количество строк с пустым сценарием</t>
  </si>
  <si>
    <t>Указать сценарий или удалить лишнюю единицу</t>
  </si>
  <si>
    <t>Полнота паспортов</t>
  </si>
  <si>
    <t>Паспорта ключевых страниц и экранов должны быть заполнены не менее чем на 85%</t>
  </si>
  <si>
    <t>Средняя полнота паспортов</t>
  </si>
  <si>
    <t>Ключевые страницы и экраны должны иметь переходы</t>
  </si>
  <si>
    <t>Количество описанных переходов</t>
  </si>
  <si>
    <t>Добавить переходы между интерфейсными единицами</t>
  </si>
  <si>
    <t>Состояния и ошибки</t>
  </si>
  <si>
    <t>Для ключевых страниц и экранов описаны состояния и исключения</t>
  </si>
  <si>
    <t>Средняя полнота состояний</t>
  </si>
  <si>
    <t>Монетизационная связность</t>
  </si>
  <si>
    <t>Хотя бы одна интерфейсная единица должна вести к монетизации или поддерживать ее</t>
  </si>
  <si>
    <t>Количество единиц с монетизационной ролью</t>
  </si>
  <si>
    <t>Уточнить роль экранов в оплате, тарифах, удержании или снижении затрат</t>
  </si>
  <si>
    <t>Доказательность</t>
  </si>
  <si>
    <t>У интерфейсных единиц есть источник требования</t>
  </si>
  <si>
    <t>Доля строк с источником требования</t>
  </si>
  <si>
    <t>Добавить ссылки на выводы, сценарии, отзывы, конкурентов или бизнес-модель</t>
  </si>
  <si>
    <t>Дашборд готовности перехода к страницам и экранам</t>
  </si>
  <si>
    <t>Показатель</t>
  </si>
  <si>
    <t>Значение</t>
  </si>
  <si>
    <t>Интерпретация</t>
  </si>
  <si>
    <t>Всего сценариев</t>
  </si>
  <si>
    <t>Количество описанных пользовательских сценариев</t>
  </si>
  <si>
    <t>Покрытие сценариев страницами/экранами</t>
  </si>
  <si>
    <t>Доля сценариев, для которых определена интерфейсная единица</t>
  </si>
  <si>
    <t>Всего страниц и экранов</t>
  </si>
  <si>
    <t>Общее количество интерфейсных единиц</t>
  </si>
  <si>
    <t>Средняя полнота описания страниц/экранов</t>
  </si>
  <si>
    <t>Насколько заполнены назначения, данные, действия, состояния и требования</t>
  </si>
  <si>
    <t>Готовность к прототипированию и постановке задачи</t>
  </si>
  <si>
    <t>Наличие нормальных, пустых, загрузочных и ошибочных состояний</t>
  </si>
  <si>
    <t>Интерфейсные единицы P1</t>
  </si>
  <si>
    <t>Кандидаты в первую версию</t>
  </si>
  <si>
    <t>Интегральная готовность</t>
  </si>
  <si>
    <t>Средняя готовность к переходу в прототипирование</t>
  </si>
  <si>
    <t>Блок проверки</t>
  </si>
  <si>
    <t>Готовность</t>
  </si>
  <si>
    <t>Описание страниц/экранов</t>
  </si>
  <si>
    <t>Паспорта</t>
  </si>
  <si>
    <t>Справочники для выпадающих списков</t>
  </si>
  <si>
    <t>Тип интерфейсной единицы</t>
  </si>
  <si>
    <t>ДаНет</t>
  </si>
  <si>
    <t>Роль в монетизации</t>
  </si>
  <si>
    <t>Приоритет</t>
  </si>
  <si>
    <t>Анализ проблем</t>
  </si>
  <si>
    <t>Осведомление</t>
  </si>
  <si>
    <t>Не начато</t>
  </si>
  <si>
    <t>Да</t>
  </si>
  <si>
    <t>Прямое получение оплаты</t>
  </si>
  <si>
    <t>Поддерживающая</t>
  </si>
  <si>
    <t>Желательно для первой версии</t>
  </si>
  <si>
    <t>Объединить</t>
  </si>
  <si>
    <t>Возврат</t>
  </si>
  <si>
    <t>Оценка решения</t>
  </si>
  <si>
    <t>Общий модуль</t>
  </si>
  <si>
    <t>Альтернативная</t>
  </si>
  <si>
    <t>Следующий выпуск</t>
  </si>
  <si>
    <t>Частично</t>
  </si>
  <si>
    <t>Разделить</t>
  </si>
  <si>
    <t>Социальные сети</t>
  </si>
  <si>
    <t>Ветвление</t>
  </si>
  <si>
    <t>Анализ цифрового товара</t>
  </si>
  <si>
    <t>Системное состояние</t>
  </si>
  <si>
    <t>Сервисная</t>
  </si>
  <si>
    <t>Отложить</t>
  </si>
  <si>
    <t>В прототипе</t>
  </si>
  <si>
    <t>Рекомендация</t>
  </si>
  <si>
    <t>Повышение ценности тарифа</t>
  </si>
  <si>
    <t>Переход после ошибки</t>
  </si>
  <si>
    <t>Не включать</t>
  </si>
  <si>
    <t>Настройка</t>
  </si>
  <si>
    <t>Монетизационная</t>
  </si>
  <si>
    <t>Исключить</t>
  </si>
  <si>
    <t>Готово к ТЗ</t>
  </si>
  <si>
    <t>Партнерский канал</t>
  </si>
  <si>
    <t>Снижение затрат</t>
  </si>
  <si>
    <t>Переход после оплаты</t>
  </si>
  <si>
    <t>Бизнес-модель Канвас</t>
  </si>
  <si>
    <t>Основное использование</t>
  </si>
  <si>
    <t>Личный кабинет</t>
  </si>
  <si>
    <t>Контрольная</t>
  </si>
  <si>
    <t>Исключено</t>
  </si>
  <si>
    <t>Перенести в следующий выпуск</t>
  </si>
  <si>
    <t>Прямой вход</t>
  </si>
  <si>
    <t>Не связана напрямую</t>
  </si>
  <si>
    <t>Внешний переход</t>
  </si>
  <si>
    <t>Бизнес-логика</t>
  </si>
  <si>
    <t>Оплата</t>
  </si>
  <si>
    <t>Платежный экран</t>
  </si>
  <si>
    <t>Уведомление</t>
  </si>
  <si>
    <t>Системный переход</t>
  </si>
  <si>
    <t>Пользовательский сценарий</t>
  </si>
  <si>
    <t>Поддержка</t>
  </si>
  <si>
    <t>Внутренний переход</t>
  </si>
  <si>
    <t>A-001</t>
  </si>
  <si>
    <t>Анализ поискового спроса</t>
  </si>
  <si>
    <t>Вордстат, ЛР1</t>
  </si>
  <si>
    <t>Проблемные 36,6 %, AI 45,3 %, услуги 2,3 % выборки топов</t>
  </si>
  <si>
    <t>Нужны страницы по проблемным запросам и четкий первый экран</t>
  </si>
  <si>
    <t>Добавить страницу продукта с примерами ошибок</t>
  </si>
  <si>
    <t>A-002</t>
  </si>
  <si>
    <t>Оценка рынка</t>
  </si>
  <si>
    <t>ЛР2-3</t>
  </si>
  <si>
    <t>Рынок достаточен для старта, но канал ограничивает SOM</t>
  </si>
  <si>
    <t>Интерфейс должен вести к быстрому первому результату и оплате</t>
  </si>
  <si>
    <t>Сократить путь до первой проверки</t>
  </si>
  <si>
    <t>A-003</t>
  </si>
  <si>
    <t>Конкуренция</t>
  </si>
  <si>
    <t>ЛР4</t>
  </si>
  <si>
    <t>Заменители создают критичное давление (73 % трафика)</t>
  </si>
  <si>
    <t>Индекс барьеров 3,15; пять сил 3,55</t>
  </si>
  <si>
    <t>Нужен экран, показывающий отличие от универсального AI</t>
  </si>
  <si>
    <t>Блок «чем отличается» на странице продукта</t>
  </si>
  <si>
    <t>A-004</t>
  </si>
  <si>
    <t>Отзывы</t>
  </si>
  <si>
    <t>G2</t>
  </si>
  <si>
    <t>У прямых конкурентов нет отзывов</t>
  </si>
  <si>
    <t>PerfectXL 0, Arixcel 1, CIMCON 19 против Datarails 386</t>
  </si>
  <si>
    <t>Нужны блоки отзывов и кейсов</t>
  </si>
  <si>
    <t>Раздел отзывов после пилота</t>
  </si>
  <si>
    <t>A-005</t>
  </si>
  <si>
    <t>Цены</t>
  </si>
  <si>
    <t>страницы цен</t>
  </si>
  <si>
    <t>Тарифы должны быть видны без разговора с продавцом</t>
  </si>
  <si>
    <t>A-006</t>
  </si>
  <si>
    <t>Цифровой товар</t>
  </si>
  <si>
    <t>ЛР5</t>
  </si>
  <si>
    <t>Стандарт товара - надстройка Excel; разрывы - поиск ошибок, безопасность, пробный доступ</t>
  </si>
  <si>
    <t>по 3 из 7 конкурентов</t>
  </si>
  <si>
    <t>Нужны экраны поиска ошибок, пробного доступа и безопасности</t>
  </si>
  <si>
    <t>Включить в MVP</t>
  </si>
  <si>
    <t>A-007</t>
  </si>
  <si>
    <t>Зона дифференциации - доказательство вывода движком</t>
  </si>
  <si>
    <t>есть у 2 из 7 конкурентов</t>
  </si>
  <si>
    <t>Нужна карточка находки с доказательством</t>
  </si>
  <si>
    <t>Выделить доказательство в карточке</t>
  </si>
  <si>
    <t>A-008</t>
  </si>
  <si>
    <t>Безопасность</t>
  </si>
  <si>
    <t>Shortcut, DataSnipper</t>
  </si>
  <si>
    <t>Безопасность и соответствие нужны для доверия к загрузке файлов</t>
  </si>
  <si>
    <t>SOC 2, GDPR на главных страницах</t>
  </si>
  <si>
    <t>Нужна страница безопасности и удаление данных</t>
  </si>
  <si>
    <t>Страница политики данных и экран удаления</t>
  </si>
  <si>
    <t>A-009</t>
  </si>
  <si>
    <t>Бизнес-модели</t>
  </si>
  <si>
    <t>5 из 7 с корпоративными пакетами</t>
  </si>
  <si>
    <t>Нужны экраны командной работы позже</t>
  </si>
  <si>
    <t>Отложить до релиза 4</t>
  </si>
  <si>
    <t>A-010</t>
  </si>
  <si>
    <t>Проблема клиентов</t>
  </si>
  <si>
    <t>ПЗ1</t>
  </si>
  <si>
    <t>Ошибки есть в 86-94 % таблиц, AI-надстройки сами требуют проверки</t>
  </si>
  <si>
    <t>оценка ПЗ1</t>
  </si>
  <si>
    <t>Первый экран про ошибки в моделях</t>
  </si>
  <si>
    <t>A-011</t>
  </si>
  <si>
    <t>Платежеспособность</t>
  </si>
  <si>
    <t>Бюджет сегментов выше цены предложения (индекс 2,4)</t>
  </si>
  <si>
    <t>индексы 1,3-4,2</t>
  </si>
  <si>
    <t>Цена и ценность должны быть рядом</t>
  </si>
  <si>
    <t>Блок окупаемости на странице тарифов</t>
  </si>
  <si>
    <t>A-012</t>
  </si>
  <si>
    <t>Каналы</t>
  </si>
  <si>
    <t>AppSource</t>
  </si>
  <si>
    <t>В AppSource по запросу formula checker один результат</t>
  </si>
  <si>
    <t>138 результатов по excel audit, один по formula checker</t>
  </si>
  <si>
    <t>Нужен экран установки надстройки</t>
  </si>
  <si>
    <t>Описание установки в справке</t>
  </si>
  <si>
    <t>Финансовый аналитик / FP&amp;A</t>
  </si>
  <si>
    <t>Проверить модель перед передачей</t>
  </si>
  <si>
    <t>Скрытые ошибки в формулах</t>
  </si>
  <si>
    <t>Не допустить неверные числа</t>
  </si>
  <si>
    <t>периодически</t>
  </si>
  <si>
    <t>Поиск по проблемным запросам</t>
  </si>
  <si>
    <t>Консультант по управлению</t>
  </si>
  <si>
    <t>Проверить модель клиента и передать отчет</t>
  </si>
  <si>
    <t>Нет передаваемого отчета</t>
  </si>
  <si>
    <t>Усилить заключение доказательствами</t>
  </si>
  <si>
    <t>Партнерские фирмы</t>
  </si>
  <si>
    <t>ROLE-003</t>
  </si>
  <si>
    <t>Бухгалтер / аудитор</t>
  </si>
  <si>
    <t>Подтвердить расчеты в таблицах</t>
  </si>
  <si>
    <t>Нет следов проверки</t>
  </si>
  <si>
    <t>Соответствие стандартам</t>
  </si>
  <si>
    <t>Профессиональные сообщества</t>
  </si>
  <si>
    <t>ROLE-004</t>
  </si>
  <si>
    <t>Основатель / операционный менеджер МСП</t>
  </si>
  <si>
    <t>Проверить таблицы без штатного аудитора</t>
  </si>
  <si>
    <t>Цена и безопасность</t>
  </si>
  <si>
    <t>Экономия времени и денег</t>
  </si>
  <si>
    <t>AppSource, поиск</t>
  </si>
  <si>
    <t>ROLE-005</t>
  </si>
  <si>
    <t>Администратор команды</t>
  </si>
  <si>
    <t>Настроить проверку для сотрудников</t>
  </si>
  <si>
    <t>Нет общего контроля качества</t>
  </si>
  <si>
    <t>Единый стандарт проверки</t>
  </si>
  <si>
    <t>Рекомендация коллеги</t>
  </si>
  <si>
    <t>Получение ценности</t>
  </si>
  <si>
    <t>Увидеть ошибки в своем файле</t>
  </si>
  <si>
    <t>Переход из поиска на страницу продукта</t>
  </si>
  <si>
    <t>Загрузка файла → запуск проверки → список находок</t>
  </si>
  <si>
    <t>файл Excel, находки, отчет</t>
  </si>
  <si>
    <t>Рост активации</t>
  </si>
  <si>
    <t>Сохранить находки и отчет</t>
  </si>
  <si>
    <t>Просмотр находок</t>
  </si>
  <si>
    <t>Кнопка сохранить → регистрация → личный кабинет</t>
  </si>
  <si>
    <t>Уже есть аккаунт: вход</t>
  </si>
  <si>
    <t>Рост регистраций</t>
  </si>
  <si>
    <t>Получить полный отчет</t>
  </si>
  <si>
    <t>Лимит бесплатной проверки</t>
  </si>
  <si>
    <t>Первая оплата</t>
  </si>
  <si>
    <t>SC-004</t>
  </si>
  <si>
    <t>Проверять без ограничений</t>
  </si>
  <si>
    <t>Третья проверка за месяц</t>
  </si>
  <si>
    <t>Отказ: остаться на Free</t>
  </si>
  <si>
    <t>Рост подписок</t>
  </si>
  <si>
    <t>SC-005</t>
  </si>
  <si>
    <t>Проверить книгу после правки AI</t>
  </si>
  <si>
    <t>Правка формул помощником</t>
  </si>
  <si>
    <t>Надстройка → проверка книги → подсветка находок</t>
  </si>
  <si>
    <t>SC-006</t>
  </si>
  <si>
    <t>Передать проверенную модель с отчетом</t>
  </si>
  <si>
    <t>Завершение проекта</t>
  </si>
  <si>
    <t>Отчет → экспорт → отправка заказчику</t>
  </si>
  <si>
    <t>Рекомендации и повторные покупки</t>
  </si>
  <si>
    <t>SC-007</t>
  </si>
  <si>
    <t>Найти риски до заключения</t>
  </si>
  <si>
    <t>Получение модели от клиента</t>
  </si>
  <si>
    <t>Загрузка → проверка → карточки находок → заключение</t>
  </si>
  <si>
    <t>Рост спроса среди консультантов</t>
  </si>
  <si>
    <t>SC-008</t>
  </si>
  <si>
    <t>Задать правила команды</t>
  </si>
  <si>
    <t>Внедрение в команде</t>
  </si>
  <si>
    <t>Кабинет → правила → сохранение</t>
  </si>
  <si>
    <t>Конфликт правил: подсказка</t>
  </si>
  <si>
    <t>Удержание команд</t>
  </si>
  <si>
    <t>SC-009</t>
  </si>
  <si>
    <t>Дать доступ сотрудникам</t>
  </si>
  <si>
    <t>Решение руководителя</t>
  </si>
  <si>
    <t>Нет свободных мест: докупка</t>
  </si>
  <si>
    <t>Рост выручки за место</t>
  </si>
  <si>
    <t>SC-010</t>
  </si>
  <si>
    <t>Удалить файлы и аккаунт</t>
  </si>
  <si>
    <t>Запрос пользователя</t>
  </si>
  <si>
    <t>Кабинет → удалить данные → подтверждение</t>
  </si>
  <si>
    <t>Снижение рисков отказа</t>
  </si>
  <si>
    <t>Страница продукта с примерами ошибок</t>
  </si>
  <si>
    <t>Показать ценность и направить к бесплатной проверке</t>
  </si>
  <si>
    <t>Нажать «Проверить файл»</t>
  </si>
  <si>
    <t>F-001; F-008</t>
  </si>
  <si>
    <t>ценностное предложение, примеры найденных ошибок, отличие от AI</t>
  </si>
  <si>
    <t>первый экран, примеры, сравнение, призыв к действию</t>
  </si>
  <si>
    <t>нормальное; пустое; загрузка; ошибка; успех</t>
  </si>
  <si>
    <t>см. лист «Состояния_и_ошибки»</t>
  </si>
  <si>
    <t>вход в воронку</t>
  </si>
  <si>
    <t>Черновик</t>
  </si>
  <si>
    <t>Загрузка файла и запуск проверки</t>
  </si>
  <si>
    <t>Принять файл Excel и запустить проверку без регистрации</t>
  </si>
  <si>
    <t>Загрузить файл</t>
  </si>
  <si>
    <t>Выбрать файл и запустить проверку</t>
  </si>
  <si>
    <t>файл xlsx, лимиты Free</t>
  </si>
  <si>
    <t>поле загрузки, лимиты, индикатор прогресса</t>
  </si>
  <si>
    <t>активация</t>
  </si>
  <si>
    <t>U-003</t>
  </si>
  <si>
    <t>Показать найденные ошибки с критичностью</t>
  </si>
  <si>
    <t>Понять, что найдено</t>
  </si>
  <si>
    <t>Открыть карточку находки</t>
  </si>
  <si>
    <t>список находок, критичность, ячейки</t>
  </si>
  <si>
    <t>таблица находок, фильтры, сводка</t>
  </si>
  <si>
    <t>U-004</t>
  </si>
  <si>
    <t>Карточка находки с доказательством</t>
  </si>
  <si>
    <t>Объяснить ошибку и доказать ее вычислением</t>
  </si>
  <si>
    <t>Убедиться в находке</t>
  </si>
  <si>
    <t>Принять или отклонить находку</t>
  </si>
  <si>
    <t>F-003</t>
  </si>
  <si>
    <t>ячейка, формула, вычисление-доказательство</t>
  </si>
  <si>
    <t>описание, доказательство, исправление</t>
  </si>
  <si>
    <t>доверие</t>
  </si>
  <si>
    <t>U-005</t>
  </si>
  <si>
    <t>Отчет аудита</t>
  </si>
  <si>
    <t>Собрать находки в передаваемый отчет</t>
  </si>
  <si>
    <t>Получить отчет</t>
  </si>
  <si>
    <t>Скачать или переслать отчет</t>
  </si>
  <si>
    <t>F-004</t>
  </si>
  <si>
    <t>перечень находок, сводка, дата проверки</t>
  </si>
  <si>
    <t>заголовок, сводка, таблица, подпись проверки</t>
  </si>
  <si>
    <t>монетизация</t>
  </si>
  <si>
    <t>U-006</t>
  </si>
  <si>
    <t>Регистрация и вход</t>
  </si>
  <si>
    <t>Сохранить результат и открыть кабинет</t>
  </si>
  <si>
    <t>Создать аккаунт</t>
  </si>
  <si>
    <t>Ввести email и подтвердить</t>
  </si>
  <si>
    <t>F-005</t>
  </si>
  <si>
    <t>email, пароль, согласие с условиями</t>
  </si>
  <si>
    <t>форма, подтверждение, ссылка входа</t>
  </si>
  <si>
    <t>регистрация</t>
  </si>
  <si>
    <t>U-007</t>
  </si>
  <si>
    <t>Страница тарифов</t>
  </si>
  <si>
    <t>Показать тарифы и помочь выбрать</t>
  </si>
  <si>
    <t>Выбрать тариф</t>
  </si>
  <si>
    <t>Нажать «Купить» или «Оформить Pro»</t>
  </si>
  <si>
    <t>F-008</t>
  </si>
  <si>
    <t>таблица тарифов, сравнение, вопросы и ответы</t>
  </si>
  <si>
    <t>оплата</t>
  </si>
  <si>
    <t>U-008</t>
  </si>
  <si>
    <t>Принять платеж за аудит или подписку</t>
  </si>
  <si>
    <t>Оплатить</t>
  </si>
  <si>
    <t>Подтвердить платеж</t>
  </si>
  <si>
    <t>F-006</t>
  </si>
  <si>
    <t>тариф, сумма, налоги</t>
  </si>
  <si>
    <t>форма оплаты, итог, подтверждение</t>
  </si>
  <si>
    <t>U-009</t>
  </si>
  <si>
    <t>Безопасность и политика данных</t>
  </si>
  <si>
    <t>Снять опасения по загрузке файлов</t>
  </si>
  <si>
    <t>Проверить безопасность</t>
  </si>
  <si>
    <t>Открыть политику данных</t>
  </si>
  <si>
    <t>F-007</t>
  </si>
  <si>
    <t>политика данных, GDPR, сроки хранения</t>
  </si>
  <si>
    <t>описание мер, сроки, контакты</t>
  </si>
  <si>
    <t>U-010</t>
  </si>
  <si>
    <t>Настройки аккаунта и удаление данных</t>
  </si>
  <si>
    <t>Дать пользователю управление данными</t>
  </si>
  <si>
    <t>Удалить данные</t>
  </si>
  <si>
    <t>Подтвердить удаление</t>
  </si>
  <si>
    <t>аккаунт, список файлов</t>
  </si>
  <si>
    <t>настройки, кнопка удаления, подтверждение</t>
  </si>
  <si>
    <t>U-011</t>
  </si>
  <si>
    <t>Показать прошлые проверки и повторить</t>
  </si>
  <si>
    <t>Вернуться к проверке</t>
  </si>
  <si>
    <t>Повторить проверку</t>
  </si>
  <si>
    <t>список проверок, даты, статусы</t>
  </si>
  <si>
    <t>список, фильтры, кнопка повторной проверки</t>
  </si>
  <si>
    <t>удержание</t>
  </si>
  <si>
    <t>U-012</t>
  </si>
  <si>
    <t>Проверять книгу прямо в Excel</t>
  </si>
  <si>
    <t>Проверить книгу</t>
  </si>
  <si>
    <t>Нажать «Проверить книгу»</t>
  </si>
  <si>
    <t>F-009</t>
  </si>
  <si>
    <t>книга, находки, ячейки</t>
  </si>
  <si>
    <t>боковая панель, список находок, подсветка</t>
  </si>
  <si>
    <t>Идея</t>
  </si>
  <si>
    <t>U-016</t>
  </si>
  <si>
    <t>Команда: места и роли</t>
  </si>
  <si>
    <t>Управлять местами и ролями команды</t>
  </si>
  <si>
    <t>Пригласить коллег</t>
  </si>
  <si>
    <t>Отправить приглашение</t>
  </si>
  <si>
    <t>F-014</t>
  </si>
  <si>
    <t>места, роли, приглашения</t>
  </si>
  <si>
    <t>список участников, приглашение, оплата мест</t>
  </si>
  <si>
    <t>U-017</t>
  </si>
  <si>
    <t>Документация и справка</t>
  </si>
  <si>
    <t>Помочь начать и объяснить правила проверки</t>
  </si>
  <si>
    <t>Найти ответ</t>
  </si>
  <si>
    <t>Открыть статью</t>
  </si>
  <si>
    <t>статьи, видео, часто задаваемые вопросы</t>
  </si>
  <si>
    <t>поиск, разделы, статьи</t>
  </si>
  <si>
    <t>Страница продукта ведет к загрузке файла</t>
  </si>
  <si>
    <t>Загрузка запускает проверку</t>
  </si>
  <si>
    <t>M-003</t>
  </si>
  <si>
    <t>Список находок ведет к карточке</t>
  </si>
  <si>
    <t>M-004</t>
  </si>
  <si>
    <t>Карточка подводит к сохранению</t>
  </si>
  <si>
    <t>M-005</t>
  </si>
  <si>
    <t>Регистрация сохраняет результат</t>
  </si>
  <si>
    <t>M-006</t>
  </si>
  <si>
    <t>История в кабинете</t>
  </si>
  <si>
    <t>M-007</t>
  </si>
  <si>
    <t>Тарифы ведут к оплате</t>
  </si>
  <si>
    <t>M-008</t>
  </si>
  <si>
    <t>Оплата открывает полный отчет</t>
  </si>
  <si>
    <t>M-009</t>
  </si>
  <si>
    <t>Полный отчет</t>
  </si>
  <si>
    <t>M-010</t>
  </si>
  <si>
    <t>Предложение Pro после нескольких проверок</t>
  </si>
  <si>
    <t>M-011</t>
  </si>
  <si>
    <t>Оформление подписки</t>
  </si>
  <si>
    <t>M-012</t>
  </si>
  <si>
    <t>Проверка книги в Excel</t>
  </si>
  <si>
    <t>M-013</t>
  </si>
  <si>
    <t>Отчет передается заказчику</t>
  </si>
  <si>
    <t>M-014</t>
  </si>
  <si>
    <t>Проверка чужой модели</t>
  </si>
  <si>
    <t>M-015</t>
  </si>
  <si>
    <t>Приглашение коллег и оплата мест</t>
  </si>
  <si>
    <t>M-016</t>
  </si>
  <si>
    <t>Вспомогательная</t>
  </si>
  <si>
    <t>Политика данных</t>
  </si>
  <si>
    <t>M-017</t>
  </si>
  <si>
    <t>Удаление данных</t>
  </si>
  <si>
    <t>Нажатие «Проверить файл»</t>
  </si>
  <si>
    <t>Пользователь готов попробовать</t>
  </si>
  <si>
    <t>Призыв должен быть виден на первом экране</t>
  </si>
  <si>
    <t>N-002</t>
  </si>
  <si>
    <t>Завершение проверки</t>
  </si>
  <si>
    <t>Файл принят</t>
  </si>
  <si>
    <t>Показывать прогресс</t>
  </si>
  <si>
    <t>N-003</t>
  </si>
  <si>
    <t>Открытие находки</t>
  </si>
  <si>
    <t>Есть находки</t>
  </si>
  <si>
    <t>Находки кликабельны</t>
  </si>
  <si>
    <t>N-004</t>
  </si>
  <si>
    <t>Сохранить результат</t>
  </si>
  <si>
    <t>Пользователь не вошел</t>
  </si>
  <si>
    <t>Результат не должен теряться</t>
  </si>
  <si>
    <t>N-005</t>
  </si>
  <si>
    <t>Открыть полный отчет</t>
  </si>
  <si>
    <t>Лимит Free исчерпан</t>
  </si>
  <si>
    <t>Объяснить лимиты</t>
  </si>
  <si>
    <t>N-006</t>
  </si>
  <si>
    <t>Нажатие «Купить»</t>
  </si>
  <si>
    <t>Тариф выбран</t>
  </si>
  <si>
    <t>Показывать итоговую сумму</t>
  </si>
  <si>
    <t>N-007</t>
  </si>
  <si>
    <t>Платеж подтвержден</t>
  </si>
  <si>
    <t>Оплата прошла</t>
  </si>
  <si>
    <t>Сразу открыть отчет</t>
  </si>
  <si>
    <t>N-008</t>
  </si>
  <si>
    <t>Вход выполнен</t>
  </si>
  <si>
    <t>Аккаунт создан</t>
  </si>
  <si>
    <t>Кабинет с историей</t>
  </si>
  <si>
    <t>N-009</t>
  </si>
  <si>
    <t>Открытие политики данных</t>
  </si>
  <si>
    <t>Сомнение в безопасности</t>
  </si>
  <si>
    <t>Вспомогательный</t>
  </si>
  <si>
    <t>Ссылка в подвале и у загрузки</t>
  </si>
  <si>
    <t>N-010</t>
  </si>
  <si>
    <t>Пользователь вошел</t>
  </si>
  <si>
    <t>Двойное подтверждение</t>
  </si>
  <si>
    <t>N-011</t>
  </si>
  <si>
    <t>Предложение Pro</t>
  </si>
  <si>
    <t>Три проверки в месяц</t>
  </si>
  <si>
    <t>Не навязчиво</t>
  </si>
  <si>
    <t>N-012</t>
  </si>
  <si>
    <t>Проверка книги</t>
  </si>
  <si>
    <t>Лицензия активна</t>
  </si>
  <si>
    <t>Единый вид результата с веб-версией</t>
  </si>
  <si>
    <t>N-013</t>
  </si>
  <si>
    <t>Оплата мест</t>
  </si>
  <si>
    <t>Роль администратора</t>
  </si>
  <si>
    <t>Команда позже</t>
  </si>
  <si>
    <t>Показаны блоки и призыв</t>
  </si>
  <si>
    <t>Индикатор загрузки</t>
  </si>
  <si>
    <t>Переход к загрузке</t>
  </si>
  <si>
    <t>Повторите попытку позже</t>
  </si>
  <si>
    <t>Поле загрузки и лимиты</t>
  </si>
  <si>
    <t>Файл не выбран</t>
  </si>
  <si>
    <t>Индикатор проверки</t>
  </si>
  <si>
    <t>Неверный формат или размер</t>
  </si>
  <si>
    <t>Сервис недоступен</t>
  </si>
  <si>
    <t>Переход к результату</t>
  </si>
  <si>
    <t>Проверьте формат xlsx и размер до лимита</t>
  </si>
  <si>
    <t>S-003</t>
  </si>
  <si>
    <t>Таблица находок</t>
  </si>
  <si>
    <t>Ошибок не найдено</t>
  </si>
  <si>
    <t>Не удалось получить результат</t>
  </si>
  <si>
    <t>Находки отображены</t>
  </si>
  <si>
    <t>Повторите проверку</t>
  </si>
  <si>
    <t>S-004</t>
  </si>
  <si>
    <t>Описание и доказательство</t>
  </si>
  <si>
    <t>Индикатор расчета</t>
  </si>
  <si>
    <t>Не удалось загрузить доказательство</t>
  </si>
  <si>
    <t>Находка принята</t>
  </si>
  <si>
    <t>Обновите страницу</t>
  </si>
  <si>
    <t>S-005</t>
  </si>
  <si>
    <t>Отчет собран</t>
  </si>
  <si>
    <t>Нет находок для отчета</t>
  </si>
  <si>
    <t>Индикатор сборки</t>
  </si>
  <si>
    <t>Сбой экспорта</t>
  </si>
  <si>
    <t>Нужен вход</t>
  </si>
  <si>
    <t>Отчет получен</t>
  </si>
  <si>
    <t>Повторите экспорт</t>
  </si>
  <si>
    <t>S-006</t>
  </si>
  <si>
    <t>Форма регистрации</t>
  </si>
  <si>
    <t>Индикатор отправки</t>
  </si>
  <si>
    <t>Неверный email</t>
  </si>
  <si>
    <t>Проверьте email и пароль</t>
  </si>
  <si>
    <t>S-007</t>
  </si>
  <si>
    <t>Таблица тарифов</t>
  </si>
  <si>
    <t>Цены временно недоступны</t>
  </si>
  <si>
    <t>Переход к оплате</t>
  </si>
  <si>
    <t>S-008</t>
  </si>
  <si>
    <t>Форма оплаты</t>
  </si>
  <si>
    <t>Корзина пуста</t>
  </si>
  <si>
    <t>Индикатор оплаты</t>
  </si>
  <si>
    <t>Неверные данные карты</t>
  </si>
  <si>
    <t>Платежный сервис недоступен</t>
  </si>
  <si>
    <t>S-009</t>
  </si>
  <si>
    <t>Текст политики</t>
  </si>
  <si>
    <t>Страница недоступна</t>
  </si>
  <si>
    <t>S-010</t>
  </si>
  <si>
    <t>Настройки аккаунта</t>
  </si>
  <si>
    <t>Файлов нет</t>
  </si>
  <si>
    <t>Индикатор удаления</t>
  </si>
  <si>
    <t>Неверное подтверждение</t>
  </si>
  <si>
    <t>Сбой удаления</t>
  </si>
  <si>
    <t>Данные удалены</t>
  </si>
  <si>
    <t>Подтвердите удаление повторно</t>
  </si>
  <si>
    <t>S-011</t>
  </si>
  <si>
    <t>Список проверок</t>
  </si>
  <si>
    <t>История пуста</t>
  </si>
  <si>
    <t>Не удалось загрузить историю</t>
  </si>
  <si>
    <t>Проверка запущена повторно</t>
  </si>
  <si>
    <t>Повторите попытку</t>
  </si>
  <si>
    <t>S-012</t>
  </si>
  <si>
    <t>Панель надстройки</t>
  </si>
  <si>
    <t>Книга пуста</t>
  </si>
  <si>
    <t>Книга защищена</t>
  </si>
  <si>
    <t>Нет сети</t>
  </si>
  <si>
    <t>Нет лицензии</t>
  </si>
  <si>
    <t>Находки подсвечены</t>
  </si>
  <si>
    <t>Проверьте лицензию и доступ</t>
  </si>
  <si>
    <t>S-013</t>
  </si>
  <si>
    <t>Список участников</t>
  </si>
  <si>
    <t>Участников нет</t>
  </si>
  <si>
    <t>Сбой приглашения</t>
  </si>
  <si>
    <t>Нет прав администратора</t>
  </si>
  <si>
    <t>Приглашение отправлено</t>
  </si>
  <si>
    <t>Проверьте права и email</t>
  </si>
  <si>
    <t>S-014</t>
  </si>
  <si>
    <t>Статьи справки</t>
  </si>
  <si>
    <t>Ничего не найдено</t>
  </si>
  <si>
    <t>Индикатор поиска</t>
  </si>
  <si>
    <t>Попробуйте другой запрос</t>
  </si>
  <si>
    <t>Ценностное предложение и примеры ошибок</t>
  </si>
  <si>
    <t>ЛР6.1, VP-001</t>
  </si>
  <si>
    <t>Продукт</t>
  </si>
  <si>
    <t>Лимиты Free и поддерживаемые форматы</t>
  </si>
  <si>
    <t>Тарифы ПЗ1</t>
  </si>
  <si>
    <t>При изменении тарифов</t>
  </si>
  <si>
    <t>Текст</t>
  </si>
  <si>
    <t>Список находок и критичность</t>
  </si>
  <si>
    <t>Движок проверки</t>
  </si>
  <si>
    <t>При каждой проверке</t>
  </si>
  <si>
    <t>Показывать владельцу файла</t>
  </si>
  <si>
    <t>Таблица</t>
  </si>
  <si>
    <t>Разработка</t>
  </si>
  <si>
    <t>Доказательство находки</t>
  </si>
  <si>
    <t>Формула + значение</t>
  </si>
  <si>
    <t>Показывать после оплаты</t>
  </si>
  <si>
    <t>Документ</t>
  </si>
  <si>
    <t>ПЗ1, ЛР2-3</t>
  </si>
  <si>
    <t>При изменении цен</t>
  </si>
  <si>
    <t>Политика данных и GDPR</t>
  </si>
  <si>
    <t>ЛР5, юридические условия</t>
  </si>
  <si>
    <t>При изменении политики</t>
  </si>
  <si>
    <t>Юрист</t>
  </si>
  <si>
    <t>Команда продукта</t>
  </si>
  <si>
    <t>Ежемесячно</t>
  </si>
  <si>
    <t>Статья</t>
  </si>
  <si>
    <t>переход к Загрузка файла и запуск проверки</t>
  </si>
  <si>
    <t>клики по призыву, переход к загрузке</t>
  </si>
  <si>
    <t>Непонятная ценность, перегрузка</t>
  </si>
  <si>
    <t>доля завершенных загрузок</t>
  </si>
  <si>
    <t>Большой файл, неверный формат</t>
  </si>
  <si>
    <t>переход к Карточка находки с доказательством</t>
  </si>
  <si>
    <t>доля просмотренных находок</t>
  </si>
  <si>
    <t>Слишком много находок</t>
  </si>
  <si>
    <t>переход к Регистрация и вход</t>
  </si>
  <si>
    <t>доля принятых находок</t>
  </si>
  <si>
    <t>Непонятное доказательство</t>
  </si>
  <si>
    <t>возврат к предыдущему шагу</t>
  </si>
  <si>
    <t>доля купивших отчет</t>
  </si>
  <si>
    <t>Формат не подходит заказчику</t>
  </si>
  <si>
    <t>конверсия в регистрацию</t>
  </si>
  <si>
    <t>Потеря результата без входа</t>
  </si>
  <si>
    <t>переход к Оплата</t>
  </si>
  <si>
    <t>доля перешедших к оплате</t>
  </si>
  <si>
    <t>Неясные лимиты Free</t>
  </si>
  <si>
    <t>переход к Отчет аудита</t>
  </si>
  <si>
    <t>конверсия в платящего</t>
  </si>
  <si>
    <t>Сбой платежа</t>
  </si>
  <si>
    <t>переход к Настройки аккаунта и удаление данных</t>
  </si>
  <si>
    <t>доля посетителей страницы, дошедших до загрузки</t>
  </si>
  <si>
    <t>Неполные формулировки</t>
  </si>
  <si>
    <t>число запросов на удаление</t>
  </si>
  <si>
    <t>Случайное удаление</t>
  </si>
  <si>
    <t>доля повторных проверок</t>
  </si>
  <si>
    <t>Пустая история у новых</t>
  </si>
  <si>
    <t>установки и активация</t>
  </si>
  <si>
    <t>Правила публикации AppSource</t>
  </si>
  <si>
    <t>число мест</t>
  </si>
  <si>
    <t>Нет подтвержденного спроса</t>
  </si>
  <si>
    <t>просмотры статей, обращения в поддержку</t>
  </si>
  <si>
    <t>Устаревшие статьи</t>
  </si>
  <si>
    <t>Включить в первую версию</t>
  </si>
  <si>
    <t>Без экрана нет первого результата</t>
  </si>
  <si>
    <t>Показывает ключевую ценность</t>
  </si>
  <si>
    <t>Зона дифференциации</t>
  </si>
  <si>
    <t>Основа платных продаж</t>
  </si>
  <si>
    <t>Нужна для сохранения результата и оплаты</t>
  </si>
  <si>
    <t>Прозрачная цена - зона дифференциации</t>
  </si>
  <si>
    <t>Без оплаты нет дохода</t>
  </si>
  <si>
    <t>Обязательный разрыв ЛР5</t>
  </si>
  <si>
    <t>Требование GDPR</t>
  </si>
  <si>
    <t>Удержание, не нужна для первой ценности</t>
  </si>
  <si>
    <t>Стандарт рынка, выпуск в бета v1</t>
  </si>
  <si>
    <t>Выручка за место после подтверждения спроса</t>
  </si>
  <si>
    <t>Стандарт рынка, развивается после запуска</t>
  </si>
  <si>
    <t>Переход от бизнес-логики и пользовательских сценариев к страницам и экранам</t>
  </si>
  <si>
    <t>Каждая строка - доказанный вывод, который может повлиять на состав страниц, экранов, навигации, контента или состояний.</t>
  </si>
  <si>
    <t>Спрос проблемный - ошибки в формулах ищут чаще, чем аудит</t>
  </si>
  <si>
    <t>SAM 35 млн у.е., платящих за 4 месяца бета 19 при цели 50</t>
  </si>
  <si>
    <t>Цена Pro 19 у.е. на медиане рынка, специализированные аналоги от 69 у.е.</t>
  </si>
  <si>
    <t>PerfectXL 69 у.е., Rows 7,1 у.е., Copilot 16 у.е., Shortcut 89 у.е.</t>
  </si>
  <si>
    <t>Страница тарифов с лестницей Free, 9, 19, 29 у.е.</t>
  </si>
  <si>
    <t>Практика - корпоративные пакеты и демо; самообслуживание только у AI-помощников</t>
  </si>
  <si>
    <t>Проблема массовая - первый экран должен называть ее прямо</t>
  </si>
  <si>
    <t>Файл слишком большой - сообщение с лимитом</t>
  </si>
  <si>
    <t>Тарифы → оплата 9 у.е. → полный отчет</t>
  </si>
  <si>
    <t>Отказ платежа - повтор и поддержка</t>
  </si>
  <si>
    <t>Предложение Pro → оплата 19 у.е. → активация</t>
  </si>
  <si>
    <t>Нет доступа к надстройке - веб-версия</t>
  </si>
  <si>
    <t>Формат не подходит - шаблон отчета</t>
  </si>
  <si>
    <t>Файл защищен паролем - запрос пароля</t>
  </si>
  <si>
    <t>Кабинет → приглашение → оплата мест 29 у.е.</t>
  </si>
  <si>
    <t>Платная подписка активна - напоминание</t>
  </si>
  <si>
    <t>Результат проверки - список находок</t>
  </si>
  <si>
    <t>Free, 9 у.е., Pro 19 у.е., Team 29 у.е.</t>
  </si>
  <si>
    <t>Личный кабинет - история проверок</t>
  </si>
  <si>
    <t>Надстройка Excel - панель проверки</t>
  </si>
  <si>
    <t>-</t>
  </si>
  <si>
    <t>Платеж не прошел - проверьте карту</t>
  </si>
  <si>
    <t>переход к Результат проверки - список находок</t>
  </si>
  <si>
    <t>переход к Личный кабинет - история проверок</t>
  </si>
  <si>
    <t>Показывает готовность проектной логики - покрытие сценариев, полноту паспортов, состояние навигации, наличие состояний и приоритизацию.</t>
  </si>
  <si>
    <t>P1 - первая версия</t>
  </si>
  <si>
    <t>P2 - следующий выпуск</t>
  </si>
  <si>
    <t>P3 - можно отложить</t>
  </si>
  <si>
    <t>Ключевые выводы из анализа проблем, конкурентов, отзывов, бизнес-модели и пользовательских сценариев в лист «Банк_выводов».</t>
  </si>
  <si>
    <t>Пользовательские роли и сегменты на листе «Роли_и_сегменты». Эти роли используются дальше для сценариев, страниц и экранов.</t>
  </si>
  <si>
    <t>Переходы, состояния, ошибки, пустые состояния и сообщения пользователю. Это снижает риск разрывов сценария.</t>
  </si>
  <si>
    <t>На листе «Пользовательские_сценарии» описаны пользовательские цели, потоки, данные, критичность, частота и сложность.</t>
  </si>
  <si>
    <t>Назначение, задачи, действия, состояния, навигация и метрики описаны в паспортах экранов</t>
  </si>
  <si>
    <t>Пустые, загрузочные, ошибочные и успешные состояния описаны на листе «Состояния_и_ошибки»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</si>
</sst>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sz val="11"/>
      <name val="Carlito"/>
    </font>
    <font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horizontal="left" vertical="center" wrapText="1"/>
    </xf>
    <xf numFmtId="0" fontId="2" fillId="0" borderId="3" xfId="1" applyFont="1" applyBorder="1" applyAlignment="1">
      <alignment horizontal="left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9" fontId="2" fillId="0" borderId="2" xfId="1" applyNumberFormat="1" applyFont="1" applyBorder="1" applyAlignment="1">
      <alignment horizontal="center" vertical="center" wrapText="1"/>
    </xf>
    <xf numFmtId="9" fontId="2" fillId="0" borderId="3" xfId="1" applyNumberFormat="1" applyFont="1" applyBorder="1" applyAlignment="1">
      <alignment horizontal="center" vertical="center" wrapText="1"/>
    </xf>
    <xf numFmtId="9" fontId="2" fillId="0" borderId="4" xfId="1" applyNumberFormat="1" applyFont="1" applyBorder="1" applyAlignment="1">
      <alignment horizontal="center" vertical="center" wrapText="1"/>
    </xf>
    <xf numFmtId="0" fontId="2" fillId="0" borderId="4" xfId="1" applyFont="1" applyBorder="1" applyAlignment="1">
      <alignment horizontal="left" vertical="center" wrapText="1"/>
    </xf>
    <xf numFmtId="0" fontId="2" fillId="2" borderId="1" xfId="1" applyFont="1" applyFill="1" applyBorder="1" applyAlignment="1">
      <alignment horizontal="left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2" borderId="1" xfId="1" applyFont="1" applyFill="1" applyBorder="1" applyAlignment="1">
      <alignment horizontal="left" vertical="center" wrapText="1"/>
    </xf>
    <xf numFmtId="0" fontId="2" fillId="2" borderId="2" xfId="1" applyFont="1" applyFill="1" applyBorder="1" applyAlignment="1">
      <alignment horizontal="left" vertical="center" wrapText="1"/>
    </xf>
    <xf numFmtId="0" fontId="2" fillId="2" borderId="3" xfId="1" applyFont="1" applyFill="1" applyBorder="1" applyAlignment="1">
      <alignment horizontal="left" vertical="center" wrapText="1"/>
    </xf>
    <xf numFmtId="0" fontId="2" fillId="2" borderId="4" xfId="1" applyFont="1" applyFill="1" applyBorder="1" applyAlignment="1">
      <alignment horizontal="left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168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Готовность ключевых блоков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Готовность</c:v>
          </c:tx>
          <c:spPr>
            <a:solidFill>
              <a:srgbClr val="1F4E79"/>
            </a:solidFill>
          </c:spPr>
          <c:invertIfNegative val="1"/>
          <c:cat>
            <c:strRef>
              <c:f>Дашборд!$A$13:$A$16</c:f>
              <c:strCache>
                <c:ptCount val="4"/>
                <c:pt idx="0">
                  <c:v>Покрытие сценариев</c:v>
                </c:pt>
                <c:pt idx="1">
                  <c:v>Описание страниц/экранов</c:v>
                </c:pt>
                <c:pt idx="2">
                  <c:v>Паспорта</c:v>
                </c:pt>
                <c:pt idx="3">
                  <c:v>Состояния</c:v>
                </c:pt>
              </c:strCache>
            </c:strRef>
          </c:cat>
          <c:val>
            <c:numRef>
              <c:f>Дашборд!$B$13:$B$16</c:f>
              <c:numCache>
                <c:formatCode>0%</c:formatCode>
                <c:ptCount val="4"/>
                <c:pt idx="0">
                  <c:v>0.8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CFAF-4F97-8E14-024B18188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2</xdr:col>
      <xdr:colOff>1298575</xdr:colOff>
      <xdr:row>37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3:C12" headerRowDxfId="167" dataDxfId="166" totalsRowDxfId="165">
  <tableColumns count="3">
    <tableColumn id="1" xr3:uid="{00000000-0010-0000-0000-000001000000}" name="Шаг" dataDxfId="164"/>
    <tableColumn id="2" xr3:uid="{00000000-0010-0000-0000-000002000000}" name="Действие" dataDxfId="163"/>
    <tableColumn id="3" xr3:uid="{00000000-0010-0000-0000-000003000000}" name="Что сделать" dataDxfId="1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indingsTable" displayName="FindingsTable" ref="A3:K15" headerRowDxfId="161" dataDxfId="160" totalsRowDxfId="159">
  <tableColumns count="11">
    <tableColumn id="1" xr3:uid="{00000000-0010-0000-0100-000001000000}" name="ID вывода" dataDxfId="158"/>
    <tableColumn id="2" xr3:uid="{00000000-0010-0000-0100-000002000000}" name="Вид анализа" dataDxfId="157"/>
    <tableColumn id="3" xr3:uid="{00000000-0010-0000-0100-000003000000}" name="Объект анализа" dataDxfId="156"/>
    <tableColumn id="4" xr3:uid="{00000000-0010-0000-0100-000004000000}" name="Вывод / факт" dataDxfId="155"/>
    <tableColumn id="5" xr3:uid="{00000000-0010-0000-0100-000005000000}" name="Доказательство / ссылка" dataDxfId="154"/>
    <tableColumn id="6" xr3:uid="{00000000-0010-0000-0100-000006000000}" name="Надежность 1–5" dataDxfId="153"/>
    <tableColumn id="7" xr3:uid="{00000000-0010-0000-0100-000007000000}" name="Значимость 1–5" dataDxfId="152"/>
    <tableColumn id="8" xr3:uid="{00000000-0010-0000-0100-000008000000}" name="Влияние на интерфейс" dataDxfId="151"/>
    <tableColumn id="9" xr3:uid="{00000000-0010-0000-0100-000009000000}" name="Связанные роли" dataDxfId="150"/>
    <tableColumn id="10" xr3:uid="{00000000-0010-0000-0100-00000A000000}" name="Связанные сценарии" dataDxfId="149"/>
    <tableColumn id="11" xr3:uid="{00000000-0010-0000-0100-00000B000000}" name="Решение для страниц/экранов" dataDxfId="1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olesTable" displayName="RolesTable" ref="A3:J8" headerRowDxfId="147" dataDxfId="146" totalsRowDxfId="145">
  <tableColumns count="10">
    <tableColumn id="1" xr3:uid="{00000000-0010-0000-0200-000001000000}" name="Роль_ID" dataDxfId="144"/>
    <tableColumn id="2" xr3:uid="{00000000-0010-0000-0200-000002000000}" name="Роль / сегмент" dataDxfId="143"/>
    <tableColumn id="3" xr3:uid="{00000000-0010-0000-0200-000003000000}" name="Цель роли" dataDxfId="142"/>
    <tableColumn id="4" xr3:uid="{00000000-0010-0000-0200-000004000000}" name="Основная проблема" dataDxfId="141"/>
    <tableColumn id="5" xr3:uid="{00000000-0010-0000-0200-000005000000}" name="Ожидаемая ценность" dataDxfId="140"/>
    <tableColumn id="6" xr3:uid="{00000000-0010-0000-0200-000006000000}" name="Цифровая зрелость" dataDxfId="139"/>
    <tableColumn id="7" xr3:uid="{00000000-0010-0000-0200-000007000000}" name="Частота использования" dataDxfId="138"/>
    <tableColumn id="8" xr3:uid="{00000000-0010-0000-0200-000008000000}" name="Критичность задачи 1–5" dataDxfId="137"/>
    <tableColumn id="9" xr3:uid="{00000000-0010-0000-0200-000009000000}" name="Канал входа" dataDxfId="136"/>
    <tableColumn id="10" xr3:uid="{00000000-0010-0000-0200-00000A000000}" name="Примечание" dataDxfId="1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Table" displayName="ScenariosTable" ref="A3:O13" headerRowDxfId="134" dataDxfId="133" totalsRowDxfId="132">
  <tableColumns count="15">
    <tableColumn id="1" xr3:uid="{00000000-0010-0000-0300-000001000000}" name="Сценарий_ID" dataDxfId="131"/>
    <tableColumn id="2" xr3:uid="{00000000-0010-0000-0300-000002000000}" name="Роль_ID" dataDxfId="130"/>
    <tableColumn id="3" xr3:uid="{00000000-0010-0000-0300-000003000000}" name="Этап пути" dataDxfId="129"/>
    <tableColumn id="4" xr3:uid="{00000000-0010-0000-0300-000004000000}" name="Пользовательская цель" dataDxfId="128"/>
    <tableColumn id="5" xr3:uid="{00000000-0010-0000-0300-000005000000}" name="Начальный триггер" dataDxfId="127"/>
    <tableColumn id="6" xr3:uid="{00000000-0010-0000-0300-000006000000}" name="Основной поток" dataDxfId="126"/>
    <tableColumn id="7" xr3:uid="{00000000-0010-0000-0300-000007000000}" name="Альтернативный поток" dataDxfId="125"/>
    <tableColumn id="8" xr3:uid="{00000000-0010-0000-0300-000008000000}" name="Данные / контент" dataDxfId="124"/>
    <tableColumn id="9" xr3:uid="{00000000-0010-0000-0300-000009000000}" name="Бизнес-результат" dataDxfId="123"/>
    <tableColumn id="10" xr3:uid="{00000000-0010-0000-0300-00000A000000}" name="Критичность 1–5" dataDxfId="122"/>
    <tableColumn id="11" xr3:uid="{00000000-0010-0000-0300-00000B000000}" name="Частота 1–5" dataDxfId="121"/>
    <tableColumn id="12" xr3:uid="{00000000-0010-0000-0300-00000C000000}" name="Сложность 1–5" dataDxfId="120"/>
    <tableColumn id="13" xr3:uid="{00000000-0010-0000-0300-00000D000000}" name="Кол-во страниц/экранов" dataDxfId="119"/>
    <tableColumn id="14" xr3:uid="{00000000-0010-0000-0300-00000E000000}" name="Статус покрытия" dataDxfId="118"/>
    <tableColumn id="15" xr3:uid="{00000000-0010-0000-0300-00000F000000}" name="Приоритет сценария" dataDxfId="1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UnitsTable" displayName="UnitsTable" ref="A3:U17" headerRowDxfId="116" dataDxfId="115" totalsRowDxfId="114">
  <tableColumns count="21">
    <tableColumn id="1" xr3:uid="{00000000-0010-0000-0400-000001000000}" name="Unit_ID" dataDxfId="113"/>
    <tableColumn id="2" xr3:uid="{00000000-0010-0000-0400-000002000000}" name="Тип" dataDxfId="112"/>
    <tableColumn id="3" xr3:uid="{00000000-0010-0000-0400-000003000000}" name="Название" dataDxfId="111"/>
    <tableColumn id="4" xr3:uid="{00000000-0010-0000-0400-000004000000}" name="Назначение" dataDxfId="110"/>
    <tableColumn id="5" xr3:uid="{00000000-0010-0000-0400-000005000000}" name="Связанный сценарий_ID" dataDxfId="109"/>
    <tableColumn id="6" xr3:uid="{00000000-0010-0000-0400-000006000000}" name="Роль_ID" dataDxfId="108"/>
    <tableColumn id="7" xr3:uid="{00000000-0010-0000-0400-000007000000}" name="Этап пути" dataDxfId="107"/>
    <tableColumn id="8" xr3:uid="{00000000-0010-0000-0400-000008000000}" name="Главная задача пользователя" dataDxfId="106"/>
    <tableColumn id="9" xr3:uid="{00000000-0010-0000-0400-000009000000}" name="Ключевое действие" dataDxfId="105"/>
    <tableColumn id="10" xr3:uid="{00000000-0010-0000-0400-00000A000000}" name="Источник требования" dataDxfId="104"/>
    <tableColumn id="11" xr3:uid="{00000000-0010-0000-0400-00000B000000}" name="Данные / контент" dataDxfId="103"/>
    <tableColumn id="12" xr3:uid="{00000000-0010-0000-0400-00000C000000}" name="Компоненты" dataDxfId="102"/>
    <tableColumn id="13" xr3:uid="{00000000-0010-0000-0400-00000D000000}" name="Состояния" dataDxfId="101"/>
    <tableColumn id="14" xr3:uid="{00000000-0010-0000-0400-00000E000000}" name="Ошибки / исключения" dataDxfId="100"/>
    <tableColumn id="15" xr3:uid="{00000000-0010-0000-0400-00000F000000}" name="Нужна авторизация" dataDxfId="99"/>
    <tableColumn id="16" xr3:uid="{00000000-0010-0000-0400-000010000000}" name="Монетизационная роль" dataDxfId="98"/>
    <tableColumn id="17" xr3:uid="{00000000-0010-0000-0400-000011000000}" name="Оценка приоритета" dataDxfId="97"/>
    <tableColumn id="18" xr3:uid="{00000000-0010-0000-0400-000012000000}" name="Статус" dataDxfId="96"/>
    <tableColumn id="19" xr3:uid="{00000000-0010-0000-0400-000013000000}" name="Доказательность 1–5" dataDxfId="95"/>
    <tableColumn id="20" xr3:uid="{00000000-0010-0000-0400-000014000000}" name="Полнота описания" dataDxfId="94"/>
    <tableColumn id="21" xr3:uid="{00000000-0010-0000-0400-000015000000}" name="Решение" dataDxfId="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InterfaceMatrix" displayName="ScenarioInterfaceMatrix" ref="A3:I20" headerRowDxfId="92" dataDxfId="91" totalsRowDxfId="90">
  <tableColumns count="9">
    <tableColumn id="1" xr3:uid="{00000000-0010-0000-0500-000001000000}" name="Связь_ID" dataDxfId="89"/>
    <tableColumn id="2" xr3:uid="{00000000-0010-0000-0500-000002000000}" name="Сценарий_ID" dataDxfId="88"/>
    <tableColumn id="3" xr3:uid="{00000000-0010-0000-0500-000003000000}" name="Unit_ID" dataDxfId="87"/>
    <tableColumn id="4" xr3:uid="{00000000-0010-0000-0500-000004000000}" name="Тип связи" dataDxfId="86"/>
    <tableColumn id="5" xr3:uid="{00000000-0010-0000-0500-000005000000}" name="Обязательность" dataDxfId="85"/>
    <tableColumn id="6" xr3:uid="{00000000-0010-0000-0500-000006000000}" name="Порядок в сценарии" dataDxfId="84"/>
    <tableColumn id="7" xr3:uid="{00000000-0010-0000-0500-000007000000}" name="Предыдущее Unit_ID" dataDxfId="83"/>
    <tableColumn id="8" xr3:uid="{00000000-0010-0000-0500-000008000000}" name="Следующее Unit_ID" dataDxfId="82"/>
    <tableColumn id="9" xr3:uid="{00000000-0010-0000-0500-000009000000}" name="Комментарий" dataDxfId="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avigationTable" displayName="NavigationTable" ref="A3:J16" headerRowDxfId="80" dataDxfId="79" totalsRowDxfId="78">
  <tableColumns count="10">
    <tableColumn id="1" xr3:uid="{00000000-0010-0000-0600-000001000000}" name="Переход_ID" dataDxfId="77"/>
    <tableColumn id="2" xr3:uid="{00000000-0010-0000-0600-000002000000}" name="Откуда Unit_ID" dataDxfId="76"/>
    <tableColumn id="3" xr3:uid="{00000000-0010-0000-0600-000003000000}" name="Куда Unit_ID" dataDxfId="75"/>
    <tableColumn id="4" xr3:uid="{00000000-0010-0000-0600-000004000000}" name="Событие / действие" dataDxfId="74"/>
    <tableColumn id="5" xr3:uid="{00000000-0010-0000-0600-000005000000}" name="Условие" dataDxfId="73"/>
    <tableColumn id="6" xr3:uid="{00000000-0010-0000-0600-000006000000}" name="Роль_ID" dataDxfId="72"/>
    <tableColumn id="7" xr3:uid="{00000000-0010-0000-0600-000007000000}" name="Этап пути" dataDxfId="71"/>
    <tableColumn id="8" xr3:uid="{00000000-0010-0000-0600-000008000000}" name="Тип перехода" dataDxfId="70"/>
    <tableColumn id="9" xr3:uid="{00000000-0010-0000-0600-000009000000}" name="Риск разрыва 1–5" dataDxfId="69"/>
    <tableColumn id="10" xr3:uid="{00000000-0010-0000-0600-00000A000000}" name="Комментарий" dataDxfId="6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tatesTable" displayName="StatesTable" ref="A3:K17" headerRowDxfId="67" dataDxfId="66" totalsRowDxfId="65">
  <tableColumns count="11">
    <tableColumn id="1" xr3:uid="{00000000-0010-0000-0700-000001000000}" name="State_ID" dataDxfId="64"/>
    <tableColumn id="2" xr3:uid="{00000000-0010-0000-0700-000002000000}" name="Unit_ID" dataDxfId="63"/>
    <tableColumn id="3" xr3:uid="{00000000-0010-0000-0700-000003000000}" name="Нормальное состояние" dataDxfId="62"/>
    <tableColumn id="4" xr3:uid="{00000000-0010-0000-0700-000004000000}" name="Пустое состояние" dataDxfId="61"/>
    <tableColumn id="5" xr3:uid="{00000000-0010-0000-0700-000005000000}" name="Загрузка" dataDxfId="60"/>
    <tableColumn id="6" xr3:uid="{00000000-0010-0000-0700-000006000000}" name="Ошибка валидации" dataDxfId="59"/>
    <tableColumn id="7" xr3:uid="{00000000-0010-0000-0700-000007000000}" name="Ошибка сети/сервера" dataDxfId="58"/>
    <tableColumn id="8" xr3:uid="{00000000-0010-0000-0700-000008000000}" name="Нет прав" dataDxfId="57"/>
    <tableColumn id="9" xr3:uid="{00000000-0010-0000-0700-000009000000}" name="Успешное завершение" dataDxfId="56"/>
    <tableColumn id="10" xr3:uid="{00000000-0010-0000-0700-00000A000000}" name="Сообщение пользователю" dataDxfId="55"/>
    <tableColumn id="11" xr3:uid="{00000000-0010-0000-0700-00000B000000}" name="Полнота состояний" dataDxfId="5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ontentTable" displayName="ContentTable" ref="A3:I11" headerRowDxfId="53" dataDxfId="52" totalsRowDxfId="51">
  <tableColumns count="9">
    <tableColumn id="1" xr3:uid="{00000000-0010-0000-0800-000001000000}" name="Unit_ID" dataDxfId="50"/>
    <tableColumn id="2" xr3:uid="{00000000-0010-0000-0800-000002000000}" name="Элемент контента / данных" dataDxfId="49"/>
    <tableColumn id="3" xr3:uid="{00000000-0010-0000-0800-000003000000}" name="Источник данных" dataDxfId="48"/>
    <tableColumn id="4" xr3:uid="{00000000-0010-0000-0800-000004000000}" name="Обязательность" dataDxfId="47"/>
    <tableColumn id="5" xr3:uid="{00000000-0010-0000-0800-000005000000}" name="Частота обновления" dataDxfId="46"/>
    <tableColumn id="6" xr3:uid="{00000000-0010-0000-0800-000006000000}" name="Персонализация" dataDxfId="45"/>
    <tableColumn id="7" xr3:uid="{00000000-0010-0000-0800-000007000000}" name="Правило отображения" dataDxfId="44"/>
    <tableColumn id="8" xr3:uid="{00000000-0010-0000-0800-000008000000}" name="Формат" dataDxfId="43"/>
    <tableColumn id="9" xr3:uid="{00000000-0010-0000-0800-000009000000}" name="Ответственный" dataDxfId="4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assportTable" displayName="PassportTable" ref="A3:O17" headerRowDxfId="41" dataDxfId="40" totalsRowDxfId="39">
  <tableColumns count="15">
    <tableColumn id="1" xr3:uid="{00000000-0010-0000-0900-000001000000}" name="Unit_ID" dataDxfId="38"/>
    <tableColumn id="2" xr3:uid="{00000000-0010-0000-0900-000002000000}" name="Название" dataDxfId="37"/>
    <tableColumn id="3" xr3:uid="{00000000-0010-0000-0900-000003000000}" name="Тип" dataDxfId="36"/>
    <tableColumn id="4" xr3:uid="{00000000-0010-0000-0900-000004000000}" name="Сценарий_ID" dataDxfId="35"/>
    <tableColumn id="5" xr3:uid="{00000000-0010-0000-0900-000005000000}" name="Роль_ID" dataDxfId="34"/>
    <tableColumn id="6" xr3:uid="{00000000-0010-0000-0900-000006000000}" name="Назначение" dataDxfId="33"/>
    <tableColumn id="7" xr3:uid="{00000000-0010-0000-0900-000007000000}" name="Главная задача" dataDxfId="32"/>
    <tableColumn id="8" xr3:uid="{00000000-0010-0000-0900-000008000000}" name="Основное действие" dataDxfId="31"/>
    <tableColumn id="9" xr3:uid="{00000000-0010-0000-0900-000009000000}" name="Состав блоков" dataDxfId="30"/>
    <tableColumn id="10" xr3:uid="{00000000-0010-0000-0900-00000A000000}" name="Состояния" dataDxfId="29"/>
    <tableColumn id="11" xr3:uid="{00000000-0010-0000-0900-00000B000000}" name="Навигация" dataDxfId="28"/>
    <tableColumn id="12" xr3:uid="{00000000-0010-0000-0900-00000C000000}" name="Метрики успеха" dataDxfId="27"/>
    <tableColumn id="13" xr3:uid="{00000000-0010-0000-0900-00000D000000}" name="Риски" dataDxfId="26"/>
    <tableColumn id="14" xr3:uid="{00000000-0010-0000-0900-00000E000000}" name="Полнота паспорта" dataDxfId="25"/>
    <tableColumn id="15" xr3:uid="{00000000-0010-0000-0900-00000F000000}" name="Вердикт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PriorityTable" displayName="PriorityTable" ref="A3:L17" headerRowDxfId="23" dataDxfId="22" totalsRowDxfId="21">
  <tableColumns count="12">
    <tableColumn id="1" xr3:uid="{00000000-0010-0000-0A00-000001000000}" name="Unit_ID" dataDxfId="20"/>
    <tableColumn id="2" xr3:uid="{00000000-0010-0000-0A00-000002000000}" name="Название" dataDxfId="19"/>
    <tableColumn id="3" xr3:uid="{00000000-0010-0000-0A00-000003000000}" name="Связанный сценарий_ID" dataDxfId="18"/>
    <tableColumn id="4" xr3:uid="{00000000-0010-0000-0A00-000004000000}" name="Ценность для пользователя 1–5" dataDxfId="17"/>
    <tableColumn id="5" xr3:uid="{00000000-0010-0000-0A00-000005000000}" name="Влияние на бизнес 1–5" dataDxfId="16"/>
    <tableColumn id="6" xr3:uid="{00000000-0010-0000-0A00-000006000000}" name="Частота использования 1–5" dataDxfId="15"/>
    <tableColumn id="7" xr3:uid="{00000000-0010-0000-0A00-000007000000}" name="Риск без реализации 1–5" dataDxfId="14"/>
    <tableColumn id="8" xr3:uid="{00000000-0010-0000-0A00-000008000000}" name="Сложность 1–5" dataDxfId="13"/>
    <tableColumn id="9" xr3:uid="{00000000-0010-0000-0A00-000009000000}" name="Итоговый балл" dataDxfId="12"/>
    <tableColumn id="10" xr3:uid="{00000000-0010-0000-0A00-00000A000000}" name="Класс приоритета" dataDxfId="11"/>
    <tableColumn id="11" xr3:uid="{00000000-0010-0000-0A00-00000B000000}" name="Основание" dataDxfId="10"/>
    <tableColumn id="12" xr3:uid="{00000000-0010-0000-0A00-00000C000000}" name="Решение" dataDxfId="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sTable" displayName="ChecksTable" ref="A3:F10" headerRowDxfId="8" dataDxfId="7" totalsRowDxfId="6">
  <tableColumns count="6">
    <tableColumn id="1" xr3:uid="{00000000-0010-0000-0B00-000001000000}" name="Проверка" dataDxfId="5"/>
    <tableColumn id="2" xr3:uid="{00000000-0010-0000-0B00-000002000000}" name="Описание" dataDxfId="4"/>
    <tableColumn id="3" xr3:uid="{00000000-0010-0000-0B00-000003000000}" name="Расчет / критерий" dataDxfId="3"/>
    <tableColumn id="4" xr3:uid="{00000000-0010-0000-0B00-000004000000}" name="Результат" dataDxfId="2"/>
    <tableColumn id="5" xr3:uid="{00000000-0010-0000-0B00-000005000000}" name="Статус" dataDxfId="1"/>
    <tableColumn id="6" xr3:uid="{00000000-0010-0000-0B00-000006000000}" name="Что исправит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workbookViewId="0">
      <selection sqref="A1:I1"/>
    </sheetView>
  </sheetViews>
  <sheetFormatPr defaultRowHeight="13.5"/>
  <cols>
    <col min="1" max="1" width="10.5625" customWidth="1"/>
    <col min="2" max="2" width="34" customWidth="1"/>
    <col min="3" max="3" width="52.5625" customWidth="1"/>
    <col min="4" max="21" width="10.5625" customWidth="1"/>
  </cols>
  <sheetData>
    <row r="1" spans="1:21" ht="20" customHeight="1">
      <c r="A1" s="19" t="s">
        <v>798</v>
      </c>
      <c r="B1" s="20"/>
      <c r="C1" s="20"/>
      <c r="D1" s="20"/>
      <c r="E1" s="20"/>
      <c r="F1" s="20"/>
      <c r="G1" s="20"/>
      <c r="H1" s="20"/>
      <c r="I1" s="20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6" customHeight="1">
      <c r="A2" s="21" t="s">
        <v>0</v>
      </c>
      <c r="B2" s="21"/>
      <c r="C2" s="21"/>
      <c r="D2" s="22"/>
      <c r="E2" s="22"/>
      <c r="F2" s="22"/>
      <c r="G2" s="22"/>
      <c r="H2" s="22"/>
      <c r="I2" s="2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2" t="s">
        <v>1</v>
      </c>
      <c r="B3" s="2" t="s">
        <v>2</v>
      </c>
      <c r="C3" s="7" t="s">
        <v>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42.75">
      <c r="A4" s="3" t="s">
        <v>4</v>
      </c>
      <c r="B4" s="3" t="s">
        <v>5</v>
      </c>
      <c r="C4" s="16" t="s">
        <v>828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42.75">
      <c r="A5" s="3" t="s">
        <v>6</v>
      </c>
      <c r="B5" s="3" t="s">
        <v>7</v>
      </c>
      <c r="C5" s="16" t="s">
        <v>829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42.75">
      <c r="A6" s="3" t="s">
        <v>8</v>
      </c>
      <c r="B6" s="3" t="s">
        <v>9</v>
      </c>
      <c r="C6" s="16" t="s">
        <v>831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42.75">
      <c r="A7" s="3" t="s">
        <v>10</v>
      </c>
      <c r="B7" s="3" t="s">
        <v>11</v>
      </c>
      <c r="C7" s="16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42.75">
      <c r="A8" s="3" t="s">
        <v>13</v>
      </c>
      <c r="B8" s="3" t="s">
        <v>14</v>
      </c>
      <c r="C8" s="16" t="s">
        <v>15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8.5">
      <c r="A9" s="3" t="s">
        <v>16</v>
      </c>
      <c r="B9" s="6" t="s">
        <v>17</v>
      </c>
      <c r="C9" s="16" t="s">
        <v>830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42.75">
      <c r="A10" s="3" t="s">
        <v>18</v>
      </c>
      <c r="B10" s="3" t="s">
        <v>19</v>
      </c>
      <c r="C10" s="16" t="s">
        <v>20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28.5">
      <c r="A11" s="3" t="s">
        <v>21</v>
      </c>
      <c r="B11" s="3" t="s">
        <v>22</v>
      </c>
      <c r="C11" s="16" t="s">
        <v>23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28.5">
      <c r="A12" s="4" t="s">
        <v>24</v>
      </c>
      <c r="B12" s="4" t="s">
        <v>25</v>
      </c>
      <c r="C12" s="9" t="s">
        <v>26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</sheetData>
  <mergeCells count="2">
    <mergeCell ref="A1:I1"/>
    <mergeCell ref="A2:I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"/>
  <sheetViews>
    <sheetView workbookViewId="0"/>
  </sheetViews>
  <sheetFormatPr defaultRowHeight="13.5"/>
  <cols>
    <col min="1" max="1" width="13" customWidth="1"/>
    <col min="2" max="2" width="28.75" customWidth="1"/>
    <col min="3" max="3" width="25.625" customWidth="1"/>
    <col min="4" max="5" width="52.5625" customWidth="1"/>
    <col min="6" max="7" width="18.25" customWidth="1"/>
    <col min="8" max="8" width="52.5625" customWidth="1"/>
    <col min="9" max="9" width="18.25" customWidth="1"/>
    <col min="10" max="10" width="22.4375" customWidth="1"/>
    <col min="11" max="11" width="52.5625" customWidth="1"/>
    <col min="12" max="21" width="10.5625" customWidth="1"/>
  </cols>
  <sheetData>
    <row r="1" spans="1:21" ht="20" customHeight="1">
      <c r="A1" s="19" t="s">
        <v>27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799</v>
      </c>
      <c r="B2" s="21"/>
      <c r="C2" s="21"/>
      <c r="D2" s="21"/>
      <c r="E2" s="21"/>
      <c r="F2" s="21"/>
      <c r="G2" s="21"/>
      <c r="H2" s="21"/>
      <c r="I2" s="21"/>
      <c r="J2" s="21"/>
      <c r="K2" s="24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1" t="s">
        <v>38</v>
      </c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28.5">
      <c r="A4" s="6" t="s">
        <v>295</v>
      </c>
      <c r="B4" s="3" t="s">
        <v>296</v>
      </c>
      <c r="C4" s="3" t="s">
        <v>297</v>
      </c>
      <c r="D4" s="6" t="s">
        <v>800</v>
      </c>
      <c r="E4" s="6" t="s">
        <v>298</v>
      </c>
      <c r="F4" s="3">
        <v>4</v>
      </c>
      <c r="G4" s="3">
        <v>5</v>
      </c>
      <c r="H4" s="6" t="s">
        <v>299</v>
      </c>
      <c r="I4" s="3" t="s">
        <v>41</v>
      </c>
      <c r="J4" s="3" t="s">
        <v>46</v>
      </c>
      <c r="K4" s="16" t="s">
        <v>300</v>
      </c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28.5">
      <c r="A5" s="6" t="s">
        <v>301</v>
      </c>
      <c r="B5" s="3" t="s">
        <v>302</v>
      </c>
      <c r="C5" s="3" t="s">
        <v>303</v>
      </c>
      <c r="D5" s="6" t="s">
        <v>304</v>
      </c>
      <c r="E5" s="6" t="s">
        <v>801</v>
      </c>
      <c r="F5" s="3">
        <v>4</v>
      </c>
      <c r="G5" s="3">
        <v>5</v>
      </c>
      <c r="H5" s="6" t="s">
        <v>305</v>
      </c>
      <c r="I5" s="3" t="s">
        <v>45</v>
      </c>
      <c r="J5" s="3" t="s">
        <v>46</v>
      </c>
      <c r="K5" s="16" t="s">
        <v>306</v>
      </c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307</v>
      </c>
      <c r="B6" s="3" t="s">
        <v>308</v>
      </c>
      <c r="C6" s="3" t="s">
        <v>309</v>
      </c>
      <c r="D6" s="6" t="s">
        <v>310</v>
      </c>
      <c r="E6" s="6" t="s">
        <v>311</v>
      </c>
      <c r="F6" s="3">
        <v>4</v>
      </c>
      <c r="G6" s="3">
        <v>5</v>
      </c>
      <c r="H6" s="6" t="s">
        <v>312</v>
      </c>
      <c r="I6" s="3" t="s">
        <v>41</v>
      </c>
      <c r="J6" s="3" t="s">
        <v>46</v>
      </c>
      <c r="K6" s="16" t="s">
        <v>313</v>
      </c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314</v>
      </c>
      <c r="B7" s="3" t="s">
        <v>315</v>
      </c>
      <c r="C7" s="3" t="s">
        <v>316</v>
      </c>
      <c r="D7" s="6" t="s">
        <v>317</v>
      </c>
      <c r="E7" s="6" t="s">
        <v>318</v>
      </c>
      <c r="F7" s="3">
        <v>4</v>
      </c>
      <c r="G7" s="3">
        <v>4</v>
      </c>
      <c r="H7" s="3" t="s">
        <v>319</v>
      </c>
      <c r="I7" s="3" t="s">
        <v>45</v>
      </c>
      <c r="J7" s="3" t="s">
        <v>46</v>
      </c>
      <c r="K7" s="18" t="s">
        <v>320</v>
      </c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28.5">
      <c r="A8" s="6" t="s">
        <v>321</v>
      </c>
      <c r="B8" s="3" t="s">
        <v>322</v>
      </c>
      <c r="C8" s="3" t="s">
        <v>323</v>
      </c>
      <c r="D8" s="6" t="s">
        <v>802</v>
      </c>
      <c r="E8" s="6" t="s">
        <v>803</v>
      </c>
      <c r="F8" s="3">
        <v>4</v>
      </c>
      <c r="G8" s="3">
        <v>4</v>
      </c>
      <c r="H8" s="6" t="s">
        <v>324</v>
      </c>
      <c r="I8" s="3" t="s">
        <v>41</v>
      </c>
      <c r="J8" s="3" t="s">
        <v>46</v>
      </c>
      <c r="K8" s="16" t="s">
        <v>804</v>
      </c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8.5">
      <c r="A9" s="6" t="s">
        <v>325</v>
      </c>
      <c r="B9" s="3" t="s">
        <v>326</v>
      </c>
      <c r="C9" s="3" t="s">
        <v>327</v>
      </c>
      <c r="D9" s="6" t="s">
        <v>328</v>
      </c>
      <c r="E9" s="3" t="s">
        <v>329</v>
      </c>
      <c r="F9" s="3">
        <v>4</v>
      </c>
      <c r="G9" s="3">
        <v>5</v>
      </c>
      <c r="H9" s="6" t="s">
        <v>330</v>
      </c>
      <c r="I9" s="3" t="s">
        <v>45</v>
      </c>
      <c r="J9" s="3" t="s">
        <v>46</v>
      </c>
      <c r="K9" s="18" t="s">
        <v>331</v>
      </c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6" t="s">
        <v>332</v>
      </c>
      <c r="B10" s="3" t="s">
        <v>326</v>
      </c>
      <c r="C10" s="3" t="s">
        <v>327</v>
      </c>
      <c r="D10" s="6" t="s">
        <v>333</v>
      </c>
      <c r="E10" s="3" t="s">
        <v>334</v>
      </c>
      <c r="F10" s="3">
        <v>4</v>
      </c>
      <c r="G10" s="3">
        <v>5</v>
      </c>
      <c r="H10" s="6" t="s">
        <v>335</v>
      </c>
      <c r="I10" s="3" t="s">
        <v>41</v>
      </c>
      <c r="J10" s="3" t="s">
        <v>46</v>
      </c>
      <c r="K10" s="16" t="s">
        <v>336</v>
      </c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28.5">
      <c r="A11" s="6" t="s">
        <v>337</v>
      </c>
      <c r="B11" s="3" t="s">
        <v>338</v>
      </c>
      <c r="C11" s="3" t="s">
        <v>339</v>
      </c>
      <c r="D11" s="6" t="s">
        <v>340</v>
      </c>
      <c r="E11" s="6" t="s">
        <v>341</v>
      </c>
      <c r="F11" s="3">
        <v>4</v>
      </c>
      <c r="G11" s="3">
        <v>4</v>
      </c>
      <c r="H11" s="6" t="s">
        <v>342</v>
      </c>
      <c r="I11" s="3" t="s">
        <v>45</v>
      </c>
      <c r="J11" s="3" t="s">
        <v>46</v>
      </c>
      <c r="K11" s="16" t="s">
        <v>343</v>
      </c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28.5">
      <c r="A12" s="6" t="s">
        <v>344</v>
      </c>
      <c r="B12" s="3" t="s">
        <v>345</v>
      </c>
      <c r="C12" s="3" t="s">
        <v>327</v>
      </c>
      <c r="D12" s="6" t="s">
        <v>805</v>
      </c>
      <c r="E12" s="6" t="s">
        <v>346</v>
      </c>
      <c r="F12" s="3">
        <v>4</v>
      </c>
      <c r="G12" s="3">
        <v>4</v>
      </c>
      <c r="H12" s="6" t="s">
        <v>347</v>
      </c>
      <c r="I12" s="3" t="s">
        <v>41</v>
      </c>
      <c r="J12" s="3" t="s">
        <v>46</v>
      </c>
      <c r="K12" s="18" t="s">
        <v>348</v>
      </c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28.5">
      <c r="A13" s="6" t="s">
        <v>349</v>
      </c>
      <c r="B13" s="3" t="s">
        <v>350</v>
      </c>
      <c r="C13" s="3" t="s">
        <v>351</v>
      </c>
      <c r="D13" s="6" t="s">
        <v>352</v>
      </c>
      <c r="E13" s="3" t="s">
        <v>353</v>
      </c>
      <c r="F13" s="3">
        <v>4</v>
      </c>
      <c r="G13" s="3">
        <v>5</v>
      </c>
      <c r="H13" s="6" t="s">
        <v>806</v>
      </c>
      <c r="I13" s="3" t="s">
        <v>45</v>
      </c>
      <c r="J13" s="3" t="s">
        <v>46</v>
      </c>
      <c r="K13" s="16" t="s">
        <v>354</v>
      </c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25">
      <c r="A14" s="6" t="s">
        <v>355</v>
      </c>
      <c r="B14" s="3" t="s">
        <v>356</v>
      </c>
      <c r="C14" s="3" t="s">
        <v>303</v>
      </c>
      <c r="D14" s="6" t="s">
        <v>357</v>
      </c>
      <c r="E14" s="3" t="s">
        <v>358</v>
      </c>
      <c r="F14" s="3">
        <v>4</v>
      </c>
      <c r="G14" s="3">
        <v>4</v>
      </c>
      <c r="H14" s="6" t="s">
        <v>359</v>
      </c>
      <c r="I14" s="3" t="s">
        <v>41</v>
      </c>
      <c r="J14" s="3" t="s">
        <v>46</v>
      </c>
      <c r="K14" s="16" t="s">
        <v>360</v>
      </c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25">
      <c r="A15" s="8" t="s">
        <v>361</v>
      </c>
      <c r="B15" s="4" t="s">
        <v>362</v>
      </c>
      <c r="C15" s="4" t="s">
        <v>363</v>
      </c>
      <c r="D15" s="8" t="s">
        <v>364</v>
      </c>
      <c r="E15" s="8" t="s">
        <v>365</v>
      </c>
      <c r="F15" s="4">
        <v>4</v>
      </c>
      <c r="G15" s="4">
        <v>4</v>
      </c>
      <c r="H15" s="8" t="s">
        <v>366</v>
      </c>
      <c r="I15" s="4" t="s">
        <v>45</v>
      </c>
      <c r="J15" s="4" t="s">
        <v>46</v>
      </c>
      <c r="K15" s="5" t="s">
        <v>367</v>
      </c>
      <c r="L15" s="1"/>
      <c r="M15" s="1"/>
      <c r="N15" s="1"/>
      <c r="O15" s="1"/>
      <c r="P15" s="1"/>
      <c r="Q15" s="1"/>
      <c r="R15" s="1"/>
      <c r="S15" s="1"/>
      <c r="T15" s="1"/>
      <c r="U15" s="1"/>
    </row>
  </sheetData>
  <mergeCells count="2">
    <mergeCell ref="A1:K1"/>
    <mergeCell ref="A2:K2"/>
  </mergeCells>
  <dataValidations count="2">
    <dataValidation type="list" sqref="B4:B15" xr:uid="{00000000-0002-0000-0100-000000000000}">
      <formula1>"Анализ проблем,Анализ отзывов,Анализ конкурентов,Анализ цифрового товара,Ценностное предложение,Бизнес-модель Канвас,Бизнес-логика,Пользовательский сценарий"</formula1>
    </dataValidation>
    <dataValidation type="list" sqref="F4:G15" xr:uid="{00000000-0002-0000-01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8"/>
  <sheetViews>
    <sheetView workbookViewId="0"/>
  </sheetViews>
  <sheetFormatPr defaultRowHeight="13.5"/>
  <cols>
    <col min="1" max="1" width="11.9375" customWidth="1"/>
    <col min="2" max="2" width="43.4375" customWidth="1"/>
    <col min="3" max="3" width="46.625" customWidth="1"/>
    <col min="4" max="4" width="32.9375" customWidth="1"/>
    <col min="5" max="5" width="40.3125" customWidth="1"/>
    <col min="6" max="6" width="21.4375" customWidth="1"/>
    <col min="7" max="7" width="25.625" customWidth="1"/>
    <col min="8" max="8" width="26.6875" customWidth="1"/>
    <col min="9" max="9" width="32.9375" customWidth="1"/>
    <col min="10" max="10" width="14.0625" customWidth="1"/>
    <col min="11" max="21" width="10.5625" customWidth="1"/>
  </cols>
  <sheetData>
    <row r="1" spans="1:21" ht="20" customHeight="1">
      <c r="A1" s="19" t="s">
        <v>47</v>
      </c>
      <c r="B1" s="20"/>
      <c r="C1" s="20"/>
      <c r="D1" s="20"/>
      <c r="E1" s="20"/>
      <c r="F1" s="20"/>
      <c r="G1" s="20"/>
      <c r="H1" s="20"/>
      <c r="I1" s="20"/>
      <c r="J1" s="20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48</v>
      </c>
      <c r="B2" s="21"/>
      <c r="C2" s="21"/>
      <c r="D2" s="21"/>
      <c r="E2" s="21"/>
      <c r="F2" s="21"/>
      <c r="G2" s="21"/>
      <c r="H2" s="21"/>
      <c r="I2" s="21"/>
      <c r="J2" s="24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1" t="s">
        <v>58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41</v>
      </c>
      <c r="B4" s="3" t="s">
        <v>368</v>
      </c>
      <c r="C4" s="6" t="s">
        <v>369</v>
      </c>
      <c r="D4" s="3" t="s">
        <v>370</v>
      </c>
      <c r="E4" s="3" t="s">
        <v>371</v>
      </c>
      <c r="F4" s="3" t="s">
        <v>59</v>
      </c>
      <c r="G4" s="3" t="s">
        <v>372</v>
      </c>
      <c r="H4" s="3">
        <v>5</v>
      </c>
      <c r="I4" s="3" t="s">
        <v>373</v>
      </c>
      <c r="J4" s="18" t="s">
        <v>349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45</v>
      </c>
      <c r="B5" s="3" t="s">
        <v>374</v>
      </c>
      <c r="C5" s="6" t="s">
        <v>375</v>
      </c>
      <c r="D5" s="3" t="s">
        <v>376</v>
      </c>
      <c r="E5" s="6" t="s">
        <v>377</v>
      </c>
      <c r="F5" s="3" t="s">
        <v>59</v>
      </c>
      <c r="G5" s="3" t="s">
        <v>372</v>
      </c>
      <c r="H5" s="3">
        <v>3</v>
      </c>
      <c r="I5" s="3" t="s">
        <v>378</v>
      </c>
      <c r="J5" s="18" t="s">
        <v>314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379</v>
      </c>
      <c r="B6" s="3" t="s">
        <v>380</v>
      </c>
      <c r="C6" s="6" t="s">
        <v>381</v>
      </c>
      <c r="D6" s="3" t="s">
        <v>382</v>
      </c>
      <c r="E6" s="3" t="s">
        <v>383</v>
      </c>
      <c r="F6" s="3" t="s">
        <v>59</v>
      </c>
      <c r="G6" s="3" t="s">
        <v>372</v>
      </c>
      <c r="H6" s="3">
        <v>4</v>
      </c>
      <c r="I6" s="3" t="s">
        <v>384</v>
      </c>
      <c r="J6" s="18" t="s">
        <v>337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385</v>
      </c>
      <c r="B7" s="6" t="s">
        <v>386</v>
      </c>
      <c r="C7" s="6" t="s">
        <v>387</v>
      </c>
      <c r="D7" s="3" t="s">
        <v>388</v>
      </c>
      <c r="E7" s="3" t="s">
        <v>389</v>
      </c>
      <c r="F7" s="3" t="s">
        <v>59</v>
      </c>
      <c r="G7" s="3" t="s">
        <v>372</v>
      </c>
      <c r="H7" s="3">
        <v>3</v>
      </c>
      <c r="I7" s="3" t="s">
        <v>390</v>
      </c>
      <c r="J7" s="18" t="s">
        <v>361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8" t="s">
        <v>391</v>
      </c>
      <c r="B8" s="4" t="s">
        <v>392</v>
      </c>
      <c r="C8" s="8" t="s">
        <v>393</v>
      </c>
      <c r="D8" s="4" t="s">
        <v>394</v>
      </c>
      <c r="E8" s="4" t="s">
        <v>395</v>
      </c>
      <c r="F8" s="4" t="s">
        <v>59</v>
      </c>
      <c r="G8" s="4" t="s">
        <v>372</v>
      </c>
      <c r="H8" s="4">
        <v>2</v>
      </c>
      <c r="I8" s="4" t="s">
        <v>396</v>
      </c>
      <c r="J8" s="5" t="s">
        <v>344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</sheetData>
  <mergeCells count="2">
    <mergeCell ref="A1:J1"/>
    <mergeCell ref="A2:J2"/>
  </mergeCells>
  <dataValidations count="2">
    <dataValidation type="list" sqref="H4:H8" xr:uid="{00000000-0002-0000-0200-000000000000}">
      <formula1>"1,2,3,4,5"</formula1>
    </dataValidation>
    <dataValidation type="list" sqref="I4:I8" xr:uid="{00000000-0002-0000-0200-000001000000}">
      <formula1>"Поиск,Реклама,Социальные сети,Рекомендация,Партнерский канал,Прямой вход,Уведомление,Внутренний переход"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3"/>
  <sheetViews>
    <sheetView workbookViewId="0"/>
  </sheetViews>
  <sheetFormatPr defaultRowHeight="13.5"/>
  <cols>
    <col min="1" max="1" width="15.125" customWidth="1"/>
    <col min="2" max="2" width="11.9375" customWidth="1"/>
    <col min="3" max="3" width="22.4375" customWidth="1"/>
    <col min="4" max="4" width="42.4375" customWidth="1"/>
    <col min="5" max="5" width="43.4375" customWidth="1"/>
    <col min="6" max="6" width="52.5625" customWidth="1"/>
    <col min="7" max="7" width="47.6875" customWidth="1"/>
    <col min="8" max="8" width="30.875" customWidth="1"/>
    <col min="9" max="9" width="37.1875" customWidth="1"/>
    <col min="10" max="10" width="19.3125" customWidth="1"/>
    <col min="11" max="11" width="15.125" customWidth="1"/>
    <col min="12" max="12" width="17.1875" customWidth="1"/>
    <col min="13" max="13" width="26.6875" customWidth="1"/>
    <col min="14" max="14" width="23.5" customWidth="1"/>
    <col min="15" max="15" width="22.4375" customWidth="1"/>
    <col min="16" max="21" width="10.5625" customWidth="1"/>
  </cols>
  <sheetData>
    <row r="1" spans="1:21" ht="20" customHeight="1">
      <c r="A1" s="25" t="s">
        <v>62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1"/>
      <c r="Q1" s="1"/>
      <c r="R1" s="1"/>
      <c r="S1" s="1"/>
      <c r="T1" s="1"/>
      <c r="U1" s="1"/>
    </row>
    <row r="2" spans="1:21" ht="20" customHeight="1">
      <c r="A2" s="21" t="s">
        <v>63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4"/>
      <c r="P2" s="1"/>
      <c r="Q2" s="1"/>
      <c r="R2" s="1"/>
      <c r="S2" s="1"/>
      <c r="T2" s="1"/>
      <c r="U2" s="1"/>
    </row>
    <row r="3" spans="1:21" ht="14.25">
      <c r="A3" s="10" t="s">
        <v>64</v>
      </c>
      <c r="B3" s="10" t="s">
        <v>49</v>
      </c>
      <c r="C3" s="10" t="s">
        <v>65</v>
      </c>
      <c r="D3" s="10" t="s">
        <v>66</v>
      </c>
      <c r="E3" s="10" t="s">
        <v>67</v>
      </c>
      <c r="F3" s="10" t="s">
        <v>68</v>
      </c>
      <c r="G3" s="10" t="s">
        <v>69</v>
      </c>
      <c r="H3" s="10" t="s">
        <v>70</v>
      </c>
      <c r="I3" s="10" t="s">
        <v>71</v>
      </c>
      <c r="J3" s="10" t="s">
        <v>72</v>
      </c>
      <c r="K3" s="10" t="s">
        <v>73</v>
      </c>
      <c r="L3" s="10" t="s">
        <v>74</v>
      </c>
      <c r="M3" s="10" t="s">
        <v>75</v>
      </c>
      <c r="N3" s="10" t="s">
        <v>76</v>
      </c>
      <c r="O3" s="11" t="s">
        <v>77</v>
      </c>
      <c r="P3" s="1"/>
      <c r="Q3" s="1"/>
      <c r="R3" s="1"/>
      <c r="S3" s="1"/>
      <c r="T3" s="1"/>
      <c r="U3" s="1"/>
    </row>
    <row r="4" spans="1:21" ht="14.25">
      <c r="A4" s="6" t="s">
        <v>46</v>
      </c>
      <c r="B4" s="3" t="s">
        <v>41</v>
      </c>
      <c r="C4" s="3" t="s">
        <v>397</v>
      </c>
      <c r="D4" s="3" t="s">
        <v>398</v>
      </c>
      <c r="E4" s="6" t="s">
        <v>399</v>
      </c>
      <c r="F4" s="6" t="s">
        <v>400</v>
      </c>
      <c r="G4" s="6" t="s">
        <v>807</v>
      </c>
      <c r="H4" s="3" t="s">
        <v>401</v>
      </c>
      <c r="I4" s="3" t="s">
        <v>402</v>
      </c>
      <c r="J4" s="3">
        <v>5</v>
      </c>
      <c r="K4" s="3">
        <v>5</v>
      </c>
      <c r="L4" s="3">
        <v>3</v>
      </c>
      <c r="M4" s="3">
        <f>IF(A4="","",COUNTIF(Страницы_и_экраны!$E$4:$E$17,A4))</f>
        <v>5</v>
      </c>
      <c r="N4" s="3" t="str">
        <f t="shared" ref="N4:N13" si="0">IF(A4="","",IF(M4&gt;0,"Покрыт","Нет страницы/экрана"))</f>
        <v>Покрыт</v>
      </c>
      <c r="O4" s="18">
        <f t="shared" ref="O4:O13" si="1">IF(A4="","",MAX(0,MIN(100,ROUND(((J4*0.45)+(K4*0.35)-(L4*0.2))*20,0))))</f>
        <v>68</v>
      </c>
      <c r="P4" s="1"/>
      <c r="Q4" s="1"/>
      <c r="R4" s="1"/>
      <c r="S4" s="1"/>
      <c r="T4" s="1"/>
      <c r="U4" s="1"/>
    </row>
    <row r="5" spans="1:21" ht="14.25">
      <c r="A5" s="6" t="s">
        <v>79</v>
      </c>
      <c r="B5" s="3" t="s">
        <v>41</v>
      </c>
      <c r="C5" s="3" t="s">
        <v>80</v>
      </c>
      <c r="D5" s="3" t="s">
        <v>403</v>
      </c>
      <c r="E5" s="3" t="s">
        <v>404</v>
      </c>
      <c r="F5" s="6" t="s">
        <v>405</v>
      </c>
      <c r="G5" s="3" t="s">
        <v>406</v>
      </c>
      <c r="H5" s="3" t="s">
        <v>401</v>
      </c>
      <c r="I5" s="3" t="s">
        <v>407</v>
      </c>
      <c r="J5" s="3">
        <v>4</v>
      </c>
      <c r="K5" s="3">
        <v>5</v>
      </c>
      <c r="L5" s="3">
        <v>3</v>
      </c>
      <c r="M5" s="3">
        <f>IF(A5="","",COUNTIF(Страницы_и_экраны!$E$4:$E$17,A5))</f>
        <v>1</v>
      </c>
      <c r="N5" s="3" t="str">
        <f t="shared" si="0"/>
        <v>Покрыт</v>
      </c>
      <c r="O5" s="18">
        <f t="shared" si="1"/>
        <v>59</v>
      </c>
      <c r="P5" s="1"/>
      <c r="Q5" s="1"/>
      <c r="R5" s="1"/>
      <c r="S5" s="1"/>
      <c r="T5" s="1"/>
      <c r="U5" s="1"/>
    </row>
    <row r="6" spans="1:21" ht="14.25">
      <c r="A6" s="6" t="s">
        <v>42</v>
      </c>
      <c r="B6" s="3" t="s">
        <v>45</v>
      </c>
      <c r="C6" s="3" t="s">
        <v>288</v>
      </c>
      <c r="D6" s="3" t="s">
        <v>408</v>
      </c>
      <c r="E6" s="3" t="s">
        <v>409</v>
      </c>
      <c r="F6" s="6" t="s">
        <v>808</v>
      </c>
      <c r="G6" s="6" t="s">
        <v>809</v>
      </c>
      <c r="H6" s="3" t="s">
        <v>401</v>
      </c>
      <c r="I6" s="3" t="s">
        <v>410</v>
      </c>
      <c r="J6" s="3">
        <v>5</v>
      </c>
      <c r="K6" s="3">
        <v>4</v>
      </c>
      <c r="L6" s="3">
        <v>3</v>
      </c>
      <c r="M6" s="3">
        <f>IF(A6="","",COUNTIF(Страницы_и_экраны!$E$4:$E$17,A6))</f>
        <v>2</v>
      </c>
      <c r="N6" s="3" t="str">
        <f t="shared" si="0"/>
        <v>Покрыт</v>
      </c>
      <c r="O6" s="18">
        <f t="shared" si="1"/>
        <v>61</v>
      </c>
      <c r="P6" s="1"/>
      <c r="Q6" s="1"/>
      <c r="R6" s="1"/>
      <c r="S6" s="1"/>
      <c r="T6" s="1"/>
      <c r="U6" s="1"/>
    </row>
    <row r="7" spans="1:21" ht="14.25">
      <c r="A7" s="6" t="s">
        <v>411</v>
      </c>
      <c r="B7" s="3" t="s">
        <v>41</v>
      </c>
      <c r="C7" s="3" t="s">
        <v>288</v>
      </c>
      <c r="D7" s="3" t="s">
        <v>412</v>
      </c>
      <c r="E7" s="3" t="s">
        <v>413</v>
      </c>
      <c r="F7" s="6" t="s">
        <v>810</v>
      </c>
      <c r="G7" s="3" t="s">
        <v>414</v>
      </c>
      <c r="H7" s="3" t="s">
        <v>401</v>
      </c>
      <c r="I7" s="3" t="s">
        <v>415</v>
      </c>
      <c r="J7" s="3">
        <v>4</v>
      </c>
      <c r="K7" s="3">
        <v>4</v>
      </c>
      <c r="L7" s="3">
        <v>3</v>
      </c>
      <c r="M7" s="3">
        <f>IF(A7="","",COUNTIF(Страницы_и_экраны!$E$4:$E$17,A7))</f>
        <v>1</v>
      </c>
      <c r="N7" s="3" t="str">
        <f t="shared" si="0"/>
        <v>Покрыт</v>
      </c>
      <c r="O7" s="18">
        <f t="shared" si="1"/>
        <v>52</v>
      </c>
      <c r="P7" s="1"/>
      <c r="Q7" s="1"/>
      <c r="R7" s="1"/>
      <c r="S7" s="1"/>
      <c r="T7" s="1"/>
      <c r="U7" s="1"/>
    </row>
    <row r="8" spans="1:21" ht="14.25">
      <c r="A8" s="6" t="s">
        <v>416</v>
      </c>
      <c r="B8" s="3" t="s">
        <v>41</v>
      </c>
      <c r="C8" s="3" t="s">
        <v>397</v>
      </c>
      <c r="D8" s="6" t="s">
        <v>417</v>
      </c>
      <c r="E8" s="3" t="s">
        <v>418</v>
      </c>
      <c r="F8" s="6" t="s">
        <v>419</v>
      </c>
      <c r="G8" s="6" t="s">
        <v>811</v>
      </c>
      <c r="H8" s="3" t="s">
        <v>401</v>
      </c>
      <c r="I8" s="3" t="s">
        <v>110</v>
      </c>
      <c r="J8" s="3">
        <v>5</v>
      </c>
      <c r="K8" s="3">
        <v>5</v>
      </c>
      <c r="L8" s="3">
        <v>3</v>
      </c>
      <c r="M8" s="3">
        <f>IF(A8="","",COUNTIF(Страницы_и_экраны!$E$4:$E$17,A8))</f>
        <v>1</v>
      </c>
      <c r="N8" s="3" t="str">
        <f t="shared" si="0"/>
        <v>Покрыт</v>
      </c>
      <c r="O8" s="18">
        <f t="shared" si="1"/>
        <v>68</v>
      </c>
      <c r="P8" s="1"/>
      <c r="Q8" s="1"/>
      <c r="R8" s="1"/>
      <c r="S8" s="1"/>
      <c r="T8" s="1"/>
      <c r="U8" s="1"/>
    </row>
    <row r="9" spans="1:21" ht="14.25">
      <c r="A9" s="6" t="s">
        <v>420</v>
      </c>
      <c r="B9" s="3" t="s">
        <v>45</v>
      </c>
      <c r="C9" s="3" t="s">
        <v>397</v>
      </c>
      <c r="D9" s="6" t="s">
        <v>421</v>
      </c>
      <c r="E9" s="3" t="s">
        <v>422</v>
      </c>
      <c r="F9" s="6" t="s">
        <v>423</v>
      </c>
      <c r="G9" s="6" t="s">
        <v>812</v>
      </c>
      <c r="H9" s="3" t="s">
        <v>401</v>
      </c>
      <c r="I9" s="6" t="s">
        <v>424</v>
      </c>
      <c r="J9" s="3">
        <v>4</v>
      </c>
      <c r="K9" s="3">
        <v>3</v>
      </c>
      <c r="L9" s="3">
        <v>3</v>
      </c>
      <c r="M9" s="3">
        <f>IF(A9="","",COUNTIF(Страницы_и_экраны!$E$4:$E$17,A9))</f>
        <v>1</v>
      </c>
      <c r="N9" s="3" t="str">
        <f t="shared" si="0"/>
        <v>Покрыт</v>
      </c>
      <c r="O9" s="18">
        <f t="shared" si="1"/>
        <v>45</v>
      </c>
      <c r="P9" s="1"/>
      <c r="Q9" s="1"/>
      <c r="R9" s="1"/>
      <c r="S9" s="1"/>
      <c r="T9" s="1"/>
      <c r="U9" s="1"/>
    </row>
    <row r="10" spans="1:21" ht="14.25">
      <c r="A10" s="6" t="s">
        <v>425</v>
      </c>
      <c r="B10" s="3" t="s">
        <v>45</v>
      </c>
      <c r="C10" s="3" t="s">
        <v>397</v>
      </c>
      <c r="D10" s="3" t="s">
        <v>426</v>
      </c>
      <c r="E10" s="3" t="s">
        <v>427</v>
      </c>
      <c r="F10" s="6" t="s">
        <v>428</v>
      </c>
      <c r="G10" s="6" t="s">
        <v>813</v>
      </c>
      <c r="H10" s="3" t="s">
        <v>401</v>
      </c>
      <c r="I10" s="6" t="s">
        <v>429</v>
      </c>
      <c r="J10" s="3">
        <v>4</v>
      </c>
      <c r="K10" s="3">
        <v>3</v>
      </c>
      <c r="L10" s="3">
        <v>3</v>
      </c>
      <c r="M10" s="3">
        <f>IF(A10="","",COUNTIF(Страницы_и_экраны!$E$4:$E$17,A10))</f>
        <v>0</v>
      </c>
      <c r="N10" s="3" t="str">
        <f t="shared" si="0"/>
        <v>Нет страницы/экрана</v>
      </c>
      <c r="O10" s="18">
        <f t="shared" si="1"/>
        <v>45</v>
      </c>
      <c r="P10" s="1"/>
      <c r="Q10" s="1"/>
      <c r="R10" s="1"/>
      <c r="S10" s="1"/>
      <c r="T10" s="1"/>
      <c r="U10" s="1"/>
    </row>
    <row r="11" spans="1:21" ht="14.25">
      <c r="A11" s="6" t="s">
        <v>430</v>
      </c>
      <c r="B11" s="3" t="s">
        <v>391</v>
      </c>
      <c r="C11" s="3" t="s">
        <v>271</v>
      </c>
      <c r="D11" s="3" t="s">
        <v>431</v>
      </c>
      <c r="E11" s="3" t="s">
        <v>432</v>
      </c>
      <c r="F11" s="6" t="s">
        <v>433</v>
      </c>
      <c r="G11" s="3" t="s">
        <v>434</v>
      </c>
      <c r="H11" s="3" t="s">
        <v>401</v>
      </c>
      <c r="I11" s="3" t="s">
        <v>435</v>
      </c>
      <c r="J11" s="3">
        <v>3</v>
      </c>
      <c r="K11" s="3">
        <v>2</v>
      </c>
      <c r="L11" s="3">
        <v>3</v>
      </c>
      <c r="M11" s="3">
        <f>IF(A11="","",COUNTIF(Страницы_и_экраны!$E$4:$E$17,A11))</f>
        <v>0</v>
      </c>
      <c r="N11" s="3" t="str">
        <f t="shared" si="0"/>
        <v>Нет страницы/экрана</v>
      </c>
      <c r="O11" s="18">
        <f t="shared" si="1"/>
        <v>29</v>
      </c>
      <c r="P11" s="1"/>
      <c r="Q11" s="1"/>
      <c r="R11" s="1"/>
      <c r="S11" s="1"/>
      <c r="T11" s="1"/>
      <c r="U11" s="1"/>
    </row>
    <row r="12" spans="1:21" ht="14.25">
      <c r="A12" s="6" t="s">
        <v>436</v>
      </c>
      <c r="B12" s="3" t="s">
        <v>391</v>
      </c>
      <c r="C12" s="3" t="s">
        <v>288</v>
      </c>
      <c r="D12" s="3" t="s">
        <v>437</v>
      </c>
      <c r="E12" s="3" t="s">
        <v>438</v>
      </c>
      <c r="F12" s="6" t="s">
        <v>814</v>
      </c>
      <c r="G12" s="3" t="s">
        <v>439</v>
      </c>
      <c r="H12" s="3" t="s">
        <v>401</v>
      </c>
      <c r="I12" s="3" t="s">
        <v>440</v>
      </c>
      <c r="J12" s="3">
        <v>3</v>
      </c>
      <c r="K12" s="3">
        <v>2</v>
      </c>
      <c r="L12" s="3">
        <v>3</v>
      </c>
      <c r="M12" s="3">
        <f>IF(A12="","",COUNTIF(Страницы_и_экраны!$E$4:$E$17,A12))</f>
        <v>1</v>
      </c>
      <c r="N12" s="3" t="str">
        <f t="shared" si="0"/>
        <v>Покрыт</v>
      </c>
      <c r="O12" s="18">
        <f t="shared" si="1"/>
        <v>29</v>
      </c>
      <c r="P12" s="1"/>
      <c r="Q12" s="1"/>
      <c r="R12" s="1"/>
      <c r="S12" s="1"/>
      <c r="T12" s="1"/>
      <c r="U12" s="1"/>
    </row>
    <row r="13" spans="1:21" ht="14.25">
      <c r="A13" s="8" t="s">
        <v>441</v>
      </c>
      <c r="B13" s="4" t="s">
        <v>379</v>
      </c>
      <c r="C13" s="4" t="s">
        <v>293</v>
      </c>
      <c r="D13" s="4" t="s">
        <v>442</v>
      </c>
      <c r="E13" s="4" t="s">
        <v>443</v>
      </c>
      <c r="F13" s="8" t="s">
        <v>444</v>
      </c>
      <c r="G13" s="8" t="s">
        <v>815</v>
      </c>
      <c r="H13" s="4" t="s">
        <v>401</v>
      </c>
      <c r="I13" s="4" t="s">
        <v>445</v>
      </c>
      <c r="J13" s="4">
        <v>4</v>
      </c>
      <c r="K13" s="4">
        <v>2</v>
      </c>
      <c r="L13" s="4">
        <v>3</v>
      </c>
      <c r="M13" s="4">
        <f>IF(A13="","",COUNTIF(Страницы_и_экраны!$E$4:$E$17,A13))</f>
        <v>2</v>
      </c>
      <c r="N13" s="4" t="str">
        <f t="shared" si="0"/>
        <v>Покрыт</v>
      </c>
      <c r="O13" s="5">
        <f t="shared" si="1"/>
        <v>38</v>
      </c>
      <c r="P13" s="1"/>
      <c r="Q13" s="1"/>
      <c r="R13" s="1"/>
      <c r="S13" s="1"/>
      <c r="T13" s="1"/>
      <c r="U13" s="1"/>
    </row>
  </sheetData>
  <mergeCells count="2">
    <mergeCell ref="A1:O1"/>
    <mergeCell ref="A2:O2"/>
  </mergeCells>
  <dataValidations count="2">
    <dataValidation type="list" sqref="C4:C13" xr:uid="{00000000-0002-0000-0300-000000000000}">
      <formula1>"Осведомление,Первичный интерес,Оценка решения,Регистрация,Настройка,Основное использование,Оплата,Поддержка,Повторное использование,Отток/возврат"</formula1>
    </dataValidation>
    <dataValidation type="list" sqref="J4:L13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7"/>
  <sheetViews>
    <sheetView workbookViewId="0"/>
  </sheetViews>
  <sheetFormatPr defaultRowHeight="13.5"/>
  <cols>
    <col min="1" max="1" width="10.9375" customWidth="1"/>
    <col min="2" max="2" width="20.375" customWidth="1"/>
    <col min="3" max="3" width="41.375" customWidth="1"/>
    <col min="4" max="4" width="52.5625" customWidth="1"/>
    <col min="5" max="5" width="25.625" customWidth="1"/>
    <col min="6" max="6" width="11.9375" customWidth="1"/>
    <col min="7" max="7" width="22.4375" customWidth="1"/>
    <col min="8" max="8" width="31.9375" customWidth="1"/>
    <col min="9" max="9" width="39.25" customWidth="1"/>
    <col min="10" max="10" width="23.5" customWidth="1"/>
    <col min="11" max="12" width="52.5625" customWidth="1"/>
    <col min="13" max="13" width="48.6875" customWidth="1"/>
    <col min="14" max="14" width="34" customWidth="1"/>
    <col min="15" max="15" width="21.4375" customWidth="1"/>
    <col min="16" max="16" width="24.5625" customWidth="1"/>
    <col min="17" max="17" width="21.4375" customWidth="1"/>
    <col min="18" max="18" width="11.9375" customWidth="1"/>
    <col min="19" max="19" width="23.5" customWidth="1"/>
    <col min="20" max="20" width="20.375" customWidth="1"/>
    <col min="21" max="21" width="10.9375" customWidth="1"/>
  </cols>
  <sheetData>
    <row r="1" spans="1:21" ht="20" customHeight="1">
      <c r="A1" s="19" t="s">
        <v>81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spans="1:21" ht="20" customHeight="1">
      <c r="A2" s="21" t="s">
        <v>82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4"/>
    </row>
    <row r="3" spans="1:21" ht="14.25">
      <c r="A3" s="10" t="s">
        <v>83</v>
      </c>
      <c r="B3" s="10" t="s">
        <v>84</v>
      </c>
      <c r="C3" s="10" t="s">
        <v>85</v>
      </c>
      <c r="D3" s="10" t="s">
        <v>86</v>
      </c>
      <c r="E3" s="10" t="s">
        <v>87</v>
      </c>
      <c r="F3" s="10" t="s">
        <v>49</v>
      </c>
      <c r="G3" s="10" t="s">
        <v>65</v>
      </c>
      <c r="H3" s="10" t="s">
        <v>88</v>
      </c>
      <c r="I3" s="10" t="s">
        <v>89</v>
      </c>
      <c r="J3" s="10" t="s">
        <v>90</v>
      </c>
      <c r="K3" s="10" t="s">
        <v>70</v>
      </c>
      <c r="L3" s="10" t="s">
        <v>91</v>
      </c>
      <c r="M3" s="10" t="s">
        <v>92</v>
      </c>
      <c r="N3" s="10" t="s">
        <v>93</v>
      </c>
      <c r="O3" s="10" t="s">
        <v>94</v>
      </c>
      <c r="P3" s="10" t="s">
        <v>95</v>
      </c>
      <c r="Q3" s="10" t="s">
        <v>96</v>
      </c>
      <c r="R3" s="10" t="s">
        <v>97</v>
      </c>
      <c r="S3" s="10" t="s">
        <v>98</v>
      </c>
      <c r="T3" s="10" t="s">
        <v>99</v>
      </c>
      <c r="U3" s="11" t="s">
        <v>100</v>
      </c>
    </row>
    <row r="4" spans="1:21" ht="28.5">
      <c r="A4" s="6" t="s">
        <v>101</v>
      </c>
      <c r="B4" s="3" t="s">
        <v>102</v>
      </c>
      <c r="C4" s="6" t="s">
        <v>446</v>
      </c>
      <c r="D4" s="6" t="s">
        <v>447</v>
      </c>
      <c r="E4" s="3" t="s">
        <v>46</v>
      </c>
      <c r="F4" s="3" t="s">
        <v>41</v>
      </c>
      <c r="G4" s="3" t="s">
        <v>78</v>
      </c>
      <c r="H4" s="3" t="s">
        <v>103</v>
      </c>
      <c r="I4" s="3" t="s">
        <v>448</v>
      </c>
      <c r="J4" s="3" t="s">
        <v>449</v>
      </c>
      <c r="K4" s="6" t="s">
        <v>450</v>
      </c>
      <c r="L4" s="6" t="s">
        <v>451</v>
      </c>
      <c r="M4" s="6" t="s">
        <v>452</v>
      </c>
      <c r="N4" s="6" t="s">
        <v>453</v>
      </c>
      <c r="O4" s="3" t="s">
        <v>104</v>
      </c>
      <c r="P4" s="3" t="s">
        <v>454</v>
      </c>
      <c r="Q4" s="3">
        <f>IF(A4="","",IFERROR(INDEX(Пользовательские_сценарии!$O$4:$O$13,MATCH(E4,Пользовательские_сценарии!$A$4:$A$13,0)),0))</f>
        <v>68</v>
      </c>
      <c r="R4" s="3" t="s">
        <v>455</v>
      </c>
      <c r="S4" s="3">
        <v>4</v>
      </c>
      <c r="T4" s="12">
        <f t="shared" ref="T4:T17" si="0">IF(A4="","",ROUND(COUNTA(D4:P4)/13,2))</f>
        <v>1</v>
      </c>
      <c r="U4" s="18" t="s">
        <v>820</v>
      </c>
    </row>
    <row r="5" spans="1:21" ht="14.25">
      <c r="A5" s="6" t="s">
        <v>108</v>
      </c>
      <c r="B5" s="3" t="s">
        <v>109</v>
      </c>
      <c r="C5" s="6" t="s">
        <v>456</v>
      </c>
      <c r="D5" s="6" t="s">
        <v>457</v>
      </c>
      <c r="E5" s="3" t="s">
        <v>46</v>
      </c>
      <c r="F5" s="3" t="s">
        <v>41</v>
      </c>
      <c r="G5" s="3" t="s">
        <v>397</v>
      </c>
      <c r="H5" s="3" t="s">
        <v>458</v>
      </c>
      <c r="I5" s="6" t="s">
        <v>459</v>
      </c>
      <c r="J5" s="3" t="s">
        <v>39</v>
      </c>
      <c r="K5" s="3" t="s">
        <v>460</v>
      </c>
      <c r="L5" s="6" t="s">
        <v>461</v>
      </c>
      <c r="M5" s="6" t="s">
        <v>452</v>
      </c>
      <c r="N5" s="6" t="s">
        <v>453</v>
      </c>
      <c r="O5" s="3" t="s">
        <v>104</v>
      </c>
      <c r="P5" s="3" t="s">
        <v>462</v>
      </c>
      <c r="Q5" s="3">
        <f>IF(A5="","",IFERROR(INDEX(Пользовательские_сценарии!$O$4:$O$13,MATCH(E5,Пользовательские_сценарии!$A$4:$A$13,0)),0))</f>
        <v>68</v>
      </c>
      <c r="R5" s="3" t="s">
        <v>455</v>
      </c>
      <c r="S5" s="3">
        <v>4</v>
      </c>
      <c r="T5" s="12">
        <f t="shared" si="0"/>
        <v>1</v>
      </c>
      <c r="U5" s="18" t="s">
        <v>820</v>
      </c>
    </row>
    <row r="6" spans="1:21" ht="14.25">
      <c r="A6" s="6" t="s">
        <v>463</v>
      </c>
      <c r="B6" s="3" t="s">
        <v>109</v>
      </c>
      <c r="C6" s="6" t="s">
        <v>816</v>
      </c>
      <c r="D6" s="6" t="s">
        <v>464</v>
      </c>
      <c r="E6" s="3" t="s">
        <v>46</v>
      </c>
      <c r="F6" s="3" t="s">
        <v>41</v>
      </c>
      <c r="G6" s="3" t="s">
        <v>397</v>
      </c>
      <c r="H6" s="3" t="s">
        <v>465</v>
      </c>
      <c r="I6" s="3" t="s">
        <v>466</v>
      </c>
      <c r="J6" s="3" t="s">
        <v>43</v>
      </c>
      <c r="K6" s="6" t="s">
        <v>467</v>
      </c>
      <c r="L6" s="6" t="s">
        <v>468</v>
      </c>
      <c r="M6" s="6" t="s">
        <v>452</v>
      </c>
      <c r="N6" s="6" t="s">
        <v>453</v>
      </c>
      <c r="O6" s="3" t="s">
        <v>104</v>
      </c>
      <c r="P6" s="3" t="s">
        <v>462</v>
      </c>
      <c r="Q6" s="3">
        <f>IF(A6="","",IFERROR(INDEX(Пользовательские_сценарии!$O$4:$O$13,MATCH(E6,Пользовательские_сценарии!$A$4:$A$13,0)),0))</f>
        <v>68</v>
      </c>
      <c r="R6" s="3" t="s">
        <v>455</v>
      </c>
      <c r="S6" s="3">
        <v>4</v>
      </c>
      <c r="T6" s="12">
        <f t="shared" si="0"/>
        <v>1</v>
      </c>
      <c r="U6" s="18" t="s">
        <v>820</v>
      </c>
    </row>
    <row r="7" spans="1:21" ht="14.25">
      <c r="A7" s="6" t="s">
        <v>469</v>
      </c>
      <c r="B7" s="3" t="s">
        <v>109</v>
      </c>
      <c r="C7" s="6" t="s">
        <v>470</v>
      </c>
      <c r="D7" s="6" t="s">
        <v>471</v>
      </c>
      <c r="E7" s="3" t="s">
        <v>46</v>
      </c>
      <c r="F7" s="3" t="s">
        <v>41</v>
      </c>
      <c r="G7" s="3" t="s">
        <v>397</v>
      </c>
      <c r="H7" s="3" t="s">
        <v>472</v>
      </c>
      <c r="I7" s="6" t="s">
        <v>473</v>
      </c>
      <c r="J7" s="3" t="s">
        <v>474</v>
      </c>
      <c r="K7" s="6" t="s">
        <v>475</v>
      </c>
      <c r="L7" s="6" t="s">
        <v>476</v>
      </c>
      <c r="M7" s="6" t="s">
        <v>452</v>
      </c>
      <c r="N7" s="6" t="s">
        <v>453</v>
      </c>
      <c r="O7" s="3" t="s">
        <v>104</v>
      </c>
      <c r="P7" s="3" t="s">
        <v>477</v>
      </c>
      <c r="Q7" s="3">
        <f>IF(A7="","",IFERROR(INDEX(Пользовательские_сценарии!$O$4:$O$13,MATCH(E7,Пользовательские_сценарии!$A$4:$A$13,0)),0))</f>
        <v>68</v>
      </c>
      <c r="R7" s="3" t="s">
        <v>455</v>
      </c>
      <c r="S7" s="3">
        <v>5</v>
      </c>
      <c r="T7" s="12">
        <f t="shared" si="0"/>
        <v>1</v>
      </c>
      <c r="U7" s="18" t="s">
        <v>820</v>
      </c>
    </row>
    <row r="8" spans="1:21" ht="14.25">
      <c r="A8" s="6" t="s">
        <v>478</v>
      </c>
      <c r="B8" s="3" t="s">
        <v>109</v>
      </c>
      <c r="C8" s="3" t="s">
        <v>479</v>
      </c>
      <c r="D8" s="6" t="s">
        <v>480</v>
      </c>
      <c r="E8" s="3" t="s">
        <v>420</v>
      </c>
      <c r="F8" s="3" t="s">
        <v>45</v>
      </c>
      <c r="G8" s="3" t="s">
        <v>397</v>
      </c>
      <c r="H8" s="3" t="s">
        <v>481</v>
      </c>
      <c r="I8" s="3" t="s">
        <v>482</v>
      </c>
      <c r="J8" s="3" t="s">
        <v>483</v>
      </c>
      <c r="K8" s="6" t="s">
        <v>484</v>
      </c>
      <c r="L8" s="6" t="s">
        <v>485</v>
      </c>
      <c r="M8" s="6" t="s">
        <v>452</v>
      </c>
      <c r="N8" s="6" t="s">
        <v>453</v>
      </c>
      <c r="O8" s="3" t="s">
        <v>248</v>
      </c>
      <c r="P8" s="3" t="s">
        <v>486</v>
      </c>
      <c r="Q8" s="3">
        <f>IF(A8="","",IFERROR(INDEX(Пользовательские_сценарии!$O$4:$O$13,MATCH(E8,Пользовательские_сценарии!$A$4:$A$13,0)),0))</f>
        <v>45</v>
      </c>
      <c r="R8" s="3" t="s">
        <v>455</v>
      </c>
      <c r="S8" s="3">
        <v>4</v>
      </c>
      <c r="T8" s="12">
        <f t="shared" si="0"/>
        <v>1</v>
      </c>
      <c r="U8" s="18" t="s">
        <v>820</v>
      </c>
    </row>
    <row r="9" spans="1:21" ht="14.25">
      <c r="A9" s="6" t="s">
        <v>487</v>
      </c>
      <c r="B9" s="3" t="s">
        <v>109</v>
      </c>
      <c r="C9" s="3" t="s">
        <v>488</v>
      </c>
      <c r="D9" s="6" t="s">
        <v>489</v>
      </c>
      <c r="E9" s="3" t="s">
        <v>79</v>
      </c>
      <c r="F9" s="3" t="s">
        <v>41</v>
      </c>
      <c r="G9" s="3" t="s">
        <v>80</v>
      </c>
      <c r="H9" s="3" t="s">
        <v>490</v>
      </c>
      <c r="I9" s="3" t="s">
        <v>491</v>
      </c>
      <c r="J9" s="3" t="s">
        <v>492</v>
      </c>
      <c r="K9" s="6" t="s">
        <v>493</v>
      </c>
      <c r="L9" s="6" t="s">
        <v>494</v>
      </c>
      <c r="M9" s="6" t="s">
        <v>452</v>
      </c>
      <c r="N9" s="6" t="s">
        <v>453</v>
      </c>
      <c r="O9" s="3" t="s">
        <v>104</v>
      </c>
      <c r="P9" s="3" t="s">
        <v>495</v>
      </c>
      <c r="Q9" s="3">
        <f>IF(A9="","",IFERROR(INDEX(Пользовательские_сценарии!$O$4:$O$13,MATCH(E9,Пользовательские_сценарии!$A$4:$A$13,0)),0))</f>
        <v>59</v>
      </c>
      <c r="R9" s="3" t="s">
        <v>455</v>
      </c>
      <c r="S9" s="3">
        <v>4</v>
      </c>
      <c r="T9" s="12">
        <f t="shared" si="0"/>
        <v>1</v>
      </c>
      <c r="U9" s="18" t="s">
        <v>820</v>
      </c>
    </row>
    <row r="10" spans="1:21" ht="14.25">
      <c r="A10" s="6" t="s">
        <v>496</v>
      </c>
      <c r="B10" s="3" t="s">
        <v>102</v>
      </c>
      <c r="C10" s="3" t="s">
        <v>497</v>
      </c>
      <c r="D10" s="6" t="s">
        <v>498</v>
      </c>
      <c r="E10" s="3" t="s">
        <v>42</v>
      </c>
      <c r="F10" s="3" t="s">
        <v>45</v>
      </c>
      <c r="G10" s="3" t="s">
        <v>288</v>
      </c>
      <c r="H10" s="3" t="s">
        <v>499</v>
      </c>
      <c r="I10" s="6" t="s">
        <v>500</v>
      </c>
      <c r="J10" s="3" t="s">
        <v>501</v>
      </c>
      <c r="K10" s="6" t="s">
        <v>817</v>
      </c>
      <c r="L10" s="6" t="s">
        <v>502</v>
      </c>
      <c r="M10" s="6" t="s">
        <v>452</v>
      </c>
      <c r="N10" s="6" t="s">
        <v>453</v>
      </c>
      <c r="O10" s="3" t="s">
        <v>104</v>
      </c>
      <c r="P10" s="3" t="s">
        <v>503</v>
      </c>
      <c r="Q10" s="3">
        <f>IF(A10="","",IFERROR(INDEX(Пользовательские_сценарии!$O$4:$O$13,MATCH(E10,Пользовательские_сценарии!$A$4:$A$13,0)),0))</f>
        <v>61</v>
      </c>
      <c r="R10" s="3" t="s">
        <v>455</v>
      </c>
      <c r="S10" s="3">
        <v>5</v>
      </c>
      <c r="T10" s="12">
        <f t="shared" si="0"/>
        <v>1</v>
      </c>
      <c r="U10" s="18" t="s">
        <v>820</v>
      </c>
    </row>
    <row r="11" spans="1:21" ht="14.25">
      <c r="A11" s="6" t="s">
        <v>504</v>
      </c>
      <c r="B11" s="3" t="s">
        <v>109</v>
      </c>
      <c r="C11" s="3" t="s">
        <v>288</v>
      </c>
      <c r="D11" s="6" t="s">
        <v>505</v>
      </c>
      <c r="E11" s="3" t="s">
        <v>42</v>
      </c>
      <c r="F11" s="3" t="s">
        <v>45</v>
      </c>
      <c r="G11" s="3" t="s">
        <v>288</v>
      </c>
      <c r="H11" s="3" t="s">
        <v>506</v>
      </c>
      <c r="I11" s="3" t="s">
        <v>507</v>
      </c>
      <c r="J11" s="3" t="s">
        <v>508</v>
      </c>
      <c r="K11" s="3" t="s">
        <v>509</v>
      </c>
      <c r="L11" s="6" t="s">
        <v>510</v>
      </c>
      <c r="M11" s="6" t="s">
        <v>452</v>
      </c>
      <c r="N11" s="6" t="s">
        <v>453</v>
      </c>
      <c r="O11" s="3" t="s">
        <v>248</v>
      </c>
      <c r="P11" s="3" t="s">
        <v>503</v>
      </c>
      <c r="Q11" s="3">
        <f>IF(A11="","",IFERROR(INDEX(Пользовательские_сценарии!$O$4:$O$13,MATCH(E11,Пользовательские_сценарии!$A$4:$A$13,0)),0))</f>
        <v>61</v>
      </c>
      <c r="R11" s="3" t="s">
        <v>455</v>
      </c>
      <c r="S11" s="3">
        <v>4</v>
      </c>
      <c r="T11" s="12">
        <f t="shared" si="0"/>
        <v>1</v>
      </c>
      <c r="U11" s="18" t="s">
        <v>820</v>
      </c>
    </row>
    <row r="12" spans="1:21" ht="14.25">
      <c r="A12" s="6" t="s">
        <v>511</v>
      </c>
      <c r="B12" s="3" t="s">
        <v>102</v>
      </c>
      <c r="C12" s="6" t="s">
        <v>512</v>
      </c>
      <c r="D12" s="6" t="s">
        <v>513</v>
      </c>
      <c r="E12" s="3" t="s">
        <v>441</v>
      </c>
      <c r="F12" s="3" t="s">
        <v>379</v>
      </c>
      <c r="G12" s="3" t="s">
        <v>78</v>
      </c>
      <c r="H12" s="3" t="s">
        <v>514</v>
      </c>
      <c r="I12" s="3" t="s">
        <v>515</v>
      </c>
      <c r="J12" s="3" t="s">
        <v>516</v>
      </c>
      <c r="K12" s="6" t="s">
        <v>517</v>
      </c>
      <c r="L12" s="6" t="s">
        <v>518</v>
      </c>
      <c r="M12" s="6" t="s">
        <v>452</v>
      </c>
      <c r="N12" s="6" t="s">
        <v>453</v>
      </c>
      <c r="O12" s="3" t="s">
        <v>104</v>
      </c>
      <c r="P12" s="3" t="s">
        <v>477</v>
      </c>
      <c r="Q12" s="3">
        <f>IF(A12="","",IFERROR(INDEX(Пользовательские_сценарии!$O$4:$O$13,MATCH(E12,Пользовательские_сценарии!$A$4:$A$13,0)),0))</f>
        <v>38</v>
      </c>
      <c r="R12" s="3" t="s">
        <v>455</v>
      </c>
      <c r="S12" s="3">
        <v>4</v>
      </c>
      <c r="T12" s="12">
        <f t="shared" si="0"/>
        <v>1</v>
      </c>
      <c r="U12" s="18" t="s">
        <v>820</v>
      </c>
    </row>
    <row r="13" spans="1:21" ht="14.25">
      <c r="A13" s="6" t="s">
        <v>519</v>
      </c>
      <c r="B13" s="3" t="s">
        <v>109</v>
      </c>
      <c r="C13" s="6" t="s">
        <v>520</v>
      </c>
      <c r="D13" s="6" t="s">
        <v>521</v>
      </c>
      <c r="E13" s="3" t="s">
        <v>441</v>
      </c>
      <c r="F13" s="3" t="s">
        <v>379</v>
      </c>
      <c r="G13" s="3" t="s">
        <v>293</v>
      </c>
      <c r="H13" s="3" t="s">
        <v>522</v>
      </c>
      <c r="I13" s="3" t="s">
        <v>523</v>
      </c>
      <c r="J13" s="3" t="s">
        <v>516</v>
      </c>
      <c r="K13" s="3" t="s">
        <v>524</v>
      </c>
      <c r="L13" s="6" t="s">
        <v>525</v>
      </c>
      <c r="M13" s="6" t="s">
        <v>452</v>
      </c>
      <c r="N13" s="6" t="s">
        <v>453</v>
      </c>
      <c r="O13" s="3" t="s">
        <v>248</v>
      </c>
      <c r="P13" s="3" t="s">
        <v>477</v>
      </c>
      <c r="Q13" s="3">
        <f>IF(A13="","",IFERROR(INDEX(Пользовательские_сценарии!$O$4:$O$13,MATCH(E13,Пользовательские_сценарии!$A$4:$A$13,0)),0))</f>
        <v>38</v>
      </c>
      <c r="R13" s="3" t="s">
        <v>455</v>
      </c>
      <c r="S13" s="3">
        <v>4</v>
      </c>
      <c r="T13" s="12">
        <f t="shared" si="0"/>
        <v>1</v>
      </c>
      <c r="U13" s="18" t="s">
        <v>820</v>
      </c>
    </row>
    <row r="14" spans="1:21" ht="14.25">
      <c r="A14" s="6" t="s">
        <v>526</v>
      </c>
      <c r="B14" s="3" t="s">
        <v>109</v>
      </c>
      <c r="C14" s="6" t="s">
        <v>818</v>
      </c>
      <c r="D14" s="6" t="s">
        <v>527</v>
      </c>
      <c r="E14" s="3" t="s">
        <v>411</v>
      </c>
      <c r="F14" s="3" t="s">
        <v>41</v>
      </c>
      <c r="G14" s="3" t="s">
        <v>110</v>
      </c>
      <c r="H14" s="3" t="s">
        <v>528</v>
      </c>
      <c r="I14" s="3" t="s">
        <v>529</v>
      </c>
      <c r="J14" s="3" t="s">
        <v>492</v>
      </c>
      <c r="K14" s="6" t="s">
        <v>530</v>
      </c>
      <c r="L14" s="6" t="s">
        <v>531</v>
      </c>
      <c r="M14" s="6" t="s">
        <v>452</v>
      </c>
      <c r="N14" s="6" t="s">
        <v>453</v>
      </c>
      <c r="O14" s="3" t="s">
        <v>248</v>
      </c>
      <c r="P14" s="3" t="s">
        <v>532</v>
      </c>
      <c r="Q14" s="3">
        <f>IF(A14="","",IFERROR(INDEX(Пользовательские_сценарии!$O$4:$O$13,MATCH(E14,Пользовательские_сценарии!$A$4:$A$13,0)),0))</f>
        <v>52</v>
      </c>
      <c r="R14" s="3" t="s">
        <v>455</v>
      </c>
      <c r="S14" s="3">
        <v>3</v>
      </c>
      <c r="T14" s="12">
        <f t="shared" si="0"/>
        <v>1</v>
      </c>
      <c r="U14" s="18" t="s">
        <v>820</v>
      </c>
    </row>
    <row r="15" spans="1:21" ht="14.25">
      <c r="A15" s="6" t="s">
        <v>533</v>
      </c>
      <c r="B15" s="3" t="s">
        <v>109</v>
      </c>
      <c r="C15" s="6" t="s">
        <v>819</v>
      </c>
      <c r="D15" s="6" t="s">
        <v>534</v>
      </c>
      <c r="E15" s="3" t="s">
        <v>416</v>
      </c>
      <c r="F15" s="3" t="s">
        <v>41</v>
      </c>
      <c r="G15" s="3" t="s">
        <v>397</v>
      </c>
      <c r="H15" s="3" t="s">
        <v>535</v>
      </c>
      <c r="I15" s="3" t="s">
        <v>536</v>
      </c>
      <c r="J15" s="3" t="s">
        <v>537</v>
      </c>
      <c r="K15" s="3" t="s">
        <v>538</v>
      </c>
      <c r="L15" s="6" t="s">
        <v>539</v>
      </c>
      <c r="M15" s="6" t="s">
        <v>452</v>
      </c>
      <c r="N15" s="6" t="s">
        <v>453</v>
      </c>
      <c r="O15" s="3" t="s">
        <v>248</v>
      </c>
      <c r="P15" s="3" t="s">
        <v>532</v>
      </c>
      <c r="Q15" s="3">
        <f>IF(A15="","",IFERROR(INDEX(Пользовательские_сценарии!$O$4:$O$13,MATCH(E15,Пользовательские_сценарии!$A$4:$A$13,0)),0))</f>
        <v>68</v>
      </c>
      <c r="R15" s="3" t="s">
        <v>540</v>
      </c>
      <c r="S15" s="3">
        <v>3</v>
      </c>
      <c r="T15" s="12">
        <f t="shared" si="0"/>
        <v>1</v>
      </c>
      <c r="U15" s="18" t="s">
        <v>820</v>
      </c>
    </row>
    <row r="16" spans="1:21" ht="14.25">
      <c r="A16" s="6" t="s">
        <v>541</v>
      </c>
      <c r="B16" s="3" t="s">
        <v>109</v>
      </c>
      <c r="C16" s="3" t="s">
        <v>542</v>
      </c>
      <c r="D16" s="6" t="s">
        <v>543</v>
      </c>
      <c r="E16" s="3" t="s">
        <v>436</v>
      </c>
      <c r="F16" s="3" t="s">
        <v>391</v>
      </c>
      <c r="G16" s="3" t="s">
        <v>288</v>
      </c>
      <c r="H16" s="3" t="s">
        <v>544</v>
      </c>
      <c r="I16" s="3" t="s">
        <v>545</v>
      </c>
      <c r="J16" s="3" t="s">
        <v>546</v>
      </c>
      <c r="K16" s="3" t="s">
        <v>547</v>
      </c>
      <c r="L16" s="6" t="s">
        <v>548</v>
      </c>
      <c r="M16" s="6" t="s">
        <v>452</v>
      </c>
      <c r="N16" s="6" t="s">
        <v>453</v>
      </c>
      <c r="O16" s="3" t="s">
        <v>248</v>
      </c>
      <c r="P16" s="3" t="s">
        <v>486</v>
      </c>
      <c r="Q16" s="3">
        <f>IF(A16="","",IFERROR(INDEX(Пользовательские_сценарии!$O$4:$O$13,MATCH(E16,Пользовательские_сценарии!$A$4:$A$13,0)),0))</f>
        <v>29</v>
      </c>
      <c r="R16" s="3" t="s">
        <v>540</v>
      </c>
      <c r="S16" s="3">
        <v>3</v>
      </c>
      <c r="T16" s="12">
        <f t="shared" si="0"/>
        <v>1</v>
      </c>
      <c r="U16" s="18" t="s">
        <v>820</v>
      </c>
    </row>
    <row r="17" spans="1:21" ht="14.25">
      <c r="A17" s="8" t="s">
        <v>549</v>
      </c>
      <c r="B17" s="4" t="s">
        <v>102</v>
      </c>
      <c r="C17" s="4" t="s">
        <v>550</v>
      </c>
      <c r="D17" s="8" t="s">
        <v>551</v>
      </c>
      <c r="E17" s="4" t="s">
        <v>46</v>
      </c>
      <c r="F17" s="4" t="s">
        <v>41</v>
      </c>
      <c r="G17" s="4" t="s">
        <v>78</v>
      </c>
      <c r="H17" s="4" t="s">
        <v>552</v>
      </c>
      <c r="I17" s="4" t="s">
        <v>553</v>
      </c>
      <c r="J17" s="4" t="s">
        <v>501</v>
      </c>
      <c r="K17" s="8" t="s">
        <v>554</v>
      </c>
      <c r="L17" s="4" t="s">
        <v>555</v>
      </c>
      <c r="M17" s="8" t="s">
        <v>452</v>
      </c>
      <c r="N17" s="8" t="s">
        <v>453</v>
      </c>
      <c r="O17" s="4" t="s">
        <v>104</v>
      </c>
      <c r="P17" s="4" t="s">
        <v>477</v>
      </c>
      <c r="Q17" s="4">
        <f>IF(A17="","",IFERROR(INDEX(Пользовательские_сценарии!$O$4:$O$13,MATCH(E17,Пользовательские_сценарии!$A$4:$A$13,0)),0))</f>
        <v>68</v>
      </c>
      <c r="R17" s="4" t="s">
        <v>455</v>
      </c>
      <c r="S17" s="4">
        <v>3</v>
      </c>
      <c r="T17" s="13">
        <f t="shared" si="0"/>
        <v>1</v>
      </c>
      <c r="U17" s="5" t="s">
        <v>820</v>
      </c>
    </row>
  </sheetData>
  <mergeCells count="2">
    <mergeCell ref="A1:U1"/>
    <mergeCell ref="A2:U2"/>
  </mergeCells>
  <conditionalFormatting sqref="Q4:Q17">
    <cfRule type="dataBar" priority="4">
      <dataBar>
        <cfvo type="min"/>
        <cfvo type="max"/>
        <color rgb="FF5B9BD5"/>
      </dataBar>
    </cfRule>
  </conditionalFormatting>
  <conditionalFormatting sqref="Q4:Q17">
    <cfRule type="dataBar" priority="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{21CE02E6-C0DD-F449-044B-0E47682D18CD}</x14:id>
        </ext>
      </extLst>
    </cfRule>
  </conditionalFormatting>
  <dataValidations count="7">
    <dataValidation type="list" sqref="B4:B17" xr:uid="{00000000-0002-0000-0400-000000000000}">
      <formula1>"Страница сайта,Экран приложения,Общий модуль,Системное состояние,Форма,Личный кабинет,Платежный экран"</formula1>
    </dataValidation>
    <dataValidation type="list" sqref="G4:G17" xr:uid="{00000000-0002-0000-0400-000001000000}">
      <formula1>"Осведомление,Первичный интерес,Оценка решения,Регистрация,Настройка,Основное использование,Оплата,Поддержка,Повторное использование,Отток/возврат"</formula1>
    </dataValidation>
    <dataValidation type="list" sqref="O4:O17" xr:uid="{00000000-0002-0000-0400-000002000000}">
      <formula1>"Да,Нет,Частично"</formula1>
    </dataValidation>
    <dataValidation type="list" sqref="P4:P17" xr:uid="{00000000-0002-0000-0400-000003000000}">
      <formula1>"Прямое получение оплаты,Подведение к оплате,Удержание,Повышение ценности тарифа,Снижение затрат,Не связана напрямую"</formula1>
    </dataValidation>
    <dataValidation type="list" sqref="R4:R17" xr:uid="{00000000-0002-0000-0400-000004000000}">
      <formula1>"Не начато,Требует уточнения,В проектировании,В прототипе,Готово к ТЗ,Исключено"</formula1>
    </dataValidation>
    <dataValidation type="list" sqref="S4:S17" xr:uid="{00000000-0002-0000-0400-000005000000}">
      <formula1>"1,2,3,4,5"</formula1>
    </dataValidation>
    <dataValidation type="list" sqref="U4:U17" xr:uid="{00000000-0002-0000-0400-000006000000}">
      <formula1>"Оставить,Объединить,Разделить,Уточнить,Исключить,Перенести в следующий выпуск"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CE02E6-C0DD-F449-044B-0E47682D18CD}">
            <x14:dataBar>
              <x14:cfvo type="min"/>
              <x14:cfvo type="max"/>
              <x14:negativeFillColor auto="1"/>
              <x14:axisColor auto="1"/>
            </x14:dataBar>
          </x14:cfRule>
          <xm:sqref>Q4:Q17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0"/>
  <sheetViews>
    <sheetView workbookViewId="0"/>
  </sheetViews>
  <sheetFormatPr defaultRowHeight="13.5"/>
  <cols>
    <col min="1" max="1" width="11.9375" customWidth="1"/>
    <col min="2" max="2" width="15.125" customWidth="1"/>
    <col min="3" max="3" width="10.9375" customWidth="1"/>
    <col min="4" max="4" width="19.3125" customWidth="1"/>
    <col min="5" max="5" width="34" customWidth="1"/>
    <col min="6" max="7" width="22.4375" customWidth="1"/>
    <col min="8" max="8" width="21.4375" customWidth="1"/>
    <col min="9" max="9" width="46.625" customWidth="1"/>
    <col min="10" max="21" width="10.5625" customWidth="1"/>
  </cols>
  <sheetData>
    <row r="1" spans="1:21" ht="20" customHeight="1">
      <c r="A1" s="19" t="s">
        <v>112</v>
      </c>
      <c r="B1" s="20"/>
      <c r="C1" s="20"/>
      <c r="D1" s="20"/>
      <c r="E1" s="20"/>
      <c r="F1" s="20"/>
      <c r="G1" s="20"/>
      <c r="H1" s="20"/>
      <c r="I1" s="20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113</v>
      </c>
      <c r="B2" s="21"/>
      <c r="C2" s="21"/>
      <c r="D2" s="21"/>
      <c r="E2" s="21"/>
      <c r="F2" s="21"/>
      <c r="G2" s="21"/>
      <c r="H2" s="21"/>
      <c r="I2" s="2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114</v>
      </c>
      <c r="B3" s="10" t="s">
        <v>64</v>
      </c>
      <c r="C3" s="10" t="s">
        <v>83</v>
      </c>
      <c r="D3" s="10" t="s">
        <v>115</v>
      </c>
      <c r="E3" s="10" t="s">
        <v>116</v>
      </c>
      <c r="F3" s="10" t="s">
        <v>117</v>
      </c>
      <c r="G3" s="10" t="s">
        <v>118</v>
      </c>
      <c r="H3" s="10" t="s">
        <v>119</v>
      </c>
      <c r="I3" s="11" t="s">
        <v>120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121</v>
      </c>
      <c r="B4" s="3" t="s">
        <v>46</v>
      </c>
      <c r="C4" s="3" t="s">
        <v>101</v>
      </c>
      <c r="D4" s="3" t="s">
        <v>122</v>
      </c>
      <c r="E4" s="6" t="s">
        <v>123</v>
      </c>
      <c r="F4" s="3">
        <v>1</v>
      </c>
      <c r="G4" s="3" t="s">
        <v>820</v>
      </c>
      <c r="H4" s="3" t="s">
        <v>108</v>
      </c>
      <c r="I4" s="16" t="s">
        <v>556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124</v>
      </c>
      <c r="B5" s="3" t="s">
        <v>46</v>
      </c>
      <c r="C5" s="3" t="s">
        <v>108</v>
      </c>
      <c r="D5" s="3" t="s">
        <v>122</v>
      </c>
      <c r="E5" s="6" t="s">
        <v>123</v>
      </c>
      <c r="F5" s="3">
        <v>2</v>
      </c>
      <c r="G5" s="3" t="s">
        <v>101</v>
      </c>
      <c r="H5" s="3" t="s">
        <v>463</v>
      </c>
      <c r="I5" s="18" t="s">
        <v>557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558</v>
      </c>
      <c r="B6" s="3" t="s">
        <v>46</v>
      </c>
      <c r="C6" s="3" t="s">
        <v>463</v>
      </c>
      <c r="D6" s="3" t="s">
        <v>122</v>
      </c>
      <c r="E6" s="6" t="s">
        <v>123</v>
      </c>
      <c r="F6" s="3">
        <v>3</v>
      </c>
      <c r="G6" s="3" t="s">
        <v>108</v>
      </c>
      <c r="H6" s="3" t="s">
        <v>469</v>
      </c>
      <c r="I6" s="16" t="s">
        <v>559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560</v>
      </c>
      <c r="B7" s="3" t="s">
        <v>46</v>
      </c>
      <c r="C7" s="3" t="s">
        <v>469</v>
      </c>
      <c r="D7" s="3" t="s">
        <v>122</v>
      </c>
      <c r="E7" s="6" t="s">
        <v>123</v>
      </c>
      <c r="F7" s="3">
        <v>4</v>
      </c>
      <c r="G7" s="3" t="s">
        <v>463</v>
      </c>
      <c r="H7" s="3" t="s">
        <v>487</v>
      </c>
      <c r="I7" s="16" t="s">
        <v>561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6" t="s">
        <v>562</v>
      </c>
      <c r="B8" s="3" t="s">
        <v>79</v>
      </c>
      <c r="C8" s="3" t="s">
        <v>487</v>
      </c>
      <c r="D8" s="3" t="s">
        <v>122</v>
      </c>
      <c r="E8" s="6" t="s">
        <v>123</v>
      </c>
      <c r="F8" s="3">
        <v>1</v>
      </c>
      <c r="G8" s="3" t="s">
        <v>469</v>
      </c>
      <c r="H8" s="3" t="s">
        <v>526</v>
      </c>
      <c r="I8" s="16" t="s">
        <v>563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4.25">
      <c r="A9" s="6" t="s">
        <v>564</v>
      </c>
      <c r="B9" s="3" t="s">
        <v>79</v>
      </c>
      <c r="C9" s="3" t="s">
        <v>526</v>
      </c>
      <c r="D9" s="3" t="s">
        <v>122</v>
      </c>
      <c r="E9" s="3" t="s">
        <v>257</v>
      </c>
      <c r="F9" s="3">
        <v>2</v>
      </c>
      <c r="G9" s="3" t="s">
        <v>487</v>
      </c>
      <c r="H9" s="3" t="s">
        <v>820</v>
      </c>
      <c r="I9" s="18" t="s">
        <v>565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6" t="s">
        <v>566</v>
      </c>
      <c r="B10" s="3" t="s">
        <v>42</v>
      </c>
      <c r="C10" s="3" t="s">
        <v>496</v>
      </c>
      <c r="D10" s="3" t="s">
        <v>122</v>
      </c>
      <c r="E10" s="6" t="s">
        <v>123</v>
      </c>
      <c r="F10" s="3">
        <v>1</v>
      </c>
      <c r="G10" s="3" t="s">
        <v>463</v>
      </c>
      <c r="H10" s="3" t="s">
        <v>504</v>
      </c>
      <c r="I10" s="18" t="s">
        <v>567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25">
      <c r="A11" s="6" t="s">
        <v>568</v>
      </c>
      <c r="B11" s="3" t="s">
        <v>42</v>
      </c>
      <c r="C11" s="3" t="s">
        <v>504</v>
      </c>
      <c r="D11" s="3" t="s">
        <v>122</v>
      </c>
      <c r="E11" s="6" t="s">
        <v>123</v>
      </c>
      <c r="F11" s="3">
        <v>2</v>
      </c>
      <c r="G11" s="3" t="s">
        <v>496</v>
      </c>
      <c r="H11" s="3" t="s">
        <v>478</v>
      </c>
      <c r="I11" s="16" t="s">
        <v>569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4.25">
      <c r="A12" s="6" t="s">
        <v>570</v>
      </c>
      <c r="B12" s="3" t="s">
        <v>42</v>
      </c>
      <c r="C12" s="3" t="s">
        <v>478</v>
      </c>
      <c r="D12" s="3" t="s">
        <v>122</v>
      </c>
      <c r="E12" s="6" t="s">
        <v>123</v>
      </c>
      <c r="F12" s="3">
        <v>3</v>
      </c>
      <c r="G12" s="3" t="s">
        <v>504</v>
      </c>
      <c r="H12" s="3" t="s">
        <v>820</v>
      </c>
      <c r="I12" s="18" t="s">
        <v>571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4.25">
      <c r="A13" s="6" t="s">
        <v>572</v>
      </c>
      <c r="B13" s="3" t="s">
        <v>411</v>
      </c>
      <c r="C13" s="3" t="s">
        <v>526</v>
      </c>
      <c r="D13" s="3" t="s">
        <v>122</v>
      </c>
      <c r="E13" s="3" t="s">
        <v>257</v>
      </c>
      <c r="F13" s="3">
        <v>1</v>
      </c>
      <c r="G13" s="3" t="s">
        <v>820</v>
      </c>
      <c r="H13" s="3" t="s">
        <v>496</v>
      </c>
      <c r="I13" s="16" t="s">
        <v>573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25">
      <c r="A14" s="6" t="s">
        <v>574</v>
      </c>
      <c r="B14" s="3" t="s">
        <v>411</v>
      </c>
      <c r="C14" s="3" t="s">
        <v>504</v>
      </c>
      <c r="D14" s="3" t="s">
        <v>122</v>
      </c>
      <c r="E14" s="6" t="s">
        <v>123</v>
      </c>
      <c r="F14" s="3">
        <v>2</v>
      </c>
      <c r="G14" s="3" t="s">
        <v>496</v>
      </c>
      <c r="H14" s="3" t="s">
        <v>820</v>
      </c>
      <c r="I14" s="18" t="s">
        <v>575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25">
      <c r="A15" s="6" t="s">
        <v>576</v>
      </c>
      <c r="B15" s="3" t="s">
        <v>416</v>
      </c>
      <c r="C15" s="3" t="s">
        <v>533</v>
      </c>
      <c r="D15" s="3" t="s">
        <v>122</v>
      </c>
      <c r="E15" s="3" t="s">
        <v>257</v>
      </c>
      <c r="F15" s="3">
        <v>1</v>
      </c>
      <c r="G15" s="3" t="s">
        <v>820</v>
      </c>
      <c r="H15" s="3" t="s">
        <v>463</v>
      </c>
      <c r="I15" s="18" t="s">
        <v>577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4.25">
      <c r="A16" s="6" t="s">
        <v>578</v>
      </c>
      <c r="B16" s="3" t="s">
        <v>420</v>
      </c>
      <c r="C16" s="3" t="s">
        <v>478</v>
      </c>
      <c r="D16" s="3" t="s">
        <v>122</v>
      </c>
      <c r="E16" s="6" t="s">
        <v>123</v>
      </c>
      <c r="F16" s="3">
        <v>1</v>
      </c>
      <c r="G16" s="3" t="s">
        <v>469</v>
      </c>
      <c r="H16" s="3" t="s">
        <v>820</v>
      </c>
      <c r="I16" s="18" t="s">
        <v>579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4.25">
      <c r="A17" s="6" t="s">
        <v>580</v>
      </c>
      <c r="B17" s="3" t="s">
        <v>425</v>
      </c>
      <c r="C17" s="3" t="s">
        <v>108</v>
      </c>
      <c r="D17" s="3" t="s">
        <v>122</v>
      </c>
      <c r="E17" s="6" t="s">
        <v>123</v>
      </c>
      <c r="F17" s="3">
        <v>1</v>
      </c>
      <c r="G17" s="3" t="s">
        <v>820</v>
      </c>
      <c r="H17" s="3" t="s">
        <v>463</v>
      </c>
      <c r="I17" s="18" t="s">
        <v>581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4.25">
      <c r="A18" s="6" t="s">
        <v>582</v>
      </c>
      <c r="B18" s="3" t="s">
        <v>436</v>
      </c>
      <c r="C18" s="3" t="s">
        <v>541</v>
      </c>
      <c r="D18" s="3" t="s">
        <v>122</v>
      </c>
      <c r="E18" s="3" t="s">
        <v>257</v>
      </c>
      <c r="F18" s="3">
        <v>1</v>
      </c>
      <c r="G18" s="3" t="s">
        <v>820</v>
      </c>
      <c r="H18" s="3" t="s">
        <v>504</v>
      </c>
      <c r="I18" s="16" t="s">
        <v>583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4.25">
      <c r="A19" s="6" t="s">
        <v>584</v>
      </c>
      <c r="B19" s="3" t="s">
        <v>441</v>
      </c>
      <c r="C19" s="3" t="s">
        <v>511</v>
      </c>
      <c r="D19" s="3" t="s">
        <v>585</v>
      </c>
      <c r="E19" s="6" t="s">
        <v>123</v>
      </c>
      <c r="F19" s="3">
        <v>1</v>
      </c>
      <c r="G19" s="3" t="s">
        <v>820</v>
      </c>
      <c r="H19" s="3" t="s">
        <v>519</v>
      </c>
      <c r="I19" s="18" t="s">
        <v>586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4.25">
      <c r="A20" s="8" t="s">
        <v>587</v>
      </c>
      <c r="B20" s="4" t="s">
        <v>441</v>
      </c>
      <c r="C20" s="4" t="s">
        <v>519</v>
      </c>
      <c r="D20" s="4" t="s">
        <v>122</v>
      </c>
      <c r="E20" s="8" t="s">
        <v>123</v>
      </c>
      <c r="F20" s="4">
        <v>2</v>
      </c>
      <c r="G20" s="4" t="s">
        <v>511</v>
      </c>
      <c r="H20" s="4" t="s">
        <v>820</v>
      </c>
      <c r="I20" s="5" t="s">
        <v>588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1:I1"/>
    <mergeCell ref="A2:I2"/>
  </mergeCells>
  <dataValidations count="2">
    <dataValidation type="list" sqref="D4:D20" xr:uid="{00000000-0002-0000-0500-000000000000}">
      <formula1>"Основная,Поддерживающая,Альтернативная,Сервисная,Монетизационная,Контрольная"</formula1>
    </dataValidation>
    <dataValidation type="list" sqref="E4:E20" xr:uid="{00000000-0002-0000-0500-000001000000}">
      <formula1>"Обязательно для первой версии,Желательно для первой версии,Следующий выпуск,Отложить,Исключить"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6"/>
  <sheetViews>
    <sheetView workbookViewId="0"/>
  </sheetViews>
  <sheetFormatPr defaultRowHeight="13.5"/>
  <cols>
    <col min="1" max="1" width="14.0625" customWidth="1"/>
    <col min="2" max="2" width="18.25" customWidth="1"/>
    <col min="3" max="3" width="16.1875" customWidth="1"/>
    <col min="4" max="4" width="28.75" customWidth="1"/>
    <col min="5" max="5" width="35.0625" customWidth="1"/>
    <col min="6" max="6" width="11.9375" customWidth="1"/>
    <col min="7" max="7" width="22.4375" customWidth="1"/>
    <col min="8" max="8" width="19.3125" customWidth="1"/>
    <col min="9" max="9" width="20.375" customWidth="1"/>
    <col min="10" max="10" width="46.625" customWidth="1"/>
    <col min="11" max="21" width="10.5625" customWidth="1"/>
  </cols>
  <sheetData>
    <row r="1" spans="1:21" ht="20" customHeight="1">
      <c r="A1" s="25" t="s">
        <v>125</v>
      </c>
      <c r="B1" s="26"/>
      <c r="C1" s="26"/>
      <c r="D1" s="26"/>
      <c r="E1" s="26"/>
      <c r="F1" s="26"/>
      <c r="G1" s="26"/>
      <c r="H1" s="26"/>
      <c r="I1" s="26"/>
      <c r="J1" s="26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126</v>
      </c>
      <c r="B2" s="21"/>
      <c r="C2" s="21"/>
      <c r="D2" s="21"/>
      <c r="E2" s="21"/>
      <c r="F2" s="21"/>
      <c r="G2" s="21"/>
      <c r="H2" s="21"/>
      <c r="I2" s="21"/>
      <c r="J2" s="24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127</v>
      </c>
      <c r="B3" s="10" t="s">
        <v>128</v>
      </c>
      <c r="C3" s="10" t="s">
        <v>129</v>
      </c>
      <c r="D3" s="10" t="s">
        <v>130</v>
      </c>
      <c r="E3" s="10" t="s">
        <v>131</v>
      </c>
      <c r="F3" s="10" t="s">
        <v>49</v>
      </c>
      <c r="G3" s="10" t="s">
        <v>65</v>
      </c>
      <c r="H3" s="10" t="s">
        <v>132</v>
      </c>
      <c r="I3" s="10" t="s">
        <v>133</v>
      </c>
      <c r="J3" s="11" t="s">
        <v>120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134</v>
      </c>
      <c r="B4" s="3" t="s">
        <v>101</v>
      </c>
      <c r="C4" s="3" t="s">
        <v>108</v>
      </c>
      <c r="D4" s="3" t="s">
        <v>589</v>
      </c>
      <c r="E4" s="6" t="s">
        <v>590</v>
      </c>
      <c r="F4" s="3" t="s">
        <v>41</v>
      </c>
      <c r="G4" s="3" t="s">
        <v>397</v>
      </c>
      <c r="H4" s="3" t="s">
        <v>135</v>
      </c>
      <c r="I4" s="3">
        <v>2</v>
      </c>
      <c r="J4" s="16" t="s">
        <v>591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592</v>
      </c>
      <c r="B5" s="3" t="s">
        <v>108</v>
      </c>
      <c r="C5" s="3" t="s">
        <v>463</v>
      </c>
      <c r="D5" s="3" t="s">
        <v>593</v>
      </c>
      <c r="E5" s="3" t="s">
        <v>594</v>
      </c>
      <c r="F5" s="3" t="s">
        <v>41</v>
      </c>
      <c r="G5" s="3" t="s">
        <v>397</v>
      </c>
      <c r="H5" s="3" t="s">
        <v>135</v>
      </c>
      <c r="I5" s="3">
        <v>2</v>
      </c>
      <c r="J5" s="18" t="s">
        <v>595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596</v>
      </c>
      <c r="B6" s="3" t="s">
        <v>463</v>
      </c>
      <c r="C6" s="3" t="s">
        <v>469</v>
      </c>
      <c r="D6" s="3" t="s">
        <v>597</v>
      </c>
      <c r="E6" s="3" t="s">
        <v>598</v>
      </c>
      <c r="F6" s="3" t="s">
        <v>41</v>
      </c>
      <c r="G6" s="3" t="s">
        <v>397</v>
      </c>
      <c r="H6" s="3" t="s">
        <v>135</v>
      </c>
      <c r="I6" s="3">
        <v>1</v>
      </c>
      <c r="J6" s="18" t="s">
        <v>599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600</v>
      </c>
      <c r="B7" s="3" t="s">
        <v>469</v>
      </c>
      <c r="C7" s="3" t="s">
        <v>487</v>
      </c>
      <c r="D7" s="3" t="s">
        <v>601</v>
      </c>
      <c r="E7" s="3" t="s">
        <v>602</v>
      </c>
      <c r="F7" s="3" t="s">
        <v>41</v>
      </c>
      <c r="G7" s="3" t="s">
        <v>80</v>
      </c>
      <c r="H7" s="3" t="s">
        <v>135</v>
      </c>
      <c r="I7" s="3">
        <v>3</v>
      </c>
      <c r="J7" s="18" t="s">
        <v>603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6" t="s">
        <v>604</v>
      </c>
      <c r="B8" s="3" t="s">
        <v>463</v>
      </c>
      <c r="C8" s="3" t="s">
        <v>496</v>
      </c>
      <c r="D8" s="3" t="s">
        <v>605</v>
      </c>
      <c r="E8" s="3" t="s">
        <v>606</v>
      </c>
      <c r="F8" s="3" t="s">
        <v>45</v>
      </c>
      <c r="G8" s="3" t="s">
        <v>288</v>
      </c>
      <c r="H8" s="3" t="s">
        <v>135</v>
      </c>
      <c r="I8" s="3">
        <v>3</v>
      </c>
      <c r="J8" s="18" t="s">
        <v>607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4.25">
      <c r="A9" s="6" t="s">
        <v>608</v>
      </c>
      <c r="B9" s="3" t="s">
        <v>496</v>
      </c>
      <c r="C9" s="3" t="s">
        <v>504</v>
      </c>
      <c r="D9" s="3" t="s">
        <v>609</v>
      </c>
      <c r="E9" s="3" t="s">
        <v>610</v>
      </c>
      <c r="F9" s="3" t="s">
        <v>45</v>
      </c>
      <c r="G9" s="3" t="s">
        <v>288</v>
      </c>
      <c r="H9" s="3" t="s">
        <v>135</v>
      </c>
      <c r="I9" s="3">
        <v>2</v>
      </c>
      <c r="J9" s="18" t="s">
        <v>611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6" t="s">
        <v>612</v>
      </c>
      <c r="B10" s="3" t="s">
        <v>504</v>
      </c>
      <c r="C10" s="3" t="s">
        <v>478</v>
      </c>
      <c r="D10" s="3" t="s">
        <v>613</v>
      </c>
      <c r="E10" s="3" t="s">
        <v>614</v>
      </c>
      <c r="F10" s="3" t="s">
        <v>45</v>
      </c>
      <c r="G10" s="3" t="s">
        <v>397</v>
      </c>
      <c r="H10" s="3" t="s">
        <v>135</v>
      </c>
      <c r="I10" s="3">
        <v>2</v>
      </c>
      <c r="J10" s="18" t="s">
        <v>615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25">
      <c r="A11" s="6" t="s">
        <v>616</v>
      </c>
      <c r="B11" s="3" t="s">
        <v>487</v>
      </c>
      <c r="C11" s="3" t="s">
        <v>526</v>
      </c>
      <c r="D11" s="3" t="s">
        <v>617</v>
      </c>
      <c r="E11" s="3" t="s">
        <v>618</v>
      </c>
      <c r="F11" s="3" t="s">
        <v>41</v>
      </c>
      <c r="G11" s="3" t="s">
        <v>110</v>
      </c>
      <c r="H11" s="3" t="s">
        <v>135</v>
      </c>
      <c r="I11" s="3">
        <v>1</v>
      </c>
      <c r="J11" s="18" t="s">
        <v>619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4.25">
      <c r="A12" s="6" t="s">
        <v>620</v>
      </c>
      <c r="B12" s="3" t="s">
        <v>101</v>
      </c>
      <c r="C12" s="3" t="s">
        <v>511</v>
      </c>
      <c r="D12" s="3" t="s">
        <v>621</v>
      </c>
      <c r="E12" s="3" t="s">
        <v>622</v>
      </c>
      <c r="F12" s="3" t="s">
        <v>379</v>
      </c>
      <c r="G12" s="3" t="s">
        <v>78</v>
      </c>
      <c r="H12" s="3" t="s">
        <v>623</v>
      </c>
      <c r="I12" s="3">
        <v>2</v>
      </c>
      <c r="J12" s="16" t="s">
        <v>624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4.25">
      <c r="A13" s="6" t="s">
        <v>625</v>
      </c>
      <c r="B13" s="3" t="s">
        <v>511</v>
      </c>
      <c r="C13" s="3" t="s">
        <v>519</v>
      </c>
      <c r="D13" s="3" t="s">
        <v>588</v>
      </c>
      <c r="E13" s="3" t="s">
        <v>626</v>
      </c>
      <c r="F13" s="3" t="s">
        <v>379</v>
      </c>
      <c r="G13" s="3" t="s">
        <v>293</v>
      </c>
      <c r="H13" s="3" t="s">
        <v>623</v>
      </c>
      <c r="I13" s="3">
        <v>3</v>
      </c>
      <c r="J13" s="18" t="s">
        <v>627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25">
      <c r="A14" s="6" t="s">
        <v>628</v>
      </c>
      <c r="B14" s="3" t="s">
        <v>526</v>
      </c>
      <c r="C14" s="3" t="s">
        <v>496</v>
      </c>
      <c r="D14" s="3" t="s">
        <v>629</v>
      </c>
      <c r="E14" s="3" t="s">
        <v>630</v>
      </c>
      <c r="F14" s="3" t="s">
        <v>41</v>
      </c>
      <c r="G14" s="3" t="s">
        <v>288</v>
      </c>
      <c r="H14" s="3" t="s">
        <v>135</v>
      </c>
      <c r="I14" s="3">
        <v>2</v>
      </c>
      <c r="J14" s="18" t="s">
        <v>631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25">
      <c r="A15" s="6" t="s">
        <v>632</v>
      </c>
      <c r="B15" s="3" t="s">
        <v>533</v>
      </c>
      <c r="C15" s="3" t="s">
        <v>463</v>
      </c>
      <c r="D15" s="3" t="s">
        <v>633</v>
      </c>
      <c r="E15" s="3" t="s">
        <v>634</v>
      </c>
      <c r="F15" s="3" t="s">
        <v>41</v>
      </c>
      <c r="G15" s="3" t="s">
        <v>397</v>
      </c>
      <c r="H15" s="3" t="s">
        <v>135</v>
      </c>
      <c r="I15" s="3">
        <v>3</v>
      </c>
      <c r="J15" s="16" t="s">
        <v>635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4.25">
      <c r="A16" s="8" t="s">
        <v>636</v>
      </c>
      <c r="B16" s="4" t="s">
        <v>541</v>
      </c>
      <c r="C16" s="4" t="s">
        <v>504</v>
      </c>
      <c r="D16" s="4" t="s">
        <v>637</v>
      </c>
      <c r="E16" s="4" t="s">
        <v>638</v>
      </c>
      <c r="F16" s="4" t="s">
        <v>391</v>
      </c>
      <c r="G16" s="4" t="s">
        <v>288</v>
      </c>
      <c r="H16" s="4" t="s">
        <v>135</v>
      </c>
      <c r="I16" s="4">
        <v>3</v>
      </c>
      <c r="J16" s="5" t="s">
        <v>639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2">
    <mergeCell ref="A1:J1"/>
    <mergeCell ref="A2:J2"/>
  </mergeCells>
  <dataValidations count="3">
    <dataValidation type="list" sqref="G4:G16" xr:uid="{00000000-0002-0000-0600-000000000000}">
      <formula1>"Осведомление,Первичный интерес,Оценка решения,Регистрация,Настройка,Основное использование,Оплата,Поддержка,Повторное использование,Отток/возврат"</formula1>
    </dataValidation>
    <dataValidation type="list" sqref="H4:H16" xr:uid="{00000000-0002-0000-0600-000001000000}">
      <formula1>"Основной,Возврат,Ветвление,Переход после ошибки,Переход после оплаты,Внешний переход,Системный переход"</formula1>
    </dataValidation>
    <dataValidation type="list" sqref="I4:I16" xr:uid="{00000000-0002-0000-06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workbookViewId="0"/>
  </sheetViews>
  <sheetFormatPr defaultRowHeight="13.5"/>
  <cols>
    <col min="1" max="1" width="11.9375" customWidth="1"/>
    <col min="2" max="2" width="10.9375" customWidth="1"/>
    <col min="3" max="3" width="29.8125" customWidth="1"/>
    <col min="4" max="4" width="26.6875" customWidth="1"/>
    <col min="5" max="5" width="22.4375" customWidth="1"/>
    <col min="6" max="6" width="30.875" customWidth="1"/>
    <col min="7" max="7" width="40.3125" customWidth="1"/>
    <col min="8" max="8" width="27.6875" customWidth="1"/>
    <col min="9" max="9" width="30.875" customWidth="1"/>
    <col min="10" max="10" width="45.5625" customWidth="1"/>
    <col min="11" max="11" width="21.4375" customWidth="1"/>
    <col min="12" max="21" width="10.5625" customWidth="1"/>
  </cols>
  <sheetData>
    <row r="1" spans="1:21" ht="20" customHeight="1">
      <c r="A1" s="19" t="s">
        <v>136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137</v>
      </c>
      <c r="B2" s="21"/>
      <c r="C2" s="21"/>
      <c r="D2" s="21"/>
      <c r="E2" s="21"/>
      <c r="F2" s="21"/>
      <c r="G2" s="21"/>
      <c r="H2" s="21"/>
      <c r="I2" s="21"/>
      <c r="J2" s="21"/>
      <c r="K2" s="24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138</v>
      </c>
      <c r="B3" s="10" t="s">
        <v>83</v>
      </c>
      <c r="C3" s="10" t="s">
        <v>139</v>
      </c>
      <c r="D3" s="10" t="s">
        <v>140</v>
      </c>
      <c r="E3" s="10" t="s">
        <v>141</v>
      </c>
      <c r="F3" s="10" t="s">
        <v>142</v>
      </c>
      <c r="G3" s="10" t="s">
        <v>143</v>
      </c>
      <c r="H3" s="10" t="s">
        <v>144</v>
      </c>
      <c r="I3" s="10" t="s">
        <v>145</v>
      </c>
      <c r="J3" s="10" t="s">
        <v>146</v>
      </c>
      <c r="K3" s="11" t="s">
        <v>147</v>
      </c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148</v>
      </c>
      <c r="B4" s="3" t="s">
        <v>101</v>
      </c>
      <c r="C4" s="3" t="s">
        <v>640</v>
      </c>
      <c r="D4" s="3" t="s">
        <v>149</v>
      </c>
      <c r="E4" s="3" t="s">
        <v>641</v>
      </c>
      <c r="F4" s="3" t="s">
        <v>149</v>
      </c>
      <c r="G4" s="3" t="s">
        <v>150</v>
      </c>
      <c r="H4" s="3" t="s">
        <v>149</v>
      </c>
      <c r="I4" s="3" t="s">
        <v>642</v>
      </c>
      <c r="J4" s="3" t="s">
        <v>643</v>
      </c>
      <c r="K4" s="15">
        <f t="shared" ref="K4:K17" si="0">IF(A4="","",ROUND(COUNTA(C4:J4)/8,2))</f>
        <v>1</v>
      </c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151</v>
      </c>
      <c r="B5" s="3" t="s">
        <v>108</v>
      </c>
      <c r="C5" s="3" t="s">
        <v>644</v>
      </c>
      <c r="D5" s="3" t="s">
        <v>645</v>
      </c>
      <c r="E5" s="3" t="s">
        <v>646</v>
      </c>
      <c r="F5" s="3" t="s">
        <v>647</v>
      </c>
      <c r="G5" s="3" t="s">
        <v>648</v>
      </c>
      <c r="H5" s="3" t="s">
        <v>149</v>
      </c>
      <c r="I5" s="3" t="s">
        <v>649</v>
      </c>
      <c r="J5" s="6" t="s">
        <v>650</v>
      </c>
      <c r="K5" s="15">
        <f t="shared" si="0"/>
        <v>1</v>
      </c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651</v>
      </c>
      <c r="B6" s="3" t="s">
        <v>463</v>
      </c>
      <c r="C6" s="3" t="s">
        <v>652</v>
      </c>
      <c r="D6" s="3" t="s">
        <v>653</v>
      </c>
      <c r="E6" s="3" t="s">
        <v>646</v>
      </c>
      <c r="F6" s="3" t="s">
        <v>149</v>
      </c>
      <c r="G6" s="6" t="s">
        <v>654</v>
      </c>
      <c r="H6" s="3" t="s">
        <v>149</v>
      </c>
      <c r="I6" s="3" t="s">
        <v>655</v>
      </c>
      <c r="J6" s="3" t="s">
        <v>656</v>
      </c>
      <c r="K6" s="15">
        <f t="shared" si="0"/>
        <v>1</v>
      </c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657</v>
      </c>
      <c r="B7" s="3" t="s">
        <v>469</v>
      </c>
      <c r="C7" s="3" t="s">
        <v>658</v>
      </c>
      <c r="D7" s="3" t="s">
        <v>149</v>
      </c>
      <c r="E7" s="3" t="s">
        <v>659</v>
      </c>
      <c r="F7" s="3" t="s">
        <v>149</v>
      </c>
      <c r="G7" s="6" t="s">
        <v>660</v>
      </c>
      <c r="H7" s="3" t="s">
        <v>149</v>
      </c>
      <c r="I7" s="3" t="s">
        <v>661</v>
      </c>
      <c r="J7" s="3" t="s">
        <v>662</v>
      </c>
      <c r="K7" s="15">
        <f t="shared" si="0"/>
        <v>1</v>
      </c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6" t="s">
        <v>663</v>
      </c>
      <c r="B8" s="3" t="s">
        <v>478</v>
      </c>
      <c r="C8" s="3" t="s">
        <v>664</v>
      </c>
      <c r="D8" s="3" t="s">
        <v>665</v>
      </c>
      <c r="E8" s="3" t="s">
        <v>666</v>
      </c>
      <c r="F8" s="3" t="s">
        <v>149</v>
      </c>
      <c r="G8" s="3" t="s">
        <v>667</v>
      </c>
      <c r="H8" s="3" t="s">
        <v>668</v>
      </c>
      <c r="I8" s="3" t="s">
        <v>669</v>
      </c>
      <c r="J8" s="3" t="s">
        <v>670</v>
      </c>
      <c r="K8" s="15">
        <f t="shared" si="0"/>
        <v>1</v>
      </c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4.25">
      <c r="A9" s="6" t="s">
        <v>671</v>
      </c>
      <c r="B9" s="3" t="s">
        <v>487</v>
      </c>
      <c r="C9" s="3" t="s">
        <v>672</v>
      </c>
      <c r="D9" s="3" t="s">
        <v>149</v>
      </c>
      <c r="E9" s="3" t="s">
        <v>673</v>
      </c>
      <c r="F9" s="3" t="s">
        <v>674</v>
      </c>
      <c r="G9" s="3" t="s">
        <v>648</v>
      </c>
      <c r="H9" s="3" t="s">
        <v>149</v>
      </c>
      <c r="I9" s="3" t="s">
        <v>618</v>
      </c>
      <c r="J9" s="3" t="s">
        <v>675</v>
      </c>
      <c r="K9" s="15">
        <f t="shared" si="0"/>
        <v>1</v>
      </c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6" t="s">
        <v>676</v>
      </c>
      <c r="B10" s="3" t="s">
        <v>496</v>
      </c>
      <c r="C10" s="3" t="s">
        <v>677</v>
      </c>
      <c r="D10" s="3" t="s">
        <v>149</v>
      </c>
      <c r="E10" s="3" t="s">
        <v>641</v>
      </c>
      <c r="F10" s="3" t="s">
        <v>149</v>
      </c>
      <c r="G10" s="3" t="s">
        <v>678</v>
      </c>
      <c r="H10" s="3" t="s">
        <v>149</v>
      </c>
      <c r="I10" s="3" t="s">
        <v>679</v>
      </c>
      <c r="J10" s="3" t="s">
        <v>643</v>
      </c>
      <c r="K10" s="15">
        <f t="shared" si="0"/>
        <v>1</v>
      </c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25">
      <c r="A11" s="6" t="s">
        <v>680</v>
      </c>
      <c r="B11" s="3" t="s">
        <v>504</v>
      </c>
      <c r="C11" s="3" t="s">
        <v>681</v>
      </c>
      <c r="D11" s="3" t="s">
        <v>682</v>
      </c>
      <c r="E11" s="3" t="s">
        <v>683</v>
      </c>
      <c r="F11" s="3" t="s">
        <v>684</v>
      </c>
      <c r="G11" s="3" t="s">
        <v>685</v>
      </c>
      <c r="H11" s="3" t="s">
        <v>668</v>
      </c>
      <c r="I11" s="3" t="s">
        <v>613</v>
      </c>
      <c r="J11" s="6" t="s">
        <v>821</v>
      </c>
      <c r="K11" s="15">
        <f t="shared" si="0"/>
        <v>1</v>
      </c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4.25">
      <c r="A12" s="6" t="s">
        <v>686</v>
      </c>
      <c r="B12" s="3" t="s">
        <v>511</v>
      </c>
      <c r="C12" s="3" t="s">
        <v>687</v>
      </c>
      <c r="D12" s="3" t="s">
        <v>149</v>
      </c>
      <c r="E12" s="3" t="s">
        <v>641</v>
      </c>
      <c r="F12" s="3" t="s">
        <v>149</v>
      </c>
      <c r="G12" s="3" t="s">
        <v>688</v>
      </c>
      <c r="H12" s="3" t="s">
        <v>149</v>
      </c>
      <c r="I12" s="3" t="s">
        <v>149</v>
      </c>
      <c r="J12" s="3" t="s">
        <v>643</v>
      </c>
      <c r="K12" s="15">
        <f t="shared" si="0"/>
        <v>1</v>
      </c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4.25">
      <c r="A13" s="6" t="s">
        <v>689</v>
      </c>
      <c r="B13" s="3" t="s">
        <v>519</v>
      </c>
      <c r="C13" s="3" t="s">
        <v>690</v>
      </c>
      <c r="D13" s="3" t="s">
        <v>691</v>
      </c>
      <c r="E13" s="3" t="s">
        <v>692</v>
      </c>
      <c r="F13" s="3" t="s">
        <v>693</v>
      </c>
      <c r="G13" s="3" t="s">
        <v>694</v>
      </c>
      <c r="H13" s="3" t="s">
        <v>668</v>
      </c>
      <c r="I13" s="3" t="s">
        <v>695</v>
      </c>
      <c r="J13" s="6" t="s">
        <v>696</v>
      </c>
      <c r="K13" s="15">
        <f t="shared" si="0"/>
        <v>1</v>
      </c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25">
      <c r="A14" s="6" t="s">
        <v>697</v>
      </c>
      <c r="B14" s="3" t="s">
        <v>526</v>
      </c>
      <c r="C14" s="3" t="s">
        <v>698</v>
      </c>
      <c r="D14" s="3" t="s">
        <v>699</v>
      </c>
      <c r="E14" s="3" t="s">
        <v>641</v>
      </c>
      <c r="F14" s="3" t="s">
        <v>149</v>
      </c>
      <c r="G14" s="3" t="s">
        <v>700</v>
      </c>
      <c r="H14" s="3" t="s">
        <v>668</v>
      </c>
      <c r="I14" s="3" t="s">
        <v>701</v>
      </c>
      <c r="J14" s="3" t="s">
        <v>702</v>
      </c>
      <c r="K14" s="15">
        <f t="shared" si="0"/>
        <v>1</v>
      </c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25">
      <c r="A15" s="6" t="s">
        <v>703</v>
      </c>
      <c r="B15" s="3" t="s">
        <v>533</v>
      </c>
      <c r="C15" s="3" t="s">
        <v>704</v>
      </c>
      <c r="D15" s="3" t="s">
        <v>705</v>
      </c>
      <c r="E15" s="3" t="s">
        <v>646</v>
      </c>
      <c r="F15" s="3" t="s">
        <v>706</v>
      </c>
      <c r="G15" s="3" t="s">
        <v>707</v>
      </c>
      <c r="H15" s="3" t="s">
        <v>708</v>
      </c>
      <c r="I15" s="3" t="s">
        <v>709</v>
      </c>
      <c r="J15" s="3" t="s">
        <v>710</v>
      </c>
      <c r="K15" s="15">
        <f t="shared" si="0"/>
        <v>1</v>
      </c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4.25">
      <c r="A16" s="6" t="s">
        <v>711</v>
      </c>
      <c r="B16" s="3" t="s">
        <v>541</v>
      </c>
      <c r="C16" s="3" t="s">
        <v>712</v>
      </c>
      <c r="D16" s="3" t="s">
        <v>713</v>
      </c>
      <c r="E16" s="3" t="s">
        <v>673</v>
      </c>
      <c r="F16" s="3" t="s">
        <v>674</v>
      </c>
      <c r="G16" s="3" t="s">
        <v>714</v>
      </c>
      <c r="H16" s="3" t="s">
        <v>715</v>
      </c>
      <c r="I16" s="3" t="s">
        <v>716</v>
      </c>
      <c r="J16" s="3" t="s">
        <v>717</v>
      </c>
      <c r="K16" s="15">
        <f t="shared" si="0"/>
        <v>1</v>
      </c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4.25">
      <c r="A17" s="8" t="s">
        <v>718</v>
      </c>
      <c r="B17" s="4" t="s">
        <v>549</v>
      </c>
      <c r="C17" s="4" t="s">
        <v>719</v>
      </c>
      <c r="D17" s="4" t="s">
        <v>720</v>
      </c>
      <c r="E17" s="4" t="s">
        <v>721</v>
      </c>
      <c r="F17" s="4" t="s">
        <v>149</v>
      </c>
      <c r="G17" s="4" t="s">
        <v>688</v>
      </c>
      <c r="H17" s="4" t="s">
        <v>149</v>
      </c>
      <c r="I17" s="4" t="s">
        <v>149</v>
      </c>
      <c r="J17" s="4" t="s">
        <v>722</v>
      </c>
      <c r="K17" s="14">
        <f t="shared" si="0"/>
        <v>1</v>
      </c>
      <c r="L17" s="1"/>
      <c r="M17" s="1"/>
      <c r="N17" s="1"/>
      <c r="O17" s="1"/>
      <c r="P17" s="1"/>
      <c r="Q17" s="1"/>
      <c r="R17" s="1"/>
      <c r="S17" s="1"/>
      <c r="T17" s="1"/>
      <c r="U17" s="1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1"/>
  <sheetViews>
    <sheetView workbookViewId="0"/>
  </sheetViews>
  <sheetFormatPr defaultRowHeight="13.5"/>
  <cols>
    <col min="1" max="1" width="10.9375" customWidth="1"/>
    <col min="2" max="2" width="44.5" customWidth="1"/>
    <col min="3" max="3" width="28.75" customWidth="1"/>
    <col min="4" max="4" width="34" customWidth="1"/>
    <col min="5" max="5" width="28.75" customWidth="1"/>
    <col min="6" max="6" width="18.25" customWidth="1"/>
    <col min="7" max="7" width="30.875" customWidth="1"/>
    <col min="8" max="8" width="27.6875" customWidth="1"/>
    <col min="9" max="9" width="17.1875" customWidth="1"/>
    <col min="10" max="21" width="10.5625" customWidth="1"/>
  </cols>
  <sheetData>
    <row r="1" spans="1:21" ht="20" customHeight="1">
      <c r="A1" s="19" t="s">
        <v>152</v>
      </c>
      <c r="B1" s="20"/>
      <c r="C1" s="20"/>
      <c r="D1" s="20"/>
      <c r="E1" s="20"/>
      <c r="F1" s="20"/>
      <c r="G1" s="20"/>
      <c r="H1" s="20"/>
      <c r="I1" s="20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153</v>
      </c>
      <c r="B2" s="21"/>
      <c r="C2" s="21"/>
      <c r="D2" s="21"/>
      <c r="E2" s="21"/>
      <c r="F2" s="21"/>
      <c r="G2" s="21"/>
      <c r="H2" s="21"/>
      <c r="I2" s="2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83</v>
      </c>
      <c r="B3" s="10" t="s">
        <v>154</v>
      </c>
      <c r="C3" s="10" t="s">
        <v>155</v>
      </c>
      <c r="D3" s="10" t="s">
        <v>116</v>
      </c>
      <c r="E3" s="10" t="s">
        <v>156</v>
      </c>
      <c r="F3" s="10" t="s">
        <v>157</v>
      </c>
      <c r="G3" s="10" t="s">
        <v>158</v>
      </c>
      <c r="H3" s="10" t="s">
        <v>159</v>
      </c>
      <c r="I3" s="11" t="s">
        <v>160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101</v>
      </c>
      <c r="B4" s="6" t="s">
        <v>723</v>
      </c>
      <c r="C4" s="3" t="s">
        <v>724</v>
      </c>
      <c r="D4" s="6" t="s">
        <v>123</v>
      </c>
      <c r="E4" s="3" t="s">
        <v>162</v>
      </c>
      <c r="F4" s="3" t="s">
        <v>104</v>
      </c>
      <c r="G4" s="3" t="s">
        <v>163</v>
      </c>
      <c r="H4" s="3" t="s">
        <v>164</v>
      </c>
      <c r="I4" s="18" t="s">
        <v>725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108</v>
      </c>
      <c r="B5" s="6" t="s">
        <v>726</v>
      </c>
      <c r="C5" s="3" t="s">
        <v>727</v>
      </c>
      <c r="D5" s="6" t="s">
        <v>123</v>
      </c>
      <c r="E5" s="3" t="s">
        <v>728</v>
      </c>
      <c r="F5" s="3" t="s">
        <v>104</v>
      </c>
      <c r="G5" s="3" t="s">
        <v>163</v>
      </c>
      <c r="H5" s="3" t="s">
        <v>729</v>
      </c>
      <c r="I5" s="18" t="s">
        <v>725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463</v>
      </c>
      <c r="B6" s="3" t="s">
        <v>730</v>
      </c>
      <c r="C6" s="3" t="s">
        <v>731</v>
      </c>
      <c r="D6" s="6" t="s">
        <v>123</v>
      </c>
      <c r="E6" s="3" t="s">
        <v>732</v>
      </c>
      <c r="F6" s="3" t="s">
        <v>248</v>
      </c>
      <c r="G6" s="3" t="s">
        <v>733</v>
      </c>
      <c r="H6" s="3" t="s">
        <v>734</v>
      </c>
      <c r="I6" s="18" t="s">
        <v>735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469</v>
      </c>
      <c r="B7" s="3" t="s">
        <v>736</v>
      </c>
      <c r="C7" s="3" t="s">
        <v>731</v>
      </c>
      <c r="D7" s="6" t="s">
        <v>123</v>
      </c>
      <c r="E7" s="3" t="s">
        <v>732</v>
      </c>
      <c r="F7" s="3" t="s">
        <v>248</v>
      </c>
      <c r="G7" s="3" t="s">
        <v>733</v>
      </c>
      <c r="H7" s="3" t="s">
        <v>737</v>
      </c>
      <c r="I7" s="18" t="s">
        <v>735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6" t="s">
        <v>478</v>
      </c>
      <c r="B8" s="3" t="s">
        <v>479</v>
      </c>
      <c r="C8" s="3" t="s">
        <v>731</v>
      </c>
      <c r="D8" s="6" t="s">
        <v>123</v>
      </c>
      <c r="E8" s="3" t="s">
        <v>732</v>
      </c>
      <c r="F8" s="3" t="s">
        <v>248</v>
      </c>
      <c r="G8" s="3" t="s">
        <v>738</v>
      </c>
      <c r="H8" s="3" t="s">
        <v>739</v>
      </c>
      <c r="I8" s="18" t="s">
        <v>735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4.25">
      <c r="A9" s="6" t="s">
        <v>496</v>
      </c>
      <c r="B9" s="3" t="s">
        <v>677</v>
      </c>
      <c r="C9" s="3" t="s">
        <v>740</v>
      </c>
      <c r="D9" s="6" t="s">
        <v>123</v>
      </c>
      <c r="E9" s="3" t="s">
        <v>741</v>
      </c>
      <c r="F9" s="3" t="s">
        <v>104</v>
      </c>
      <c r="G9" s="3" t="s">
        <v>163</v>
      </c>
      <c r="H9" s="3" t="s">
        <v>734</v>
      </c>
      <c r="I9" s="18" t="s">
        <v>725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6" t="s">
        <v>511</v>
      </c>
      <c r="B10" s="3" t="s">
        <v>742</v>
      </c>
      <c r="C10" s="3" t="s">
        <v>743</v>
      </c>
      <c r="D10" s="6" t="s">
        <v>123</v>
      </c>
      <c r="E10" s="3" t="s">
        <v>744</v>
      </c>
      <c r="F10" s="3" t="s">
        <v>104</v>
      </c>
      <c r="G10" s="3" t="s">
        <v>163</v>
      </c>
      <c r="H10" s="3" t="s">
        <v>729</v>
      </c>
      <c r="I10" s="18" t="s">
        <v>745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25">
      <c r="A11" s="8" t="s">
        <v>549</v>
      </c>
      <c r="B11" s="4" t="s">
        <v>719</v>
      </c>
      <c r="C11" s="4" t="s">
        <v>746</v>
      </c>
      <c r="D11" s="4" t="s">
        <v>257</v>
      </c>
      <c r="E11" s="4" t="s">
        <v>747</v>
      </c>
      <c r="F11" s="4" t="s">
        <v>104</v>
      </c>
      <c r="G11" s="4" t="s">
        <v>163</v>
      </c>
      <c r="H11" s="4" t="s">
        <v>748</v>
      </c>
      <c r="I11" s="5" t="s">
        <v>725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</sheetData>
  <mergeCells count="2">
    <mergeCell ref="A1:I1"/>
    <mergeCell ref="A2:I2"/>
  </mergeCells>
  <dataValidations count="1">
    <dataValidation type="list" sqref="D4:D11" xr:uid="{00000000-0002-0000-0800-000000000000}">
      <formula1>"Обязательно для первой версии,Желательно для первой версии,Следующий выпуск,Отложить,Исключить"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17"/>
  <sheetViews>
    <sheetView workbookViewId="0"/>
  </sheetViews>
  <sheetFormatPr defaultRowHeight="13.5"/>
  <cols>
    <col min="1" max="1" width="10.9375" customWidth="1"/>
    <col min="2" max="2" width="41.375" customWidth="1"/>
    <col min="3" max="3" width="20.375" customWidth="1"/>
    <col min="4" max="4" width="15.125" customWidth="1"/>
    <col min="5" max="5" width="11.9375" customWidth="1"/>
    <col min="6" max="6" width="52.5625" customWidth="1"/>
    <col min="7" max="7" width="26.6875" customWidth="1"/>
    <col min="8" max="8" width="39.25" customWidth="1"/>
    <col min="9" max="9" width="52.5625" customWidth="1"/>
    <col min="10" max="10" width="48.6875" customWidth="1"/>
    <col min="11" max="11" width="51.875" customWidth="1"/>
    <col min="12" max="12" width="52.5625" customWidth="1"/>
    <col min="13" max="13" width="36.125" customWidth="1"/>
    <col min="14" max="14" width="20.375" customWidth="1"/>
    <col min="15" max="15" width="21.4375" customWidth="1"/>
    <col min="16" max="21" width="10.5625" customWidth="1"/>
  </cols>
  <sheetData>
    <row r="1" spans="1:21" ht="20" customHeight="1">
      <c r="A1" s="25" t="s">
        <v>166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1"/>
      <c r="Q1" s="1"/>
      <c r="R1" s="1"/>
      <c r="S1" s="1"/>
      <c r="T1" s="1"/>
      <c r="U1" s="1"/>
    </row>
    <row r="2" spans="1:21" ht="20" customHeight="1">
      <c r="A2" s="21" t="s">
        <v>167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4"/>
      <c r="P2" s="1"/>
      <c r="Q2" s="1"/>
      <c r="R2" s="1"/>
      <c r="S2" s="1"/>
      <c r="T2" s="1"/>
      <c r="U2" s="1"/>
    </row>
    <row r="3" spans="1:21" ht="14.25">
      <c r="A3" s="10" t="s">
        <v>83</v>
      </c>
      <c r="B3" s="10" t="s">
        <v>85</v>
      </c>
      <c r="C3" s="10" t="s">
        <v>84</v>
      </c>
      <c r="D3" s="10" t="s">
        <v>64</v>
      </c>
      <c r="E3" s="10" t="s">
        <v>49</v>
      </c>
      <c r="F3" s="10" t="s">
        <v>86</v>
      </c>
      <c r="G3" s="10" t="s">
        <v>168</v>
      </c>
      <c r="H3" s="10" t="s">
        <v>169</v>
      </c>
      <c r="I3" s="10" t="s">
        <v>170</v>
      </c>
      <c r="J3" s="10" t="s">
        <v>92</v>
      </c>
      <c r="K3" s="10" t="s">
        <v>171</v>
      </c>
      <c r="L3" s="10" t="s">
        <v>172</v>
      </c>
      <c r="M3" s="10" t="s">
        <v>173</v>
      </c>
      <c r="N3" s="10" t="s">
        <v>174</v>
      </c>
      <c r="O3" s="11" t="s">
        <v>175</v>
      </c>
      <c r="P3" s="1"/>
      <c r="Q3" s="1"/>
      <c r="R3" s="1"/>
      <c r="S3" s="1"/>
      <c r="T3" s="1"/>
      <c r="U3" s="1"/>
    </row>
    <row r="4" spans="1:21" ht="14.25">
      <c r="A4" s="6" t="s">
        <v>101</v>
      </c>
      <c r="B4" s="6" t="s">
        <v>446</v>
      </c>
      <c r="C4" s="3" t="s">
        <v>102</v>
      </c>
      <c r="D4" s="3" t="s">
        <v>46</v>
      </c>
      <c r="E4" s="3" t="s">
        <v>41</v>
      </c>
      <c r="F4" s="6" t="s">
        <v>447</v>
      </c>
      <c r="G4" s="3" t="s">
        <v>103</v>
      </c>
      <c r="H4" s="3" t="s">
        <v>448</v>
      </c>
      <c r="I4" s="6" t="s">
        <v>451</v>
      </c>
      <c r="J4" s="6" t="s">
        <v>452</v>
      </c>
      <c r="K4" s="6" t="s">
        <v>749</v>
      </c>
      <c r="L4" s="6" t="s">
        <v>750</v>
      </c>
      <c r="M4" s="6" t="s">
        <v>751</v>
      </c>
      <c r="N4" s="12">
        <f t="shared" ref="N4:N17" si="0">IF(A4="","",ROUND(COUNTA(B4:M4)/12,2))</f>
        <v>1</v>
      </c>
      <c r="O4" s="18" t="str">
        <f t="shared" ref="O4:O17" si="1">IF(A4="","",IF(N4&gt;=0.85,"Готов к прототипу",IF(N4&gt;=0.6,"Выполнено частично","Недостаточно данных")))</f>
        <v>Готов к прототипу</v>
      </c>
      <c r="P4" s="1"/>
      <c r="Q4" s="1"/>
      <c r="R4" s="1"/>
      <c r="S4" s="1"/>
      <c r="T4" s="1"/>
      <c r="U4" s="1"/>
    </row>
    <row r="5" spans="1:21" ht="14.25">
      <c r="A5" s="6" t="s">
        <v>108</v>
      </c>
      <c r="B5" s="6" t="s">
        <v>456</v>
      </c>
      <c r="C5" s="3" t="s">
        <v>109</v>
      </c>
      <c r="D5" s="3" t="s">
        <v>46</v>
      </c>
      <c r="E5" s="3" t="s">
        <v>41</v>
      </c>
      <c r="F5" s="6" t="s">
        <v>457</v>
      </c>
      <c r="G5" s="3" t="s">
        <v>458</v>
      </c>
      <c r="H5" s="6" t="s">
        <v>459</v>
      </c>
      <c r="I5" s="6" t="s">
        <v>461</v>
      </c>
      <c r="J5" s="6" t="s">
        <v>452</v>
      </c>
      <c r="K5" s="6" t="s">
        <v>822</v>
      </c>
      <c r="L5" s="3" t="s">
        <v>752</v>
      </c>
      <c r="M5" s="6" t="s">
        <v>753</v>
      </c>
      <c r="N5" s="12">
        <f t="shared" si="0"/>
        <v>1</v>
      </c>
      <c r="O5" s="18" t="str">
        <f t="shared" si="1"/>
        <v>Готов к прототипу</v>
      </c>
      <c r="P5" s="1"/>
      <c r="Q5" s="1"/>
      <c r="R5" s="1"/>
      <c r="S5" s="1"/>
      <c r="T5" s="1"/>
      <c r="U5" s="1"/>
    </row>
    <row r="6" spans="1:21" ht="14.25">
      <c r="A6" s="6" t="s">
        <v>463</v>
      </c>
      <c r="B6" s="6" t="s">
        <v>816</v>
      </c>
      <c r="C6" s="3" t="s">
        <v>109</v>
      </c>
      <c r="D6" s="3" t="s">
        <v>46</v>
      </c>
      <c r="E6" s="3" t="s">
        <v>41</v>
      </c>
      <c r="F6" s="6" t="s">
        <v>464</v>
      </c>
      <c r="G6" s="3" t="s">
        <v>465</v>
      </c>
      <c r="H6" s="3" t="s">
        <v>466</v>
      </c>
      <c r="I6" s="6" t="s">
        <v>468</v>
      </c>
      <c r="J6" s="6" t="s">
        <v>452</v>
      </c>
      <c r="K6" s="6" t="s">
        <v>754</v>
      </c>
      <c r="L6" s="3" t="s">
        <v>755</v>
      </c>
      <c r="M6" s="3" t="s">
        <v>756</v>
      </c>
      <c r="N6" s="12">
        <f t="shared" si="0"/>
        <v>1</v>
      </c>
      <c r="O6" s="18" t="str">
        <f t="shared" si="1"/>
        <v>Готов к прототипу</v>
      </c>
      <c r="P6" s="1"/>
      <c r="Q6" s="1"/>
      <c r="R6" s="1"/>
      <c r="S6" s="1"/>
      <c r="T6" s="1"/>
      <c r="U6" s="1"/>
    </row>
    <row r="7" spans="1:21" ht="14.25">
      <c r="A7" s="6" t="s">
        <v>469</v>
      </c>
      <c r="B7" s="6" t="s">
        <v>470</v>
      </c>
      <c r="C7" s="3" t="s">
        <v>109</v>
      </c>
      <c r="D7" s="3" t="s">
        <v>46</v>
      </c>
      <c r="E7" s="3" t="s">
        <v>41</v>
      </c>
      <c r="F7" s="6" t="s">
        <v>471</v>
      </c>
      <c r="G7" s="3" t="s">
        <v>472</v>
      </c>
      <c r="H7" s="6" t="s">
        <v>473</v>
      </c>
      <c r="I7" s="6" t="s">
        <v>476</v>
      </c>
      <c r="J7" s="6" t="s">
        <v>452</v>
      </c>
      <c r="K7" s="3" t="s">
        <v>757</v>
      </c>
      <c r="L7" s="3" t="s">
        <v>758</v>
      </c>
      <c r="M7" s="3" t="s">
        <v>759</v>
      </c>
      <c r="N7" s="12">
        <f t="shared" si="0"/>
        <v>1</v>
      </c>
      <c r="O7" s="18" t="str">
        <f t="shared" si="1"/>
        <v>Готов к прототипу</v>
      </c>
      <c r="P7" s="1"/>
      <c r="Q7" s="1"/>
      <c r="R7" s="1"/>
      <c r="S7" s="1"/>
      <c r="T7" s="1"/>
      <c r="U7" s="1"/>
    </row>
    <row r="8" spans="1:21" ht="14.25">
      <c r="A8" s="6" t="s">
        <v>478</v>
      </c>
      <c r="B8" s="3" t="s">
        <v>479</v>
      </c>
      <c r="C8" s="3" t="s">
        <v>109</v>
      </c>
      <c r="D8" s="3" t="s">
        <v>420</v>
      </c>
      <c r="E8" s="3" t="s">
        <v>45</v>
      </c>
      <c r="F8" s="6" t="s">
        <v>480</v>
      </c>
      <c r="G8" s="3" t="s">
        <v>481</v>
      </c>
      <c r="H8" s="3" t="s">
        <v>482</v>
      </c>
      <c r="I8" s="6" t="s">
        <v>485</v>
      </c>
      <c r="J8" s="6" t="s">
        <v>452</v>
      </c>
      <c r="K8" s="3" t="s">
        <v>760</v>
      </c>
      <c r="L8" s="3" t="s">
        <v>761</v>
      </c>
      <c r="M8" s="3" t="s">
        <v>762</v>
      </c>
      <c r="N8" s="12">
        <f t="shared" si="0"/>
        <v>1</v>
      </c>
      <c r="O8" s="18" t="str">
        <f t="shared" si="1"/>
        <v>Готов к прототипу</v>
      </c>
      <c r="P8" s="1"/>
      <c r="Q8" s="1"/>
      <c r="R8" s="1"/>
      <c r="S8" s="1"/>
      <c r="T8" s="1"/>
      <c r="U8" s="1"/>
    </row>
    <row r="9" spans="1:21" ht="14.25">
      <c r="A9" s="6" t="s">
        <v>487</v>
      </c>
      <c r="B9" s="3" t="s">
        <v>488</v>
      </c>
      <c r="C9" s="3" t="s">
        <v>109</v>
      </c>
      <c r="D9" s="3" t="s">
        <v>79</v>
      </c>
      <c r="E9" s="3" t="s">
        <v>41</v>
      </c>
      <c r="F9" s="6" t="s">
        <v>489</v>
      </c>
      <c r="G9" s="3" t="s">
        <v>490</v>
      </c>
      <c r="H9" s="3" t="s">
        <v>491</v>
      </c>
      <c r="I9" s="6" t="s">
        <v>494</v>
      </c>
      <c r="J9" s="6" t="s">
        <v>452</v>
      </c>
      <c r="K9" s="6" t="s">
        <v>823</v>
      </c>
      <c r="L9" s="3" t="s">
        <v>763</v>
      </c>
      <c r="M9" s="3" t="s">
        <v>764</v>
      </c>
      <c r="N9" s="12">
        <f t="shared" si="0"/>
        <v>1</v>
      </c>
      <c r="O9" s="18" t="str">
        <f t="shared" si="1"/>
        <v>Готов к прототипу</v>
      </c>
      <c r="P9" s="1"/>
      <c r="Q9" s="1"/>
      <c r="R9" s="1"/>
      <c r="S9" s="1"/>
      <c r="T9" s="1"/>
      <c r="U9" s="1"/>
    </row>
    <row r="10" spans="1:21" ht="14.25">
      <c r="A10" s="6" t="s">
        <v>496</v>
      </c>
      <c r="B10" s="3" t="s">
        <v>497</v>
      </c>
      <c r="C10" s="3" t="s">
        <v>102</v>
      </c>
      <c r="D10" s="3" t="s">
        <v>42</v>
      </c>
      <c r="E10" s="3" t="s">
        <v>45</v>
      </c>
      <c r="F10" s="6" t="s">
        <v>498</v>
      </c>
      <c r="G10" s="3" t="s">
        <v>499</v>
      </c>
      <c r="H10" s="6" t="s">
        <v>500</v>
      </c>
      <c r="I10" s="6" t="s">
        <v>502</v>
      </c>
      <c r="J10" s="6" t="s">
        <v>452</v>
      </c>
      <c r="K10" s="3" t="s">
        <v>765</v>
      </c>
      <c r="L10" s="3" t="s">
        <v>766</v>
      </c>
      <c r="M10" s="3" t="s">
        <v>767</v>
      </c>
      <c r="N10" s="12">
        <f t="shared" si="0"/>
        <v>1</v>
      </c>
      <c r="O10" s="18" t="str">
        <f t="shared" si="1"/>
        <v>Готов к прототипу</v>
      </c>
      <c r="P10" s="1"/>
      <c r="Q10" s="1"/>
      <c r="R10" s="1"/>
      <c r="S10" s="1"/>
      <c r="T10" s="1"/>
      <c r="U10" s="1"/>
    </row>
    <row r="11" spans="1:21" ht="14.25">
      <c r="A11" s="6" t="s">
        <v>504</v>
      </c>
      <c r="B11" s="3" t="s">
        <v>288</v>
      </c>
      <c r="C11" s="3" t="s">
        <v>109</v>
      </c>
      <c r="D11" s="3" t="s">
        <v>42</v>
      </c>
      <c r="E11" s="3" t="s">
        <v>45</v>
      </c>
      <c r="F11" s="6" t="s">
        <v>505</v>
      </c>
      <c r="G11" s="3" t="s">
        <v>506</v>
      </c>
      <c r="H11" s="3" t="s">
        <v>507</v>
      </c>
      <c r="I11" s="6" t="s">
        <v>510</v>
      </c>
      <c r="J11" s="6" t="s">
        <v>452</v>
      </c>
      <c r="K11" s="3" t="s">
        <v>768</v>
      </c>
      <c r="L11" s="3" t="s">
        <v>769</v>
      </c>
      <c r="M11" s="3" t="s">
        <v>770</v>
      </c>
      <c r="N11" s="12">
        <f t="shared" si="0"/>
        <v>1</v>
      </c>
      <c r="O11" s="18" t="str">
        <f t="shared" si="1"/>
        <v>Готов к прототипу</v>
      </c>
      <c r="P11" s="1"/>
      <c r="Q11" s="1"/>
      <c r="R11" s="1"/>
      <c r="S11" s="1"/>
      <c r="T11" s="1"/>
      <c r="U11" s="1"/>
    </row>
    <row r="12" spans="1:21" ht="14.25">
      <c r="A12" s="6" t="s">
        <v>511</v>
      </c>
      <c r="B12" s="6" t="s">
        <v>512</v>
      </c>
      <c r="C12" s="3" t="s">
        <v>102</v>
      </c>
      <c r="D12" s="3" t="s">
        <v>441</v>
      </c>
      <c r="E12" s="3" t="s">
        <v>379</v>
      </c>
      <c r="F12" s="6" t="s">
        <v>513</v>
      </c>
      <c r="G12" s="3" t="s">
        <v>514</v>
      </c>
      <c r="H12" s="3" t="s">
        <v>515</v>
      </c>
      <c r="I12" s="6" t="s">
        <v>518</v>
      </c>
      <c r="J12" s="6" t="s">
        <v>452</v>
      </c>
      <c r="K12" s="6" t="s">
        <v>771</v>
      </c>
      <c r="L12" s="6" t="s">
        <v>772</v>
      </c>
      <c r="M12" s="3" t="s">
        <v>773</v>
      </c>
      <c r="N12" s="12">
        <f t="shared" si="0"/>
        <v>1</v>
      </c>
      <c r="O12" s="18" t="str">
        <f t="shared" si="1"/>
        <v>Готов к прототипу</v>
      </c>
      <c r="P12" s="1"/>
      <c r="Q12" s="1"/>
      <c r="R12" s="1"/>
      <c r="S12" s="1"/>
      <c r="T12" s="1"/>
      <c r="U12" s="1"/>
    </row>
    <row r="13" spans="1:21" ht="14.25">
      <c r="A13" s="6" t="s">
        <v>519</v>
      </c>
      <c r="B13" s="6" t="s">
        <v>520</v>
      </c>
      <c r="C13" s="3" t="s">
        <v>109</v>
      </c>
      <c r="D13" s="3" t="s">
        <v>441</v>
      </c>
      <c r="E13" s="3" t="s">
        <v>379</v>
      </c>
      <c r="F13" s="6" t="s">
        <v>521</v>
      </c>
      <c r="G13" s="3" t="s">
        <v>522</v>
      </c>
      <c r="H13" s="3" t="s">
        <v>523</v>
      </c>
      <c r="I13" s="6" t="s">
        <v>525</v>
      </c>
      <c r="J13" s="6" t="s">
        <v>452</v>
      </c>
      <c r="K13" s="3" t="s">
        <v>760</v>
      </c>
      <c r="L13" s="3" t="s">
        <v>774</v>
      </c>
      <c r="M13" s="3" t="s">
        <v>775</v>
      </c>
      <c r="N13" s="12">
        <f t="shared" si="0"/>
        <v>1</v>
      </c>
      <c r="O13" s="18" t="str">
        <f t="shared" si="1"/>
        <v>Готов к прототипу</v>
      </c>
      <c r="P13" s="1"/>
      <c r="Q13" s="1"/>
      <c r="R13" s="1"/>
      <c r="S13" s="1"/>
      <c r="T13" s="1"/>
      <c r="U13" s="1"/>
    </row>
    <row r="14" spans="1:21" ht="14.25">
      <c r="A14" s="6" t="s">
        <v>526</v>
      </c>
      <c r="B14" s="6" t="s">
        <v>818</v>
      </c>
      <c r="C14" s="3" t="s">
        <v>109</v>
      </c>
      <c r="D14" s="3" t="s">
        <v>411</v>
      </c>
      <c r="E14" s="3" t="s">
        <v>41</v>
      </c>
      <c r="F14" s="6" t="s">
        <v>527</v>
      </c>
      <c r="G14" s="3" t="s">
        <v>528</v>
      </c>
      <c r="H14" s="3" t="s">
        <v>529</v>
      </c>
      <c r="I14" s="6" t="s">
        <v>531</v>
      </c>
      <c r="J14" s="6" t="s">
        <v>452</v>
      </c>
      <c r="K14" s="3" t="s">
        <v>760</v>
      </c>
      <c r="L14" s="3" t="s">
        <v>776</v>
      </c>
      <c r="M14" s="3" t="s">
        <v>777</v>
      </c>
      <c r="N14" s="12">
        <f t="shared" si="0"/>
        <v>1</v>
      </c>
      <c r="O14" s="18" t="str">
        <f t="shared" si="1"/>
        <v>Готов к прототипу</v>
      </c>
      <c r="P14" s="1"/>
      <c r="Q14" s="1"/>
      <c r="R14" s="1"/>
      <c r="S14" s="1"/>
      <c r="T14" s="1"/>
      <c r="U14" s="1"/>
    </row>
    <row r="15" spans="1:21" ht="14.25">
      <c r="A15" s="6" t="s">
        <v>533</v>
      </c>
      <c r="B15" s="6" t="s">
        <v>819</v>
      </c>
      <c r="C15" s="3" t="s">
        <v>109</v>
      </c>
      <c r="D15" s="3" t="s">
        <v>416</v>
      </c>
      <c r="E15" s="3" t="s">
        <v>41</v>
      </c>
      <c r="F15" s="6" t="s">
        <v>534</v>
      </c>
      <c r="G15" s="3" t="s">
        <v>535</v>
      </c>
      <c r="H15" s="3" t="s">
        <v>536</v>
      </c>
      <c r="I15" s="6" t="s">
        <v>539</v>
      </c>
      <c r="J15" s="6" t="s">
        <v>452</v>
      </c>
      <c r="K15" s="6" t="s">
        <v>822</v>
      </c>
      <c r="L15" s="3" t="s">
        <v>778</v>
      </c>
      <c r="M15" s="3" t="s">
        <v>779</v>
      </c>
      <c r="N15" s="12">
        <f t="shared" si="0"/>
        <v>1</v>
      </c>
      <c r="O15" s="18" t="str">
        <f t="shared" si="1"/>
        <v>Готов к прототипу</v>
      </c>
      <c r="P15" s="1"/>
      <c r="Q15" s="1"/>
      <c r="R15" s="1"/>
      <c r="S15" s="1"/>
      <c r="T15" s="1"/>
      <c r="U15" s="1"/>
    </row>
    <row r="16" spans="1:21" ht="14.25">
      <c r="A16" s="6" t="s">
        <v>541</v>
      </c>
      <c r="B16" s="3" t="s">
        <v>542</v>
      </c>
      <c r="C16" s="3" t="s">
        <v>109</v>
      </c>
      <c r="D16" s="3" t="s">
        <v>436</v>
      </c>
      <c r="E16" s="3" t="s">
        <v>391</v>
      </c>
      <c r="F16" s="6" t="s">
        <v>543</v>
      </c>
      <c r="G16" s="3" t="s">
        <v>544</v>
      </c>
      <c r="H16" s="3" t="s">
        <v>545</v>
      </c>
      <c r="I16" s="6" t="s">
        <v>548</v>
      </c>
      <c r="J16" s="6" t="s">
        <v>452</v>
      </c>
      <c r="K16" s="3" t="s">
        <v>765</v>
      </c>
      <c r="L16" s="3" t="s">
        <v>780</v>
      </c>
      <c r="M16" s="3" t="s">
        <v>781</v>
      </c>
      <c r="N16" s="12">
        <f t="shared" si="0"/>
        <v>1</v>
      </c>
      <c r="O16" s="18" t="str">
        <f t="shared" si="1"/>
        <v>Готов к прототипу</v>
      </c>
      <c r="P16" s="1"/>
      <c r="Q16" s="1"/>
      <c r="R16" s="1"/>
      <c r="S16" s="1"/>
      <c r="T16" s="1"/>
      <c r="U16" s="1"/>
    </row>
    <row r="17" spans="1:21" ht="14.25">
      <c r="A17" s="8" t="s">
        <v>549</v>
      </c>
      <c r="B17" s="4" t="s">
        <v>550</v>
      </c>
      <c r="C17" s="4" t="s">
        <v>102</v>
      </c>
      <c r="D17" s="4" t="s">
        <v>46</v>
      </c>
      <c r="E17" s="4" t="s">
        <v>41</v>
      </c>
      <c r="F17" s="8" t="s">
        <v>551</v>
      </c>
      <c r="G17" s="4" t="s">
        <v>552</v>
      </c>
      <c r="H17" s="4" t="s">
        <v>553</v>
      </c>
      <c r="I17" s="4" t="s">
        <v>555</v>
      </c>
      <c r="J17" s="8" t="s">
        <v>452</v>
      </c>
      <c r="K17" s="4" t="s">
        <v>760</v>
      </c>
      <c r="L17" s="8" t="s">
        <v>782</v>
      </c>
      <c r="M17" s="4" t="s">
        <v>783</v>
      </c>
      <c r="N17" s="13">
        <f t="shared" si="0"/>
        <v>1</v>
      </c>
      <c r="O17" s="5" t="str">
        <f t="shared" si="1"/>
        <v>Готов к прототипу</v>
      </c>
      <c r="P17" s="1"/>
      <c r="Q17" s="1"/>
      <c r="R17" s="1"/>
      <c r="S17" s="1"/>
      <c r="T17" s="1"/>
      <c r="U17" s="1"/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7"/>
  <sheetViews>
    <sheetView workbookViewId="0"/>
  </sheetViews>
  <sheetFormatPr defaultRowHeight="13.5"/>
  <cols>
    <col min="1" max="1" width="10.9375" customWidth="1"/>
    <col min="2" max="2" width="41.375" customWidth="1"/>
    <col min="3" max="3" width="25.625" customWidth="1"/>
    <col min="4" max="4" width="34" customWidth="1"/>
    <col min="5" max="5" width="25.625" customWidth="1"/>
    <col min="6" max="6" width="29.8125" customWidth="1"/>
    <col min="7" max="7" width="27.6875" customWidth="1"/>
    <col min="8" max="9" width="17.1875" customWidth="1"/>
    <col min="10" max="10" width="25.625" customWidth="1"/>
    <col min="11" max="11" width="48.6875" customWidth="1"/>
    <col min="12" max="12" width="28.75" customWidth="1"/>
    <col min="13" max="21" width="10.5625" customWidth="1"/>
  </cols>
  <sheetData>
    <row r="1" spans="1:21" ht="20" customHeight="1">
      <c r="A1" s="19" t="s">
        <v>176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177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4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83</v>
      </c>
      <c r="B3" s="10" t="s">
        <v>85</v>
      </c>
      <c r="C3" s="10" t="s">
        <v>87</v>
      </c>
      <c r="D3" s="10" t="s">
        <v>178</v>
      </c>
      <c r="E3" s="10" t="s">
        <v>179</v>
      </c>
      <c r="F3" s="10" t="s">
        <v>180</v>
      </c>
      <c r="G3" s="10" t="s">
        <v>181</v>
      </c>
      <c r="H3" s="10" t="s">
        <v>74</v>
      </c>
      <c r="I3" s="10" t="s">
        <v>182</v>
      </c>
      <c r="J3" s="10" t="s">
        <v>183</v>
      </c>
      <c r="K3" s="10" t="s">
        <v>184</v>
      </c>
      <c r="L3" s="11" t="s">
        <v>100</v>
      </c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101</v>
      </c>
      <c r="B4" s="6" t="s">
        <v>446</v>
      </c>
      <c r="C4" s="3" t="s">
        <v>46</v>
      </c>
      <c r="D4" s="3">
        <v>5</v>
      </c>
      <c r="E4" s="3">
        <v>5</v>
      </c>
      <c r="F4" s="3">
        <v>5</v>
      </c>
      <c r="G4" s="3">
        <v>5</v>
      </c>
      <c r="H4" s="3">
        <v>2</v>
      </c>
      <c r="I4" s="3">
        <f t="shared" ref="I4:I17" si="0">IF(A4="","",MAX(0,MIN(100,ROUND(((D4*0.3)+(E4*0.3)+(F4*0.15)+(G4*0.15)-(H4*0.1))*20,0))))</f>
        <v>86</v>
      </c>
      <c r="J4" s="3" t="str">
        <f t="shared" ref="J4:J17" si="1">IF(A4="","",IF(I4&gt;=80,"P1 — первая версия",IF(I4&gt;=60,"P2 — следующий выпуск",IF(I4&gt;=40,"P3 — можно отложить","Не включать"))))</f>
        <v>P1 — первая версия</v>
      </c>
      <c r="K4" s="6" t="s">
        <v>185</v>
      </c>
      <c r="L4" s="18" t="s">
        <v>784</v>
      </c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108</v>
      </c>
      <c r="B5" s="6" t="s">
        <v>456</v>
      </c>
      <c r="C5" s="3" t="s">
        <v>46</v>
      </c>
      <c r="D5" s="3">
        <v>5</v>
      </c>
      <c r="E5" s="3">
        <v>5</v>
      </c>
      <c r="F5" s="3">
        <v>5</v>
      </c>
      <c r="G5" s="3">
        <v>5</v>
      </c>
      <c r="H5" s="3">
        <v>2</v>
      </c>
      <c r="I5" s="3">
        <f t="shared" si="0"/>
        <v>86</v>
      </c>
      <c r="J5" s="3" t="str">
        <f t="shared" si="1"/>
        <v>P1 — первая версия</v>
      </c>
      <c r="K5" s="6" t="s">
        <v>785</v>
      </c>
      <c r="L5" s="18" t="s">
        <v>784</v>
      </c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463</v>
      </c>
      <c r="B6" s="6" t="s">
        <v>816</v>
      </c>
      <c r="C6" s="3" t="s">
        <v>46</v>
      </c>
      <c r="D6" s="3">
        <v>5</v>
      </c>
      <c r="E6" s="3">
        <v>5</v>
      </c>
      <c r="F6" s="3">
        <v>5</v>
      </c>
      <c r="G6" s="3">
        <v>5</v>
      </c>
      <c r="H6" s="3">
        <v>3</v>
      </c>
      <c r="I6" s="3">
        <f t="shared" si="0"/>
        <v>84</v>
      </c>
      <c r="J6" s="3" t="str">
        <f t="shared" si="1"/>
        <v>P1 — первая версия</v>
      </c>
      <c r="K6" s="3" t="s">
        <v>786</v>
      </c>
      <c r="L6" s="18" t="s">
        <v>784</v>
      </c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469</v>
      </c>
      <c r="B7" s="6" t="s">
        <v>470</v>
      </c>
      <c r="C7" s="3" t="s">
        <v>46</v>
      </c>
      <c r="D7" s="3">
        <v>5</v>
      </c>
      <c r="E7" s="3">
        <v>4</v>
      </c>
      <c r="F7" s="3">
        <v>4</v>
      </c>
      <c r="G7" s="3">
        <v>4</v>
      </c>
      <c r="H7" s="3">
        <v>3</v>
      </c>
      <c r="I7" s="3">
        <f t="shared" si="0"/>
        <v>72</v>
      </c>
      <c r="J7" s="3" t="str">
        <f t="shared" si="1"/>
        <v>P2 — следующий выпуск</v>
      </c>
      <c r="K7" s="3" t="s">
        <v>787</v>
      </c>
      <c r="L7" s="18" t="s">
        <v>784</v>
      </c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6" t="s">
        <v>478</v>
      </c>
      <c r="B8" s="3" t="s">
        <v>479</v>
      </c>
      <c r="C8" s="3" t="s">
        <v>420</v>
      </c>
      <c r="D8" s="3">
        <v>4</v>
      </c>
      <c r="E8" s="3">
        <v>5</v>
      </c>
      <c r="F8" s="3">
        <v>4</v>
      </c>
      <c r="G8" s="3">
        <v>4</v>
      </c>
      <c r="H8" s="3">
        <v>2</v>
      </c>
      <c r="I8" s="3">
        <f t="shared" si="0"/>
        <v>74</v>
      </c>
      <c r="J8" s="3" t="str">
        <f t="shared" si="1"/>
        <v>P2 — следующий выпуск</v>
      </c>
      <c r="K8" s="3" t="s">
        <v>788</v>
      </c>
      <c r="L8" s="18" t="s">
        <v>784</v>
      </c>
      <c r="M8" s="1"/>
      <c r="N8" s="1"/>
      <c r="O8" s="1"/>
      <c r="P8" s="1"/>
      <c r="Q8" s="1"/>
      <c r="R8" s="1"/>
      <c r="S8" s="1"/>
      <c r="T8" s="1"/>
      <c r="U8" s="1"/>
    </row>
    <row r="9" spans="1:21" ht="14.25">
      <c r="A9" s="6" t="s">
        <v>487</v>
      </c>
      <c r="B9" s="3" t="s">
        <v>488</v>
      </c>
      <c r="C9" s="3" t="s">
        <v>79</v>
      </c>
      <c r="D9" s="3">
        <v>3</v>
      </c>
      <c r="E9" s="3">
        <v>5</v>
      </c>
      <c r="F9" s="3">
        <v>4</v>
      </c>
      <c r="G9" s="3">
        <v>4</v>
      </c>
      <c r="H9" s="3">
        <v>2</v>
      </c>
      <c r="I9" s="3">
        <f t="shared" si="0"/>
        <v>68</v>
      </c>
      <c r="J9" s="3" t="str">
        <f t="shared" si="1"/>
        <v>P2 — следующий выпуск</v>
      </c>
      <c r="K9" s="6" t="s">
        <v>789</v>
      </c>
      <c r="L9" s="18" t="s">
        <v>784</v>
      </c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6" t="s">
        <v>496</v>
      </c>
      <c r="B10" s="3" t="s">
        <v>497</v>
      </c>
      <c r="C10" s="3" t="s">
        <v>42</v>
      </c>
      <c r="D10" s="3">
        <v>4</v>
      </c>
      <c r="E10" s="3">
        <v>5</v>
      </c>
      <c r="F10" s="3">
        <v>4</v>
      </c>
      <c r="G10" s="3">
        <v>5</v>
      </c>
      <c r="H10" s="3">
        <v>1</v>
      </c>
      <c r="I10" s="3">
        <f t="shared" si="0"/>
        <v>79</v>
      </c>
      <c r="J10" s="3" t="str">
        <f t="shared" si="1"/>
        <v>P2 — следующий выпуск</v>
      </c>
      <c r="K10" s="6" t="s">
        <v>790</v>
      </c>
      <c r="L10" s="18" t="s">
        <v>784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ht="14.25">
      <c r="A11" s="6" t="s">
        <v>504</v>
      </c>
      <c r="B11" s="3" t="s">
        <v>288</v>
      </c>
      <c r="C11" s="3" t="s">
        <v>42</v>
      </c>
      <c r="D11" s="3">
        <v>3</v>
      </c>
      <c r="E11" s="3">
        <v>5</v>
      </c>
      <c r="F11" s="3">
        <v>3</v>
      </c>
      <c r="G11" s="3">
        <v>5</v>
      </c>
      <c r="H11" s="3">
        <v>3</v>
      </c>
      <c r="I11" s="3">
        <f t="shared" si="0"/>
        <v>66</v>
      </c>
      <c r="J11" s="3" t="str">
        <f t="shared" si="1"/>
        <v>P2 — следующий выпуск</v>
      </c>
      <c r="K11" s="3" t="s">
        <v>791</v>
      </c>
      <c r="L11" s="18" t="s">
        <v>784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ht="14.25">
      <c r="A12" s="6" t="s">
        <v>511</v>
      </c>
      <c r="B12" s="6" t="s">
        <v>512</v>
      </c>
      <c r="C12" s="3" t="s">
        <v>441</v>
      </c>
      <c r="D12" s="3">
        <v>4</v>
      </c>
      <c r="E12" s="3">
        <v>4</v>
      </c>
      <c r="F12" s="3">
        <v>3</v>
      </c>
      <c r="G12" s="3">
        <v>5</v>
      </c>
      <c r="H12" s="3">
        <v>1</v>
      </c>
      <c r="I12" s="3">
        <f t="shared" si="0"/>
        <v>70</v>
      </c>
      <c r="J12" s="3" t="str">
        <f t="shared" si="1"/>
        <v>P2 — следующий выпуск</v>
      </c>
      <c r="K12" s="3" t="s">
        <v>792</v>
      </c>
      <c r="L12" s="18" t="s">
        <v>784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ht="14.25">
      <c r="A13" s="6" t="s">
        <v>519</v>
      </c>
      <c r="B13" s="6" t="s">
        <v>520</v>
      </c>
      <c r="C13" s="3" t="s">
        <v>441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3">
        <f t="shared" si="0"/>
        <v>50</v>
      </c>
      <c r="J13" s="3" t="str">
        <f t="shared" si="1"/>
        <v>P3 — можно отложить</v>
      </c>
      <c r="K13" s="3" t="s">
        <v>793</v>
      </c>
      <c r="L13" s="18" t="s">
        <v>784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ht="14.25">
      <c r="A14" s="6" t="s">
        <v>526</v>
      </c>
      <c r="B14" s="6" t="s">
        <v>818</v>
      </c>
      <c r="C14" s="3" t="s">
        <v>411</v>
      </c>
      <c r="D14" s="3">
        <v>3</v>
      </c>
      <c r="E14" s="3">
        <v>3</v>
      </c>
      <c r="F14" s="3">
        <v>4</v>
      </c>
      <c r="G14" s="3">
        <v>3</v>
      </c>
      <c r="H14" s="3">
        <v>2</v>
      </c>
      <c r="I14" s="3">
        <f t="shared" si="0"/>
        <v>53</v>
      </c>
      <c r="J14" s="3" t="str">
        <f t="shared" si="1"/>
        <v>P3 — можно отложить</v>
      </c>
      <c r="K14" s="6" t="s">
        <v>794</v>
      </c>
      <c r="L14" s="18" t="s">
        <v>265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ht="14.25">
      <c r="A15" s="6" t="s">
        <v>533</v>
      </c>
      <c r="B15" s="6" t="s">
        <v>819</v>
      </c>
      <c r="C15" s="3" t="s">
        <v>416</v>
      </c>
      <c r="D15" s="3">
        <v>5</v>
      </c>
      <c r="E15" s="3">
        <v>4</v>
      </c>
      <c r="F15" s="3">
        <v>4</v>
      </c>
      <c r="G15" s="3">
        <v>4</v>
      </c>
      <c r="H15" s="3">
        <v>5</v>
      </c>
      <c r="I15" s="3">
        <f t="shared" si="0"/>
        <v>68</v>
      </c>
      <c r="J15" s="3" t="str">
        <f t="shared" si="1"/>
        <v>P2 — следующий выпуск</v>
      </c>
      <c r="K15" s="6" t="s">
        <v>795</v>
      </c>
      <c r="L15" s="18" t="s">
        <v>265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ht="14.25">
      <c r="A16" s="6" t="s">
        <v>541</v>
      </c>
      <c r="B16" s="3" t="s">
        <v>542</v>
      </c>
      <c r="C16" s="3" t="s">
        <v>436</v>
      </c>
      <c r="D16" s="3">
        <v>3</v>
      </c>
      <c r="E16" s="3">
        <v>5</v>
      </c>
      <c r="F16" s="3">
        <v>2</v>
      </c>
      <c r="G16" s="3">
        <v>3</v>
      </c>
      <c r="H16" s="3">
        <v>5</v>
      </c>
      <c r="I16" s="3">
        <f t="shared" si="0"/>
        <v>53</v>
      </c>
      <c r="J16" s="3" t="str">
        <f t="shared" si="1"/>
        <v>P3 — можно отложить</v>
      </c>
      <c r="K16" s="6" t="s">
        <v>796</v>
      </c>
      <c r="L16" s="18" t="s">
        <v>265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ht="14.25">
      <c r="A17" s="8" t="s">
        <v>549</v>
      </c>
      <c r="B17" s="4" t="s">
        <v>550</v>
      </c>
      <c r="C17" s="4" t="s">
        <v>46</v>
      </c>
      <c r="D17" s="4">
        <v>3</v>
      </c>
      <c r="E17" s="4">
        <v>3</v>
      </c>
      <c r="F17" s="4">
        <v>4</v>
      </c>
      <c r="G17" s="4">
        <v>3</v>
      </c>
      <c r="H17" s="4">
        <v>2</v>
      </c>
      <c r="I17" s="4">
        <f t="shared" si="0"/>
        <v>53</v>
      </c>
      <c r="J17" s="4" t="str">
        <f t="shared" si="1"/>
        <v>P3 — можно отложить</v>
      </c>
      <c r="K17" s="8" t="s">
        <v>797</v>
      </c>
      <c r="L17" s="5" t="s">
        <v>784</v>
      </c>
      <c r="M17" s="1"/>
      <c r="N17" s="1"/>
      <c r="O17" s="1"/>
      <c r="P17" s="1"/>
      <c r="Q17" s="1"/>
      <c r="R17" s="1"/>
      <c r="S17" s="1"/>
      <c r="T17" s="1"/>
      <c r="U17" s="1"/>
    </row>
  </sheetData>
  <mergeCells count="2">
    <mergeCell ref="A1:L1"/>
    <mergeCell ref="A2:L2"/>
  </mergeCells>
  <conditionalFormatting sqref="I4:I17">
    <cfRule type="dataBar" priority="9">
      <dataBar>
        <cfvo type="min"/>
        <cfvo type="max"/>
        <color rgb="FF5B9BD5"/>
      </dataBar>
    </cfRule>
  </conditionalFormatting>
  <conditionalFormatting sqref="I4:I17"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{CBD40420-4A5B-1EDE-8A5F-A48E38ED2852}</x14:id>
        </ext>
      </extLst>
    </cfRule>
  </conditionalFormatting>
  <dataValidations count="2">
    <dataValidation type="list" sqref="D4:H17" xr:uid="{00000000-0002-0000-0A00-000000000000}">
      <formula1>"1,2,3,4,5"</formula1>
    </dataValidation>
    <dataValidation type="list" sqref="L4:L17" xr:uid="{00000000-0002-0000-0A00-000001000000}">
      <formula1>"Оставить,Объединить,Разделить,Уточнить,Исключить,Перенести в следующий выпуск"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D40420-4A5B-1EDE-8A5F-A48E38ED2852}">
            <x14:dataBar>
              <x14:cfvo type="min"/>
              <x14:cfvo type="max"/>
              <x14:negativeFillColor auto="1"/>
              <x14:axisColor auto="1"/>
            </x14:dataBar>
          </x14:cfRule>
          <xm:sqref>I4:I17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10"/>
  <sheetViews>
    <sheetView workbookViewId="0"/>
  </sheetViews>
  <sheetFormatPr defaultRowHeight="13.5"/>
  <cols>
    <col min="1" max="1" width="38.1875" customWidth="1"/>
    <col min="2" max="2" width="52.5625" customWidth="1"/>
    <col min="3" max="3" width="46.625" customWidth="1"/>
    <col min="4" max="4" width="13" customWidth="1"/>
    <col min="5" max="5" width="25.625" customWidth="1"/>
    <col min="6" max="6" width="52.5625" customWidth="1"/>
    <col min="7" max="21" width="10.5625" customWidth="1"/>
  </cols>
  <sheetData>
    <row r="1" spans="1:21" ht="20" customHeight="1">
      <c r="A1" s="19" t="s">
        <v>186</v>
      </c>
      <c r="B1" s="20"/>
      <c r="C1" s="20"/>
      <c r="D1" s="20"/>
      <c r="E1" s="20"/>
      <c r="F1" s="20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187</v>
      </c>
      <c r="B2" s="21"/>
      <c r="C2" s="21"/>
      <c r="D2" s="21"/>
      <c r="E2" s="21"/>
      <c r="F2" s="2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188</v>
      </c>
      <c r="B3" s="10" t="s">
        <v>189</v>
      </c>
      <c r="C3" s="10" t="s">
        <v>190</v>
      </c>
      <c r="D3" s="10" t="s">
        <v>191</v>
      </c>
      <c r="E3" s="10" t="s">
        <v>97</v>
      </c>
      <c r="F3" s="11" t="s">
        <v>192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28.5">
      <c r="A4" s="6" t="s">
        <v>193</v>
      </c>
      <c r="B4" s="6" t="s">
        <v>194</v>
      </c>
      <c r="C4" s="6" t="s">
        <v>195</v>
      </c>
      <c r="D4" s="12">
        <f>IFERROR(COUNTIF(Пользовательские_сценарии!$N$4:$N$13,"Покрыт")/SUMPRODUCT(--(Пользовательские_сценарии!$A$4:$A$13&lt;&gt;"")),0)</f>
        <v>0.8</v>
      </c>
      <c r="E4" s="3" t="str">
        <f>IF(D4&gt;=0.9,"Норма",IF(D4&gt;=0.7,"Подтверждено частично","Проблема"))</f>
        <v>Подтверждено частично</v>
      </c>
      <c r="F4" s="16" t="s">
        <v>196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197</v>
      </c>
      <c r="B5" s="6" t="s">
        <v>198</v>
      </c>
      <c r="C5" s="6" t="s">
        <v>199</v>
      </c>
      <c r="D5" s="3">
        <f>SUMPRODUCT(--(Страницы_и_экраны!$A$4:$A$17&lt;&gt;""),--(Страницы_и_экраны!$E$4:$E$17=""))</f>
        <v>0</v>
      </c>
      <c r="E5" s="3" t="str">
        <f>IF(D5=0,"Норма","Проблема")</f>
        <v>Норма</v>
      </c>
      <c r="F5" s="16" t="s">
        <v>200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8.5">
      <c r="A6" s="6" t="s">
        <v>201</v>
      </c>
      <c r="B6" s="6" t="s">
        <v>202</v>
      </c>
      <c r="C6" s="3" t="s">
        <v>203</v>
      </c>
      <c r="D6" s="12">
        <f>IFERROR(AVERAGE(Паспорт_экрана!$N$4:$N$17),0)</f>
        <v>1</v>
      </c>
      <c r="E6" s="3" t="str">
        <f>IF(D6&gt;=0.85,"Норма",IF(D6&gt;=0.6,"Подтверждено частично","Проблема"))</f>
        <v>Норма</v>
      </c>
      <c r="F6" s="16" t="s">
        <v>832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171</v>
      </c>
      <c r="B7" s="6" t="s">
        <v>204</v>
      </c>
      <c r="C7" s="6" t="s">
        <v>205</v>
      </c>
      <c r="D7" s="3">
        <f>SUMPRODUCT(--(Навигация_и_карта!$A$4:$A$16&lt;&gt;""))</f>
        <v>13</v>
      </c>
      <c r="E7" s="3" t="str">
        <f>IF(D7&gt;=SUMPRODUCT(--(Страницы_и_экраны!$A$4:$A$17&lt;&gt;""))-1,"Норма",IF(D7&gt;0,"Подтверждено частично","Проблема"))</f>
        <v>Норма</v>
      </c>
      <c r="F7" s="16" t="s">
        <v>206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28.5">
      <c r="A8" s="6" t="s">
        <v>207</v>
      </c>
      <c r="B8" s="6" t="s">
        <v>208</v>
      </c>
      <c r="C8" s="3" t="s">
        <v>209</v>
      </c>
      <c r="D8" s="12">
        <f>IFERROR(AVERAGE(Состояния_и_ошибки!$K$4:$K$17),0)</f>
        <v>1</v>
      </c>
      <c r="E8" s="3" t="str">
        <f>IF(D8&gt;=0.85,"Норма",IF(D8&gt;=0.6,"Подтверждено частично","Проблема"))</f>
        <v>Норма</v>
      </c>
      <c r="F8" s="16" t="s">
        <v>833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8.5">
      <c r="A9" s="6" t="s">
        <v>210</v>
      </c>
      <c r="B9" s="6" t="s">
        <v>211</v>
      </c>
      <c r="C9" s="6" t="s">
        <v>212</v>
      </c>
      <c r="D9" s="3">
        <f>SUMPRODUCT(--(Страницы_и_экраны!$A$4:$A$17&lt;&gt;""),--(Страницы_и_экраны!$P$4:$P$17&lt;&gt;""),--(Страницы_и_экраны!$P$4:$P$17&lt;&gt;"Не связана напрямую"))</f>
        <v>14</v>
      </c>
      <c r="E9" s="3" t="str">
        <f>IF(D9&gt;=1,"Норма","Подтверждено частично")</f>
        <v>Норма</v>
      </c>
      <c r="F9" s="16" t="s">
        <v>213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8.5">
      <c r="A10" s="8" t="s">
        <v>214</v>
      </c>
      <c r="B10" s="8" t="s">
        <v>215</v>
      </c>
      <c r="C10" s="8" t="s">
        <v>216</v>
      </c>
      <c r="D10" s="13">
        <f>IFERROR(SUMPRODUCT(--(Страницы_и_экраны!$A$4:$A$17&lt;&gt;""),--(Страницы_и_экраны!$J$4:$J$17&lt;&gt;""))/SUMPRODUCT(--(Страницы_и_экраны!$A$4:$A$17&lt;&gt;"")),0)</f>
        <v>1</v>
      </c>
      <c r="E10" s="4" t="str">
        <f>IF(D10&gt;=0.8,"Норма",IF(D10&gt;=0.6,"Подтверждено частично","Проблема"))</f>
        <v>Норма</v>
      </c>
      <c r="F10" s="9" t="s">
        <v>217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16"/>
  <sheetViews>
    <sheetView workbookViewId="0"/>
  </sheetViews>
  <sheetFormatPr defaultRowHeight="13.5"/>
  <cols>
    <col min="1" max="1" width="45.5625" customWidth="1"/>
    <col min="2" max="2" width="14.0625" customWidth="1"/>
    <col min="3" max="3" width="52.5625" customWidth="1"/>
    <col min="4" max="21" width="10.5625" customWidth="1"/>
  </cols>
  <sheetData>
    <row r="1" spans="1:21" ht="20" customHeight="1">
      <c r="A1" s="19" t="s">
        <v>218</v>
      </c>
      <c r="B1" s="20"/>
      <c r="C1" s="20"/>
      <c r="D1" s="20"/>
      <c r="E1" s="20"/>
      <c r="F1" s="20"/>
      <c r="G1" s="20"/>
      <c r="H1" s="2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1" t="s">
        <v>824</v>
      </c>
      <c r="B2" s="21"/>
      <c r="C2" s="21"/>
      <c r="D2" s="22"/>
      <c r="E2" s="22"/>
      <c r="F2" s="22"/>
      <c r="G2" s="22"/>
      <c r="H2" s="2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10" t="s">
        <v>219</v>
      </c>
      <c r="B3" s="10" t="s">
        <v>220</v>
      </c>
      <c r="C3" s="11" t="s">
        <v>221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17" t="s">
        <v>222</v>
      </c>
      <c r="B4" s="12">
        <f>SUMPRODUCT(--(Пользовательские_сценарии!$A$4:$A$13&lt;&gt;""))</f>
        <v>10</v>
      </c>
      <c r="C4" s="16" t="s">
        <v>223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28.5">
      <c r="A5" s="17" t="s">
        <v>224</v>
      </c>
      <c r="B5" s="12">
        <f>IFERROR(COUNTIF(Пользовательские_сценарии!$N$4:$N$13,"Покрыт")/SUMPRODUCT(--(Пользовательские_сценарии!$A$4:$A$13&lt;&gt;"")),0)</f>
        <v>0.8</v>
      </c>
      <c r="C5" s="16" t="s">
        <v>225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17" t="s">
        <v>226</v>
      </c>
      <c r="B6" s="12">
        <f>SUMPRODUCT(--(Страницы_и_экраны!$A$4:$A$17&lt;&gt;""))</f>
        <v>14</v>
      </c>
      <c r="C6" s="16" t="s">
        <v>227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8.5">
      <c r="A7" s="17" t="s">
        <v>228</v>
      </c>
      <c r="B7" s="12">
        <f>IFERROR(AVERAGE(Страницы_и_экраны!$T$4:$T$17),0)</f>
        <v>1</v>
      </c>
      <c r="C7" s="16" t="s">
        <v>229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17" t="s">
        <v>203</v>
      </c>
      <c r="B8" s="3">
        <f>IFERROR(AVERAGE(Паспорт_экрана!$N$4:$N$17),0)</f>
        <v>1</v>
      </c>
      <c r="C8" s="16" t="s">
        <v>230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8.5">
      <c r="A9" s="17" t="s">
        <v>209</v>
      </c>
      <c r="B9" s="3">
        <f>IFERROR(AVERAGE(Состояния_и_ошибки!$K$4:$K$17),0)</f>
        <v>1</v>
      </c>
      <c r="C9" s="16" t="s">
        <v>231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17" t="s">
        <v>232</v>
      </c>
      <c r="B10" s="3">
        <f>COUNTIF(Приоритизация!$J$4:$J$17,"P1 — первая версия")</f>
        <v>3</v>
      </c>
      <c r="C10" s="18" t="s">
        <v>233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25">
      <c r="A11" s="17" t="s">
        <v>234</v>
      </c>
      <c r="B11" s="12">
        <f>ROUND(AVERAGE(B5,B7,B8,B9),2)</f>
        <v>0.95</v>
      </c>
      <c r="C11" s="9" t="s">
        <v>235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4.25">
      <c r="A12" s="10" t="s">
        <v>236</v>
      </c>
      <c r="B12" s="11" t="s">
        <v>237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4.25">
      <c r="A13" s="6" t="s">
        <v>193</v>
      </c>
      <c r="B13" s="15">
        <f>B5</f>
        <v>0.8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25">
      <c r="A14" s="6" t="s">
        <v>238</v>
      </c>
      <c r="B14" s="15">
        <f>B7</f>
        <v>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25">
      <c r="A15" s="6" t="s">
        <v>239</v>
      </c>
      <c r="B15" s="15">
        <f>B8</f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4.25">
      <c r="A16" s="8" t="s">
        <v>92</v>
      </c>
      <c r="B16" s="14">
        <f>B9</f>
        <v>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10"/>
  <sheetViews>
    <sheetView workbookViewId="0"/>
  </sheetViews>
  <sheetFormatPr defaultRowHeight="13.5"/>
  <cols>
    <col min="1" max="1" width="29.8125" customWidth="1"/>
    <col min="2" max="2" width="26.6875" customWidth="1"/>
    <col min="3" max="3" width="28.75" customWidth="1"/>
    <col min="4" max="4" width="19.3125" customWidth="1"/>
    <col min="5" max="5" width="34" customWidth="1"/>
    <col min="6" max="6" width="21.4375" customWidth="1"/>
    <col min="7" max="7" width="11.9375" customWidth="1"/>
    <col min="8" max="8" width="32.9375" customWidth="1"/>
    <col min="9" max="9" width="22.4375" customWidth="1"/>
    <col min="10" max="10" width="29.8125" customWidth="1"/>
    <col min="11" max="11" width="24.5625" customWidth="1"/>
    <col min="12" max="12" width="25.625" customWidth="1"/>
    <col min="13" max="21" width="10.5625" customWidth="1"/>
  </cols>
  <sheetData>
    <row r="1" spans="1:21" ht="20" customHeight="1">
      <c r="A1" s="19" t="s">
        <v>240</v>
      </c>
      <c r="B1" s="20"/>
      <c r="C1" s="20"/>
      <c r="D1" s="20"/>
      <c r="E1" s="20"/>
      <c r="F1" s="20"/>
      <c r="G1" s="20"/>
      <c r="H1" s="2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4.25">
      <c r="A2" s="10" t="s">
        <v>29</v>
      </c>
      <c r="B2" s="10" t="s">
        <v>65</v>
      </c>
      <c r="C2" s="10" t="s">
        <v>241</v>
      </c>
      <c r="D2" s="10" t="s">
        <v>115</v>
      </c>
      <c r="E2" s="10" t="s">
        <v>116</v>
      </c>
      <c r="F2" s="10" t="s">
        <v>97</v>
      </c>
      <c r="G2" s="10" t="s">
        <v>242</v>
      </c>
      <c r="H2" s="10" t="s">
        <v>100</v>
      </c>
      <c r="I2" s="10" t="s">
        <v>57</v>
      </c>
      <c r="J2" s="10" t="s">
        <v>243</v>
      </c>
      <c r="K2" s="10" t="s">
        <v>132</v>
      </c>
      <c r="L2" s="11" t="s">
        <v>244</v>
      </c>
      <c r="M2" s="1"/>
      <c r="N2" s="1"/>
      <c r="O2" s="1"/>
      <c r="P2" s="1"/>
      <c r="Q2" s="1"/>
      <c r="R2" s="1"/>
      <c r="S2" s="1"/>
      <c r="T2" s="1"/>
      <c r="U2" s="1"/>
    </row>
    <row r="3" spans="1:21" ht="14.25">
      <c r="A3" s="6" t="s">
        <v>245</v>
      </c>
      <c r="B3" s="3" t="s">
        <v>246</v>
      </c>
      <c r="C3" s="3" t="s">
        <v>102</v>
      </c>
      <c r="D3" s="3" t="s">
        <v>122</v>
      </c>
      <c r="E3" s="6" t="s">
        <v>123</v>
      </c>
      <c r="F3" s="3" t="s">
        <v>247</v>
      </c>
      <c r="G3" s="3" t="s">
        <v>248</v>
      </c>
      <c r="H3" s="3" t="s">
        <v>107</v>
      </c>
      <c r="I3" s="3" t="s">
        <v>60</v>
      </c>
      <c r="J3" s="3" t="s">
        <v>249</v>
      </c>
      <c r="K3" s="3" t="s">
        <v>135</v>
      </c>
      <c r="L3" s="18" t="s">
        <v>825</v>
      </c>
      <c r="M3" s="1"/>
      <c r="N3" s="1"/>
      <c r="O3" s="1"/>
      <c r="P3" s="1"/>
      <c r="Q3" s="1"/>
      <c r="R3" s="1"/>
      <c r="S3" s="1"/>
      <c r="T3" s="1"/>
      <c r="U3" s="1"/>
    </row>
    <row r="4" spans="1:21" ht="14.25">
      <c r="A4" s="6" t="s">
        <v>40</v>
      </c>
      <c r="B4" s="3" t="s">
        <v>78</v>
      </c>
      <c r="C4" s="3" t="s">
        <v>109</v>
      </c>
      <c r="D4" s="3" t="s">
        <v>250</v>
      </c>
      <c r="E4" s="3" t="s">
        <v>251</v>
      </c>
      <c r="F4" s="3" t="s">
        <v>106</v>
      </c>
      <c r="G4" s="3" t="s">
        <v>104</v>
      </c>
      <c r="H4" s="3" t="s">
        <v>252</v>
      </c>
      <c r="I4" s="3" t="s">
        <v>61</v>
      </c>
      <c r="J4" s="3" t="s">
        <v>105</v>
      </c>
      <c r="K4" s="3" t="s">
        <v>253</v>
      </c>
      <c r="L4" s="18" t="s">
        <v>826</v>
      </c>
      <c r="M4" s="1"/>
      <c r="N4" s="1"/>
      <c r="O4" s="1"/>
      <c r="P4" s="1"/>
      <c r="Q4" s="1"/>
      <c r="R4" s="1"/>
      <c r="S4" s="1"/>
      <c r="T4" s="1"/>
      <c r="U4" s="1"/>
    </row>
    <row r="5" spans="1:21" ht="14.25">
      <c r="A5" s="6" t="s">
        <v>44</v>
      </c>
      <c r="B5" s="3" t="s">
        <v>254</v>
      </c>
      <c r="C5" s="3" t="s">
        <v>255</v>
      </c>
      <c r="D5" s="3" t="s">
        <v>256</v>
      </c>
      <c r="E5" s="3" t="s">
        <v>257</v>
      </c>
      <c r="F5" s="3" t="s">
        <v>111</v>
      </c>
      <c r="G5" s="3" t="s">
        <v>258</v>
      </c>
      <c r="H5" s="3" t="s">
        <v>259</v>
      </c>
      <c r="I5" s="3" t="s">
        <v>260</v>
      </c>
      <c r="J5" s="3" t="s">
        <v>110</v>
      </c>
      <c r="K5" s="3" t="s">
        <v>261</v>
      </c>
      <c r="L5" s="18" t="s">
        <v>827</v>
      </c>
      <c r="M5" s="1"/>
      <c r="N5" s="1"/>
      <c r="O5" s="1"/>
      <c r="P5" s="1"/>
      <c r="Q5" s="1"/>
      <c r="R5" s="1"/>
      <c r="S5" s="1"/>
      <c r="T5" s="1"/>
      <c r="U5" s="1"/>
    </row>
    <row r="6" spans="1:21" ht="14.25">
      <c r="A6" s="6" t="s">
        <v>262</v>
      </c>
      <c r="B6" s="3" t="s">
        <v>80</v>
      </c>
      <c r="C6" s="3" t="s">
        <v>263</v>
      </c>
      <c r="D6" s="3" t="s">
        <v>264</v>
      </c>
      <c r="E6" s="3" t="s">
        <v>265</v>
      </c>
      <c r="F6" s="3" t="s">
        <v>266</v>
      </c>
      <c r="G6" s="3" t="s">
        <v>820</v>
      </c>
      <c r="H6" s="3" t="s">
        <v>258</v>
      </c>
      <c r="I6" s="3" t="s">
        <v>267</v>
      </c>
      <c r="J6" s="3" t="s">
        <v>268</v>
      </c>
      <c r="K6" s="3" t="s">
        <v>269</v>
      </c>
      <c r="L6" s="18" t="s">
        <v>270</v>
      </c>
      <c r="M6" s="1"/>
      <c r="N6" s="1"/>
      <c r="O6" s="1"/>
      <c r="P6" s="1"/>
      <c r="Q6" s="1"/>
      <c r="R6" s="1"/>
      <c r="S6" s="1"/>
      <c r="T6" s="1"/>
      <c r="U6" s="1"/>
    </row>
    <row r="7" spans="1:21" ht="14.25">
      <c r="A7" s="6" t="s">
        <v>161</v>
      </c>
      <c r="B7" s="3" t="s">
        <v>271</v>
      </c>
      <c r="C7" s="3" t="s">
        <v>165</v>
      </c>
      <c r="D7" s="3" t="s">
        <v>272</v>
      </c>
      <c r="E7" s="3" t="s">
        <v>273</v>
      </c>
      <c r="F7" s="3" t="s">
        <v>274</v>
      </c>
      <c r="G7" s="3" t="s">
        <v>820</v>
      </c>
      <c r="H7" s="3" t="s">
        <v>273</v>
      </c>
      <c r="I7" s="3" t="s">
        <v>275</v>
      </c>
      <c r="J7" s="3" t="s">
        <v>276</v>
      </c>
      <c r="K7" s="3" t="s">
        <v>277</v>
      </c>
      <c r="L7" s="18" t="s">
        <v>820</v>
      </c>
      <c r="M7" s="1"/>
      <c r="N7" s="1"/>
      <c r="O7" s="1"/>
      <c r="P7" s="1"/>
      <c r="Q7" s="1"/>
      <c r="R7" s="1"/>
      <c r="S7" s="1"/>
      <c r="T7" s="1"/>
      <c r="U7" s="1"/>
    </row>
    <row r="8" spans="1:21" ht="14.25">
      <c r="A8" s="6" t="s">
        <v>278</v>
      </c>
      <c r="B8" s="3" t="s">
        <v>279</v>
      </c>
      <c r="C8" s="3" t="s">
        <v>280</v>
      </c>
      <c r="D8" s="3" t="s">
        <v>281</v>
      </c>
      <c r="E8" s="3" t="s">
        <v>820</v>
      </c>
      <c r="F8" s="3" t="s">
        <v>282</v>
      </c>
      <c r="G8" s="3" t="s">
        <v>820</v>
      </c>
      <c r="H8" s="3" t="s">
        <v>283</v>
      </c>
      <c r="I8" s="3" t="s">
        <v>284</v>
      </c>
      <c r="J8" s="3" t="s">
        <v>285</v>
      </c>
      <c r="K8" s="3" t="s">
        <v>286</v>
      </c>
      <c r="L8" s="18" t="s">
        <v>820</v>
      </c>
      <c r="M8" s="1"/>
      <c r="N8" s="1"/>
      <c r="O8" s="1"/>
      <c r="P8" s="1"/>
      <c r="Q8" s="1"/>
      <c r="R8" s="1"/>
      <c r="S8" s="1"/>
      <c r="T8" s="1"/>
      <c r="U8" s="1"/>
    </row>
    <row r="9" spans="1:21" ht="14.25">
      <c r="A9" s="6" t="s">
        <v>287</v>
      </c>
      <c r="B9" s="3" t="s">
        <v>288</v>
      </c>
      <c r="C9" s="3" t="s">
        <v>289</v>
      </c>
      <c r="D9" s="3" t="s">
        <v>820</v>
      </c>
      <c r="E9" s="3" t="s">
        <v>820</v>
      </c>
      <c r="F9" s="3" t="s">
        <v>820</v>
      </c>
      <c r="G9" s="3" t="s">
        <v>820</v>
      </c>
      <c r="H9" s="3" t="s">
        <v>820</v>
      </c>
      <c r="I9" s="3" t="s">
        <v>290</v>
      </c>
      <c r="J9" s="3" t="s">
        <v>820</v>
      </c>
      <c r="K9" s="3" t="s">
        <v>291</v>
      </c>
      <c r="L9" s="18" t="s">
        <v>820</v>
      </c>
      <c r="M9" s="1"/>
      <c r="N9" s="1"/>
      <c r="O9" s="1"/>
      <c r="P9" s="1"/>
      <c r="Q9" s="1"/>
      <c r="R9" s="1"/>
      <c r="S9" s="1"/>
      <c r="T9" s="1"/>
      <c r="U9" s="1"/>
    </row>
    <row r="10" spans="1:21" ht="14.25">
      <c r="A10" s="8" t="s">
        <v>292</v>
      </c>
      <c r="B10" s="4" t="s">
        <v>293</v>
      </c>
      <c r="C10" s="4" t="s">
        <v>820</v>
      </c>
      <c r="D10" s="4" t="s">
        <v>820</v>
      </c>
      <c r="E10" s="4" t="s">
        <v>820</v>
      </c>
      <c r="F10" s="4" t="s">
        <v>820</v>
      </c>
      <c r="G10" s="4" t="s">
        <v>820</v>
      </c>
      <c r="H10" s="4" t="s">
        <v>820</v>
      </c>
      <c r="I10" s="4" t="s">
        <v>294</v>
      </c>
      <c r="J10" s="4" t="s">
        <v>820</v>
      </c>
      <c r="K10" s="4" t="s">
        <v>820</v>
      </c>
      <c r="L10" s="5" t="s">
        <v>820</v>
      </c>
      <c r="M10" s="1"/>
      <c r="N10" s="1"/>
      <c r="O10" s="1"/>
      <c r="P10" s="1"/>
      <c r="Q10" s="1"/>
      <c r="R10" s="1"/>
      <c r="S10" s="1"/>
      <c r="T10" s="1"/>
      <c r="U10" s="1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Инструкция</vt:lpstr>
      <vt:lpstr>Банк_выводов</vt:lpstr>
      <vt:lpstr>Роли_и_сегменты</vt:lpstr>
      <vt:lpstr>Пользовательские_сценарии</vt:lpstr>
      <vt:lpstr>Страницы_и_экраны</vt:lpstr>
      <vt:lpstr>Матрица_сценарий_интерфейс</vt:lpstr>
      <vt:lpstr>Навигация_и_карта</vt:lpstr>
      <vt:lpstr>Состояния_и_ошибки</vt:lpstr>
      <vt:lpstr>Контент_и_данные</vt:lpstr>
      <vt:lpstr>Паспорт_экрана</vt:lpstr>
      <vt:lpstr>Приоритизация</vt:lpstr>
      <vt:lpstr>Проверка_связности</vt:lpstr>
      <vt:lpstr>Дашборд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2026-10-06T21:30:46Z</dcterms:modified>
</cp:coreProperties>
</file>