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3ab569\ЛР6_ЦП_Канвас_сценарии_релизы\Excel\"/>
    </mc:Choice>
  </mc:AlternateContent>
  <xr:revisionPtr revIDLastSave="0" documentId="13_ncr:1_{913B0AD7-612E-4A61-81F4-EEDDD577DE05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3" l="1"/>
  <c r="B5" i="13"/>
  <c r="D11" i="12"/>
  <c r="E11" i="12" s="1"/>
  <c r="D10" i="12"/>
  <c r="E10" i="12" s="1"/>
  <c r="D8" i="12"/>
  <c r="E8" i="12" s="1"/>
  <c r="D6" i="12"/>
  <c r="E6" i="12" s="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I18" i="11"/>
  <c r="J18" i="11" s="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O304" i="10"/>
  <c r="N304" i="10"/>
  <c r="O303" i="10"/>
  <c r="N303" i="10"/>
  <c r="O302" i="10"/>
  <c r="N302" i="10"/>
  <c r="O301" i="10"/>
  <c r="N301" i="10"/>
  <c r="O300" i="10"/>
  <c r="N300" i="10"/>
  <c r="O299" i="10"/>
  <c r="N299" i="10"/>
  <c r="O298" i="10"/>
  <c r="N298" i="10"/>
  <c r="O297" i="10"/>
  <c r="N297" i="10"/>
  <c r="O296" i="10"/>
  <c r="N296" i="10"/>
  <c r="O295" i="10"/>
  <c r="N295" i="10"/>
  <c r="O294" i="10"/>
  <c r="N294" i="10"/>
  <c r="O293" i="10"/>
  <c r="N293" i="10"/>
  <c r="O292" i="10"/>
  <c r="N292" i="10"/>
  <c r="O291" i="10"/>
  <c r="N291" i="10"/>
  <c r="O290" i="10"/>
  <c r="N290" i="10"/>
  <c r="O289" i="10"/>
  <c r="N289" i="10"/>
  <c r="O288" i="10"/>
  <c r="N288" i="10"/>
  <c r="O287" i="10"/>
  <c r="N287" i="10"/>
  <c r="O286" i="10"/>
  <c r="N286" i="10"/>
  <c r="O285" i="10"/>
  <c r="N285" i="10"/>
  <c r="O284" i="10"/>
  <c r="N284" i="10"/>
  <c r="O283" i="10"/>
  <c r="N283" i="10"/>
  <c r="O282" i="10"/>
  <c r="N282" i="10"/>
  <c r="O281" i="10"/>
  <c r="N281" i="10"/>
  <c r="O280" i="10"/>
  <c r="N280" i="10"/>
  <c r="O279" i="10"/>
  <c r="N279" i="10"/>
  <c r="O278" i="10"/>
  <c r="N278" i="10"/>
  <c r="O277" i="10"/>
  <c r="N277" i="10"/>
  <c r="O276" i="10"/>
  <c r="N276" i="10"/>
  <c r="O275" i="10"/>
  <c r="N275" i="10"/>
  <c r="O274" i="10"/>
  <c r="N274" i="10"/>
  <c r="O273" i="10"/>
  <c r="N273" i="10"/>
  <c r="O272" i="10"/>
  <c r="N272" i="10"/>
  <c r="O271" i="10"/>
  <c r="N271" i="10"/>
  <c r="O270" i="10"/>
  <c r="N270" i="10"/>
  <c r="O269" i="10"/>
  <c r="N269" i="10"/>
  <c r="O268" i="10"/>
  <c r="N268" i="10"/>
  <c r="O267" i="10"/>
  <c r="N267" i="10"/>
  <c r="O266" i="10"/>
  <c r="N266" i="10"/>
  <c r="O265" i="10"/>
  <c r="N265" i="10"/>
  <c r="O264" i="10"/>
  <c r="N264" i="10"/>
  <c r="O263" i="10"/>
  <c r="N263" i="10"/>
  <c r="O262" i="10"/>
  <c r="N262" i="10"/>
  <c r="O261" i="10"/>
  <c r="N261" i="10"/>
  <c r="O260" i="10"/>
  <c r="N260" i="10"/>
  <c r="O259" i="10"/>
  <c r="N259" i="10"/>
  <c r="O258" i="10"/>
  <c r="N258" i="10"/>
  <c r="O257" i="10"/>
  <c r="N257" i="10"/>
  <c r="O256" i="10"/>
  <c r="N256" i="10"/>
  <c r="O255" i="10"/>
  <c r="N255" i="10"/>
  <c r="O254" i="10"/>
  <c r="N254" i="10"/>
  <c r="O253" i="10"/>
  <c r="N253" i="10"/>
  <c r="O252" i="10"/>
  <c r="N252" i="10"/>
  <c r="O251" i="10"/>
  <c r="N251" i="10"/>
  <c r="O250" i="10"/>
  <c r="N250" i="10"/>
  <c r="O249" i="10"/>
  <c r="N249" i="10"/>
  <c r="O248" i="10"/>
  <c r="N248" i="10"/>
  <c r="O247" i="10"/>
  <c r="N247" i="10"/>
  <c r="O246" i="10"/>
  <c r="N246" i="10"/>
  <c r="O245" i="10"/>
  <c r="N245" i="10"/>
  <c r="O244" i="10"/>
  <c r="N244" i="10"/>
  <c r="O243" i="10"/>
  <c r="N243" i="10"/>
  <c r="O242" i="10"/>
  <c r="N242" i="10"/>
  <c r="O241" i="10"/>
  <c r="N241" i="10"/>
  <c r="O240" i="10"/>
  <c r="N240" i="10"/>
  <c r="O239" i="10"/>
  <c r="N239" i="10"/>
  <c r="O238" i="10"/>
  <c r="N238" i="10"/>
  <c r="O237" i="10"/>
  <c r="N237" i="10"/>
  <c r="O236" i="10"/>
  <c r="N236" i="10"/>
  <c r="O235" i="10"/>
  <c r="N235" i="10"/>
  <c r="O234" i="10"/>
  <c r="N234" i="10"/>
  <c r="O233" i="10"/>
  <c r="N233" i="10"/>
  <c r="O232" i="10"/>
  <c r="N232" i="10"/>
  <c r="O231" i="10"/>
  <c r="N231" i="10"/>
  <c r="O230" i="10"/>
  <c r="N230" i="10"/>
  <c r="O229" i="10"/>
  <c r="N229" i="10"/>
  <c r="O228" i="10"/>
  <c r="N228" i="10"/>
  <c r="O227" i="10"/>
  <c r="N227" i="10"/>
  <c r="O226" i="10"/>
  <c r="N226" i="10"/>
  <c r="O225" i="10"/>
  <c r="N225" i="10"/>
  <c r="O224" i="10"/>
  <c r="N224" i="10"/>
  <c r="O223" i="10"/>
  <c r="N223" i="10"/>
  <c r="O222" i="10"/>
  <c r="N222" i="10"/>
  <c r="O221" i="10"/>
  <c r="N221" i="10"/>
  <c r="O220" i="10"/>
  <c r="N220" i="10"/>
  <c r="O219" i="10"/>
  <c r="N219" i="10"/>
  <c r="O218" i="10"/>
  <c r="N218" i="10"/>
  <c r="O217" i="10"/>
  <c r="N217" i="10"/>
  <c r="O216" i="10"/>
  <c r="N216" i="10"/>
  <c r="O215" i="10"/>
  <c r="N215" i="10"/>
  <c r="O214" i="10"/>
  <c r="N214" i="10"/>
  <c r="O213" i="10"/>
  <c r="N213" i="10"/>
  <c r="O212" i="10"/>
  <c r="N212" i="10"/>
  <c r="O211" i="10"/>
  <c r="N211" i="10"/>
  <c r="O210" i="10"/>
  <c r="N210" i="10"/>
  <c r="O209" i="10"/>
  <c r="N209" i="10"/>
  <c r="O208" i="10"/>
  <c r="N208" i="10"/>
  <c r="O207" i="10"/>
  <c r="N207" i="10"/>
  <c r="O206" i="10"/>
  <c r="N206" i="10"/>
  <c r="O205" i="10"/>
  <c r="N205" i="10"/>
  <c r="O204" i="10"/>
  <c r="N204" i="10"/>
  <c r="O203" i="10"/>
  <c r="N203" i="10"/>
  <c r="O202" i="10"/>
  <c r="N202" i="10"/>
  <c r="O201" i="10"/>
  <c r="N201" i="10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O93" i="10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N18" i="10"/>
  <c r="O18" i="10" s="1"/>
  <c r="N17" i="10"/>
  <c r="O17" i="10" s="1"/>
  <c r="N16" i="10"/>
  <c r="O16" i="10" s="1"/>
  <c r="N15" i="10"/>
  <c r="O15" i="10" s="1"/>
  <c r="N14" i="10"/>
  <c r="O14" i="10" s="1"/>
  <c r="N13" i="10"/>
  <c r="O13" i="10" s="1"/>
  <c r="N12" i="10"/>
  <c r="O12" i="10" s="1"/>
  <c r="N11" i="10"/>
  <c r="O11" i="10" s="1"/>
  <c r="N10" i="10"/>
  <c r="O10" i="10" s="1"/>
  <c r="N9" i="10"/>
  <c r="O9" i="10" s="1"/>
  <c r="N8" i="10"/>
  <c r="O8" i="10" s="1"/>
  <c r="N7" i="10"/>
  <c r="O7" i="10" s="1"/>
  <c r="N6" i="10"/>
  <c r="O6" i="10" s="1"/>
  <c r="N5" i="10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T304" i="5"/>
  <c r="Q304" i="5"/>
  <c r="T303" i="5"/>
  <c r="Q303" i="5"/>
  <c r="T302" i="5"/>
  <c r="Q302" i="5"/>
  <c r="T301" i="5"/>
  <c r="Q301" i="5"/>
  <c r="T300" i="5"/>
  <c r="Q300" i="5"/>
  <c r="T299" i="5"/>
  <c r="Q299" i="5"/>
  <c r="T298" i="5"/>
  <c r="Q298" i="5"/>
  <c r="T297" i="5"/>
  <c r="Q297" i="5"/>
  <c r="T296" i="5"/>
  <c r="Q296" i="5"/>
  <c r="T295" i="5"/>
  <c r="Q295" i="5"/>
  <c r="T294" i="5"/>
  <c r="Q294" i="5"/>
  <c r="T293" i="5"/>
  <c r="Q293" i="5"/>
  <c r="T292" i="5"/>
  <c r="Q292" i="5"/>
  <c r="T291" i="5"/>
  <c r="Q291" i="5"/>
  <c r="T290" i="5"/>
  <c r="Q290" i="5"/>
  <c r="T289" i="5"/>
  <c r="Q289" i="5"/>
  <c r="T288" i="5"/>
  <c r="Q288" i="5"/>
  <c r="T287" i="5"/>
  <c r="Q287" i="5"/>
  <c r="T286" i="5"/>
  <c r="Q286" i="5"/>
  <c r="T285" i="5"/>
  <c r="Q285" i="5"/>
  <c r="T284" i="5"/>
  <c r="Q284" i="5"/>
  <c r="T283" i="5"/>
  <c r="Q283" i="5"/>
  <c r="T282" i="5"/>
  <c r="Q282" i="5"/>
  <c r="T281" i="5"/>
  <c r="Q281" i="5"/>
  <c r="T280" i="5"/>
  <c r="Q280" i="5"/>
  <c r="T279" i="5"/>
  <c r="Q279" i="5"/>
  <c r="T278" i="5"/>
  <c r="Q278" i="5"/>
  <c r="T277" i="5"/>
  <c r="Q277" i="5"/>
  <c r="T276" i="5"/>
  <c r="Q276" i="5"/>
  <c r="T275" i="5"/>
  <c r="Q275" i="5"/>
  <c r="T274" i="5"/>
  <c r="Q274" i="5"/>
  <c r="T273" i="5"/>
  <c r="Q273" i="5"/>
  <c r="T272" i="5"/>
  <c r="Q272" i="5"/>
  <c r="T271" i="5"/>
  <c r="Q271" i="5"/>
  <c r="T270" i="5"/>
  <c r="Q270" i="5"/>
  <c r="T269" i="5"/>
  <c r="Q269" i="5"/>
  <c r="T268" i="5"/>
  <c r="Q268" i="5"/>
  <c r="T267" i="5"/>
  <c r="Q267" i="5"/>
  <c r="T266" i="5"/>
  <c r="Q266" i="5"/>
  <c r="T265" i="5"/>
  <c r="Q265" i="5"/>
  <c r="T264" i="5"/>
  <c r="Q264" i="5"/>
  <c r="T263" i="5"/>
  <c r="Q263" i="5"/>
  <c r="T262" i="5"/>
  <c r="Q262" i="5"/>
  <c r="T261" i="5"/>
  <c r="Q261" i="5"/>
  <c r="T260" i="5"/>
  <c r="Q260" i="5"/>
  <c r="T259" i="5"/>
  <c r="Q259" i="5"/>
  <c r="T258" i="5"/>
  <c r="Q258" i="5"/>
  <c r="T257" i="5"/>
  <c r="Q257" i="5"/>
  <c r="T256" i="5"/>
  <c r="Q256" i="5"/>
  <c r="T255" i="5"/>
  <c r="Q255" i="5"/>
  <c r="T254" i="5"/>
  <c r="Q254" i="5"/>
  <c r="T253" i="5"/>
  <c r="Q253" i="5"/>
  <c r="T252" i="5"/>
  <c r="Q252" i="5"/>
  <c r="T251" i="5"/>
  <c r="Q251" i="5"/>
  <c r="T250" i="5"/>
  <c r="Q250" i="5"/>
  <c r="T249" i="5"/>
  <c r="Q249" i="5"/>
  <c r="T248" i="5"/>
  <c r="Q248" i="5"/>
  <c r="T247" i="5"/>
  <c r="Q247" i="5"/>
  <c r="T246" i="5"/>
  <c r="Q246" i="5"/>
  <c r="T245" i="5"/>
  <c r="Q245" i="5"/>
  <c r="T244" i="5"/>
  <c r="Q244" i="5"/>
  <c r="T243" i="5"/>
  <c r="Q243" i="5"/>
  <c r="T242" i="5"/>
  <c r="Q242" i="5"/>
  <c r="T241" i="5"/>
  <c r="Q241" i="5"/>
  <c r="T240" i="5"/>
  <c r="Q240" i="5"/>
  <c r="T239" i="5"/>
  <c r="Q239" i="5"/>
  <c r="T238" i="5"/>
  <c r="Q238" i="5"/>
  <c r="T237" i="5"/>
  <c r="Q237" i="5"/>
  <c r="T236" i="5"/>
  <c r="Q236" i="5"/>
  <c r="T235" i="5"/>
  <c r="Q235" i="5"/>
  <c r="T234" i="5"/>
  <c r="Q234" i="5"/>
  <c r="T233" i="5"/>
  <c r="Q233" i="5"/>
  <c r="T232" i="5"/>
  <c r="Q232" i="5"/>
  <c r="T231" i="5"/>
  <c r="Q231" i="5"/>
  <c r="T230" i="5"/>
  <c r="Q230" i="5"/>
  <c r="T229" i="5"/>
  <c r="Q229" i="5"/>
  <c r="T228" i="5"/>
  <c r="Q228" i="5"/>
  <c r="T227" i="5"/>
  <c r="Q227" i="5"/>
  <c r="T226" i="5"/>
  <c r="Q226" i="5"/>
  <c r="T225" i="5"/>
  <c r="Q225" i="5"/>
  <c r="T224" i="5"/>
  <c r="Q224" i="5"/>
  <c r="T223" i="5"/>
  <c r="Q223" i="5"/>
  <c r="T222" i="5"/>
  <c r="Q222" i="5"/>
  <c r="T221" i="5"/>
  <c r="Q221" i="5"/>
  <c r="T220" i="5"/>
  <c r="Q220" i="5"/>
  <c r="T219" i="5"/>
  <c r="Q219" i="5"/>
  <c r="T218" i="5"/>
  <c r="Q218" i="5"/>
  <c r="T217" i="5"/>
  <c r="Q217" i="5"/>
  <c r="T216" i="5"/>
  <c r="Q216" i="5"/>
  <c r="T215" i="5"/>
  <c r="Q215" i="5"/>
  <c r="T214" i="5"/>
  <c r="Q214" i="5"/>
  <c r="T213" i="5"/>
  <c r="Q213" i="5"/>
  <c r="T212" i="5"/>
  <c r="Q212" i="5"/>
  <c r="T211" i="5"/>
  <c r="Q211" i="5"/>
  <c r="T210" i="5"/>
  <c r="Q210" i="5"/>
  <c r="T209" i="5"/>
  <c r="Q209" i="5"/>
  <c r="T208" i="5"/>
  <c r="Q208" i="5"/>
  <c r="T207" i="5"/>
  <c r="Q207" i="5"/>
  <c r="T206" i="5"/>
  <c r="Q206" i="5"/>
  <c r="T205" i="5"/>
  <c r="Q205" i="5"/>
  <c r="T204" i="5"/>
  <c r="Q204" i="5"/>
  <c r="T203" i="5"/>
  <c r="Q203" i="5"/>
  <c r="T202" i="5"/>
  <c r="Q202" i="5"/>
  <c r="T201" i="5"/>
  <c r="Q201" i="5"/>
  <c r="T200" i="5"/>
  <c r="Q200" i="5"/>
  <c r="T199" i="5"/>
  <c r="Q199" i="5"/>
  <c r="T198" i="5"/>
  <c r="Q198" i="5"/>
  <c r="T197" i="5"/>
  <c r="Q197" i="5"/>
  <c r="T196" i="5"/>
  <c r="Q196" i="5"/>
  <c r="T195" i="5"/>
  <c r="Q195" i="5"/>
  <c r="T194" i="5"/>
  <c r="Q194" i="5"/>
  <c r="T193" i="5"/>
  <c r="Q193" i="5"/>
  <c r="T192" i="5"/>
  <c r="Q192" i="5"/>
  <c r="T191" i="5"/>
  <c r="Q191" i="5"/>
  <c r="T190" i="5"/>
  <c r="Q190" i="5"/>
  <c r="T189" i="5"/>
  <c r="Q189" i="5"/>
  <c r="T188" i="5"/>
  <c r="Q188" i="5"/>
  <c r="T187" i="5"/>
  <c r="Q187" i="5"/>
  <c r="T186" i="5"/>
  <c r="Q186" i="5"/>
  <c r="T185" i="5"/>
  <c r="Q185" i="5"/>
  <c r="T184" i="5"/>
  <c r="Q184" i="5"/>
  <c r="T183" i="5"/>
  <c r="Q183" i="5"/>
  <c r="T182" i="5"/>
  <c r="Q182" i="5"/>
  <c r="T181" i="5"/>
  <c r="Q181" i="5"/>
  <c r="T180" i="5"/>
  <c r="Q180" i="5"/>
  <c r="T179" i="5"/>
  <c r="Q179" i="5"/>
  <c r="T178" i="5"/>
  <c r="Q178" i="5"/>
  <c r="T177" i="5"/>
  <c r="Q177" i="5"/>
  <c r="T176" i="5"/>
  <c r="Q176" i="5"/>
  <c r="T175" i="5"/>
  <c r="Q175" i="5"/>
  <c r="T174" i="5"/>
  <c r="Q174" i="5"/>
  <c r="T173" i="5"/>
  <c r="Q173" i="5"/>
  <c r="T172" i="5"/>
  <c r="Q172" i="5"/>
  <c r="T171" i="5"/>
  <c r="Q171" i="5"/>
  <c r="T170" i="5"/>
  <c r="Q170" i="5"/>
  <c r="T169" i="5"/>
  <c r="Q169" i="5"/>
  <c r="T168" i="5"/>
  <c r="Q168" i="5"/>
  <c r="T167" i="5"/>
  <c r="Q167" i="5"/>
  <c r="T166" i="5"/>
  <c r="Q166" i="5"/>
  <c r="T165" i="5"/>
  <c r="Q165" i="5"/>
  <c r="T164" i="5"/>
  <c r="Q164" i="5"/>
  <c r="T163" i="5"/>
  <c r="Q163" i="5"/>
  <c r="T162" i="5"/>
  <c r="Q162" i="5"/>
  <c r="T161" i="5"/>
  <c r="Q161" i="5"/>
  <c r="T160" i="5"/>
  <c r="Q160" i="5"/>
  <c r="T159" i="5"/>
  <c r="Q159" i="5"/>
  <c r="T158" i="5"/>
  <c r="Q158" i="5"/>
  <c r="T157" i="5"/>
  <c r="Q157" i="5"/>
  <c r="T156" i="5"/>
  <c r="Q156" i="5"/>
  <c r="T155" i="5"/>
  <c r="Q155" i="5"/>
  <c r="T154" i="5"/>
  <c r="Q154" i="5"/>
  <c r="T153" i="5"/>
  <c r="Q153" i="5"/>
  <c r="T152" i="5"/>
  <c r="Q152" i="5"/>
  <c r="T151" i="5"/>
  <c r="Q151" i="5"/>
  <c r="T150" i="5"/>
  <c r="Q150" i="5"/>
  <c r="T149" i="5"/>
  <c r="Q149" i="5"/>
  <c r="T148" i="5"/>
  <c r="Q148" i="5"/>
  <c r="T147" i="5"/>
  <c r="Q147" i="5"/>
  <c r="T146" i="5"/>
  <c r="Q146" i="5"/>
  <c r="T145" i="5"/>
  <c r="Q145" i="5"/>
  <c r="T144" i="5"/>
  <c r="Q144" i="5"/>
  <c r="T143" i="5"/>
  <c r="Q143" i="5"/>
  <c r="T142" i="5"/>
  <c r="Q142" i="5"/>
  <c r="T141" i="5"/>
  <c r="Q141" i="5"/>
  <c r="T140" i="5"/>
  <c r="Q140" i="5"/>
  <c r="T139" i="5"/>
  <c r="Q139" i="5"/>
  <c r="T138" i="5"/>
  <c r="Q138" i="5"/>
  <c r="T137" i="5"/>
  <c r="Q137" i="5"/>
  <c r="T136" i="5"/>
  <c r="Q136" i="5"/>
  <c r="T135" i="5"/>
  <c r="Q135" i="5"/>
  <c r="T134" i="5"/>
  <c r="Q134" i="5"/>
  <c r="T133" i="5"/>
  <c r="Q133" i="5"/>
  <c r="T132" i="5"/>
  <c r="Q132" i="5"/>
  <c r="T131" i="5"/>
  <c r="Q131" i="5"/>
  <c r="T130" i="5"/>
  <c r="Q130" i="5"/>
  <c r="T129" i="5"/>
  <c r="Q129" i="5"/>
  <c r="T128" i="5"/>
  <c r="Q128" i="5"/>
  <c r="T127" i="5"/>
  <c r="Q127" i="5"/>
  <c r="T126" i="5"/>
  <c r="Q126" i="5"/>
  <c r="T125" i="5"/>
  <c r="Q125" i="5"/>
  <c r="T124" i="5"/>
  <c r="Q124" i="5"/>
  <c r="T123" i="5"/>
  <c r="Q123" i="5"/>
  <c r="T122" i="5"/>
  <c r="Q122" i="5"/>
  <c r="T121" i="5"/>
  <c r="Q121" i="5"/>
  <c r="T120" i="5"/>
  <c r="Q120" i="5"/>
  <c r="T119" i="5"/>
  <c r="Q119" i="5"/>
  <c r="T118" i="5"/>
  <c r="Q118" i="5"/>
  <c r="T117" i="5"/>
  <c r="Q117" i="5"/>
  <c r="T116" i="5"/>
  <c r="Q116" i="5"/>
  <c r="T115" i="5"/>
  <c r="Q115" i="5"/>
  <c r="T114" i="5"/>
  <c r="Q114" i="5"/>
  <c r="T113" i="5"/>
  <c r="Q113" i="5"/>
  <c r="T112" i="5"/>
  <c r="Q112" i="5"/>
  <c r="T111" i="5"/>
  <c r="Q111" i="5"/>
  <c r="T110" i="5"/>
  <c r="Q110" i="5"/>
  <c r="T109" i="5"/>
  <c r="Q109" i="5"/>
  <c r="T108" i="5"/>
  <c r="Q108" i="5"/>
  <c r="T107" i="5"/>
  <c r="Q107" i="5"/>
  <c r="T106" i="5"/>
  <c r="Q106" i="5"/>
  <c r="T105" i="5"/>
  <c r="Q105" i="5"/>
  <c r="T104" i="5"/>
  <c r="Q104" i="5"/>
  <c r="T103" i="5"/>
  <c r="Q103" i="5"/>
  <c r="T102" i="5"/>
  <c r="Q102" i="5"/>
  <c r="T101" i="5"/>
  <c r="Q101" i="5"/>
  <c r="T100" i="5"/>
  <c r="Q100" i="5"/>
  <c r="T99" i="5"/>
  <c r="Q99" i="5"/>
  <c r="T98" i="5"/>
  <c r="Q98" i="5"/>
  <c r="T97" i="5"/>
  <c r="Q97" i="5"/>
  <c r="T96" i="5"/>
  <c r="Q96" i="5"/>
  <c r="T95" i="5"/>
  <c r="Q95" i="5"/>
  <c r="T94" i="5"/>
  <c r="Q94" i="5"/>
  <c r="T93" i="5"/>
  <c r="Q93" i="5"/>
  <c r="T92" i="5"/>
  <c r="Q92" i="5"/>
  <c r="T91" i="5"/>
  <c r="Q91" i="5"/>
  <c r="T90" i="5"/>
  <c r="Q90" i="5"/>
  <c r="T89" i="5"/>
  <c r="Q89" i="5"/>
  <c r="T88" i="5"/>
  <c r="Q88" i="5"/>
  <c r="T87" i="5"/>
  <c r="Q87" i="5"/>
  <c r="T86" i="5"/>
  <c r="Q86" i="5"/>
  <c r="T85" i="5"/>
  <c r="Q85" i="5"/>
  <c r="T84" i="5"/>
  <c r="Q84" i="5"/>
  <c r="T83" i="5"/>
  <c r="Q83" i="5"/>
  <c r="T82" i="5"/>
  <c r="Q82" i="5"/>
  <c r="T81" i="5"/>
  <c r="Q81" i="5"/>
  <c r="T80" i="5"/>
  <c r="Q80" i="5"/>
  <c r="T79" i="5"/>
  <c r="Q79" i="5"/>
  <c r="T78" i="5"/>
  <c r="Q78" i="5"/>
  <c r="T77" i="5"/>
  <c r="Q77" i="5"/>
  <c r="T76" i="5"/>
  <c r="Q76" i="5"/>
  <c r="T75" i="5"/>
  <c r="Q75" i="5"/>
  <c r="T74" i="5"/>
  <c r="Q74" i="5"/>
  <c r="T73" i="5"/>
  <c r="Q73" i="5"/>
  <c r="T72" i="5"/>
  <c r="Q72" i="5"/>
  <c r="T71" i="5"/>
  <c r="Q71" i="5"/>
  <c r="T70" i="5"/>
  <c r="Q70" i="5"/>
  <c r="T69" i="5"/>
  <c r="Q69" i="5"/>
  <c r="T68" i="5"/>
  <c r="Q68" i="5"/>
  <c r="T67" i="5"/>
  <c r="Q67" i="5"/>
  <c r="T66" i="5"/>
  <c r="Q66" i="5"/>
  <c r="T65" i="5"/>
  <c r="Q65" i="5"/>
  <c r="T64" i="5"/>
  <c r="Q64" i="5"/>
  <c r="T63" i="5"/>
  <c r="Q63" i="5"/>
  <c r="T62" i="5"/>
  <c r="Q62" i="5"/>
  <c r="T61" i="5"/>
  <c r="Q61" i="5"/>
  <c r="T60" i="5"/>
  <c r="Q60" i="5"/>
  <c r="T59" i="5"/>
  <c r="Q59" i="5"/>
  <c r="T58" i="5"/>
  <c r="Q58" i="5"/>
  <c r="T57" i="5"/>
  <c r="Q57" i="5"/>
  <c r="T56" i="5"/>
  <c r="Q56" i="5"/>
  <c r="T55" i="5"/>
  <c r="Q55" i="5"/>
  <c r="T54" i="5"/>
  <c r="Q54" i="5"/>
  <c r="T53" i="5"/>
  <c r="Q53" i="5"/>
  <c r="T52" i="5"/>
  <c r="Q52" i="5"/>
  <c r="T51" i="5"/>
  <c r="Q51" i="5"/>
  <c r="T50" i="5"/>
  <c r="Q50" i="5"/>
  <c r="T49" i="5"/>
  <c r="Q49" i="5"/>
  <c r="T48" i="5"/>
  <c r="Q48" i="5"/>
  <c r="T47" i="5"/>
  <c r="Q47" i="5"/>
  <c r="T46" i="5"/>
  <c r="Q46" i="5"/>
  <c r="T45" i="5"/>
  <c r="Q45" i="5"/>
  <c r="T44" i="5"/>
  <c r="Q44" i="5"/>
  <c r="T43" i="5"/>
  <c r="Q43" i="5"/>
  <c r="T42" i="5"/>
  <c r="Q42" i="5"/>
  <c r="T41" i="5"/>
  <c r="Q41" i="5"/>
  <c r="T40" i="5"/>
  <c r="Q40" i="5"/>
  <c r="T39" i="5"/>
  <c r="Q39" i="5"/>
  <c r="T38" i="5"/>
  <c r="Q38" i="5"/>
  <c r="T37" i="5"/>
  <c r="Q37" i="5"/>
  <c r="T36" i="5"/>
  <c r="Q36" i="5"/>
  <c r="T35" i="5"/>
  <c r="Q35" i="5"/>
  <c r="T34" i="5"/>
  <c r="Q34" i="5"/>
  <c r="T33" i="5"/>
  <c r="Q33" i="5"/>
  <c r="T32" i="5"/>
  <c r="Q32" i="5"/>
  <c r="T31" i="5"/>
  <c r="Q31" i="5"/>
  <c r="T30" i="5"/>
  <c r="Q30" i="5"/>
  <c r="T29" i="5"/>
  <c r="Q29" i="5"/>
  <c r="T28" i="5"/>
  <c r="Q28" i="5"/>
  <c r="T27" i="5"/>
  <c r="Q27" i="5"/>
  <c r="T26" i="5"/>
  <c r="Q26" i="5"/>
  <c r="T25" i="5"/>
  <c r="Q25" i="5"/>
  <c r="T24" i="5"/>
  <c r="Q24" i="5"/>
  <c r="T23" i="5"/>
  <c r="Q23" i="5"/>
  <c r="T22" i="5"/>
  <c r="Q22" i="5"/>
  <c r="T21" i="5"/>
  <c r="Q21" i="5"/>
  <c r="T20" i="5"/>
  <c r="Q20" i="5"/>
  <c r="T19" i="5"/>
  <c r="Q19" i="5"/>
  <c r="T18" i="5"/>
  <c r="T17" i="5"/>
  <c r="T16" i="5"/>
  <c r="Q16" i="5"/>
  <c r="T15" i="5"/>
  <c r="Q15" i="5"/>
  <c r="T14" i="5"/>
  <c r="Q14" i="5"/>
  <c r="T13" i="5"/>
  <c r="T12" i="5"/>
  <c r="T11" i="5"/>
  <c r="T10" i="5"/>
  <c r="Q10" i="5"/>
  <c r="T9" i="5"/>
  <c r="Q9" i="5"/>
  <c r="T8" i="5"/>
  <c r="Q8" i="5"/>
  <c r="T7" i="5"/>
  <c r="T6" i="5"/>
  <c r="T5" i="5"/>
  <c r="O304" i="4"/>
  <c r="N304" i="4"/>
  <c r="M304" i="4"/>
  <c r="O303" i="4"/>
  <c r="N303" i="4"/>
  <c r="M303" i="4"/>
  <c r="O302" i="4"/>
  <c r="N302" i="4"/>
  <c r="M302" i="4"/>
  <c r="O301" i="4"/>
  <c r="N301" i="4"/>
  <c r="M301" i="4"/>
  <c r="O300" i="4"/>
  <c r="N300" i="4"/>
  <c r="M300" i="4"/>
  <c r="O299" i="4"/>
  <c r="N299" i="4"/>
  <c r="M299" i="4"/>
  <c r="O298" i="4"/>
  <c r="N298" i="4"/>
  <c r="M298" i="4"/>
  <c r="O297" i="4"/>
  <c r="N297" i="4"/>
  <c r="M297" i="4"/>
  <c r="O296" i="4"/>
  <c r="N296" i="4"/>
  <c r="M296" i="4"/>
  <c r="O295" i="4"/>
  <c r="N295" i="4"/>
  <c r="M295" i="4"/>
  <c r="O294" i="4"/>
  <c r="N294" i="4"/>
  <c r="M294" i="4"/>
  <c r="O293" i="4"/>
  <c r="N293" i="4"/>
  <c r="M293" i="4"/>
  <c r="O292" i="4"/>
  <c r="N292" i="4"/>
  <c r="M292" i="4"/>
  <c r="O291" i="4"/>
  <c r="N291" i="4"/>
  <c r="M291" i="4"/>
  <c r="O290" i="4"/>
  <c r="N290" i="4"/>
  <c r="M290" i="4"/>
  <c r="O289" i="4"/>
  <c r="N289" i="4"/>
  <c r="M289" i="4"/>
  <c r="O288" i="4"/>
  <c r="N288" i="4"/>
  <c r="M288" i="4"/>
  <c r="O287" i="4"/>
  <c r="N287" i="4"/>
  <c r="M287" i="4"/>
  <c r="O286" i="4"/>
  <c r="N286" i="4"/>
  <c r="M286" i="4"/>
  <c r="O285" i="4"/>
  <c r="N285" i="4"/>
  <c r="M285" i="4"/>
  <c r="O284" i="4"/>
  <c r="N284" i="4"/>
  <c r="M284" i="4"/>
  <c r="O283" i="4"/>
  <c r="N283" i="4"/>
  <c r="M283" i="4"/>
  <c r="O282" i="4"/>
  <c r="N282" i="4"/>
  <c r="M282" i="4"/>
  <c r="O281" i="4"/>
  <c r="N281" i="4"/>
  <c r="M281" i="4"/>
  <c r="O280" i="4"/>
  <c r="N280" i="4"/>
  <c r="M280" i="4"/>
  <c r="O279" i="4"/>
  <c r="N279" i="4"/>
  <c r="M279" i="4"/>
  <c r="O278" i="4"/>
  <c r="N278" i="4"/>
  <c r="M278" i="4"/>
  <c r="O277" i="4"/>
  <c r="N277" i="4"/>
  <c r="M277" i="4"/>
  <c r="O276" i="4"/>
  <c r="N276" i="4"/>
  <c r="M276" i="4"/>
  <c r="O275" i="4"/>
  <c r="N275" i="4"/>
  <c r="M275" i="4"/>
  <c r="O274" i="4"/>
  <c r="N274" i="4"/>
  <c r="M274" i="4"/>
  <c r="O273" i="4"/>
  <c r="N273" i="4"/>
  <c r="M273" i="4"/>
  <c r="O272" i="4"/>
  <c r="N272" i="4"/>
  <c r="M272" i="4"/>
  <c r="O271" i="4"/>
  <c r="N271" i="4"/>
  <c r="M271" i="4"/>
  <c r="O270" i="4"/>
  <c r="N270" i="4"/>
  <c r="M270" i="4"/>
  <c r="O269" i="4"/>
  <c r="N269" i="4"/>
  <c r="M269" i="4"/>
  <c r="O268" i="4"/>
  <c r="N268" i="4"/>
  <c r="M268" i="4"/>
  <c r="O267" i="4"/>
  <c r="N267" i="4"/>
  <c r="M267" i="4"/>
  <c r="O266" i="4"/>
  <c r="N266" i="4"/>
  <c r="M266" i="4"/>
  <c r="O265" i="4"/>
  <c r="N265" i="4"/>
  <c r="M265" i="4"/>
  <c r="O264" i="4"/>
  <c r="N264" i="4"/>
  <c r="M264" i="4"/>
  <c r="O263" i="4"/>
  <c r="N263" i="4"/>
  <c r="M263" i="4"/>
  <c r="O262" i="4"/>
  <c r="N262" i="4"/>
  <c r="M262" i="4"/>
  <c r="O261" i="4"/>
  <c r="N261" i="4"/>
  <c r="M261" i="4"/>
  <c r="O260" i="4"/>
  <c r="N260" i="4"/>
  <c r="M260" i="4"/>
  <c r="O259" i="4"/>
  <c r="N259" i="4"/>
  <c r="M259" i="4"/>
  <c r="O258" i="4"/>
  <c r="N258" i="4"/>
  <c r="M258" i="4"/>
  <c r="O257" i="4"/>
  <c r="N257" i="4"/>
  <c r="M257" i="4"/>
  <c r="O256" i="4"/>
  <c r="N256" i="4"/>
  <c r="M256" i="4"/>
  <c r="O255" i="4"/>
  <c r="N255" i="4"/>
  <c r="M255" i="4"/>
  <c r="O254" i="4"/>
  <c r="N254" i="4"/>
  <c r="M254" i="4"/>
  <c r="O253" i="4"/>
  <c r="N253" i="4"/>
  <c r="M253" i="4"/>
  <c r="O252" i="4"/>
  <c r="N252" i="4"/>
  <c r="M252" i="4"/>
  <c r="O251" i="4"/>
  <c r="N251" i="4"/>
  <c r="M251" i="4"/>
  <c r="O250" i="4"/>
  <c r="N250" i="4"/>
  <c r="M250" i="4"/>
  <c r="O249" i="4"/>
  <c r="N249" i="4"/>
  <c r="M249" i="4"/>
  <c r="O248" i="4"/>
  <c r="N248" i="4"/>
  <c r="M248" i="4"/>
  <c r="O247" i="4"/>
  <c r="N247" i="4"/>
  <c r="M247" i="4"/>
  <c r="O246" i="4"/>
  <c r="N246" i="4"/>
  <c r="M246" i="4"/>
  <c r="O245" i="4"/>
  <c r="N245" i="4"/>
  <c r="M245" i="4"/>
  <c r="O244" i="4"/>
  <c r="N244" i="4"/>
  <c r="M244" i="4"/>
  <c r="O243" i="4"/>
  <c r="N243" i="4"/>
  <c r="M243" i="4"/>
  <c r="O242" i="4"/>
  <c r="N242" i="4"/>
  <c r="M242" i="4"/>
  <c r="O241" i="4"/>
  <c r="N241" i="4"/>
  <c r="M241" i="4"/>
  <c r="O240" i="4"/>
  <c r="N240" i="4"/>
  <c r="M240" i="4"/>
  <c r="O239" i="4"/>
  <c r="N239" i="4"/>
  <c r="M239" i="4"/>
  <c r="O238" i="4"/>
  <c r="N238" i="4"/>
  <c r="M238" i="4"/>
  <c r="O237" i="4"/>
  <c r="N237" i="4"/>
  <c r="M237" i="4"/>
  <c r="O236" i="4"/>
  <c r="N236" i="4"/>
  <c r="M236" i="4"/>
  <c r="O235" i="4"/>
  <c r="N235" i="4"/>
  <c r="M235" i="4"/>
  <c r="O234" i="4"/>
  <c r="N234" i="4"/>
  <c r="M234" i="4"/>
  <c r="O233" i="4"/>
  <c r="N233" i="4"/>
  <c r="M233" i="4"/>
  <c r="O232" i="4"/>
  <c r="N232" i="4"/>
  <c r="M232" i="4"/>
  <c r="O231" i="4"/>
  <c r="N231" i="4"/>
  <c r="M231" i="4"/>
  <c r="O230" i="4"/>
  <c r="N230" i="4"/>
  <c r="M230" i="4"/>
  <c r="O229" i="4"/>
  <c r="N229" i="4"/>
  <c r="M229" i="4"/>
  <c r="O228" i="4"/>
  <c r="N228" i="4"/>
  <c r="M228" i="4"/>
  <c r="O227" i="4"/>
  <c r="N227" i="4"/>
  <c r="M227" i="4"/>
  <c r="O226" i="4"/>
  <c r="N226" i="4"/>
  <c r="M226" i="4"/>
  <c r="O225" i="4"/>
  <c r="N225" i="4"/>
  <c r="M225" i="4"/>
  <c r="O224" i="4"/>
  <c r="N224" i="4"/>
  <c r="M224" i="4"/>
  <c r="O223" i="4"/>
  <c r="N223" i="4"/>
  <c r="M223" i="4"/>
  <c r="O222" i="4"/>
  <c r="N222" i="4"/>
  <c r="M222" i="4"/>
  <c r="O221" i="4"/>
  <c r="N221" i="4"/>
  <c r="M221" i="4"/>
  <c r="O220" i="4"/>
  <c r="N220" i="4"/>
  <c r="M220" i="4"/>
  <c r="O219" i="4"/>
  <c r="N219" i="4"/>
  <c r="M219" i="4"/>
  <c r="O218" i="4"/>
  <c r="N218" i="4"/>
  <c r="M218" i="4"/>
  <c r="O217" i="4"/>
  <c r="N217" i="4"/>
  <c r="M217" i="4"/>
  <c r="O216" i="4"/>
  <c r="N216" i="4"/>
  <c r="M216" i="4"/>
  <c r="O215" i="4"/>
  <c r="N215" i="4"/>
  <c r="M215" i="4"/>
  <c r="O214" i="4"/>
  <c r="N214" i="4"/>
  <c r="M214" i="4"/>
  <c r="O213" i="4"/>
  <c r="N213" i="4"/>
  <c r="M213" i="4"/>
  <c r="O212" i="4"/>
  <c r="N212" i="4"/>
  <c r="M212" i="4"/>
  <c r="O211" i="4"/>
  <c r="N211" i="4"/>
  <c r="M211" i="4"/>
  <c r="O210" i="4"/>
  <c r="N210" i="4"/>
  <c r="M210" i="4"/>
  <c r="O209" i="4"/>
  <c r="N209" i="4"/>
  <c r="M209" i="4"/>
  <c r="O208" i="4"/>
  <c r="N208" i="4"/>
  <c r="M208" i="4"/>
  <c r="O207" i="4"/>
  <c r="N207" i="4"/>
  <c r="M207" i="4"/>
  <c r="O206" i="4"/>
  <c r="N206" i="4"/>
  <c r="M206" i="4"/>
  <c r="O205" i="4"/>
  <c r="N205" i="4"/>
  <c r="M205" i="4"/>
  <c r="O204" i="4"/>
  <c r="N204" i="4"/>
  <c r="M204" i="4"/>
  <c r="O203" i="4"/>
  <c r="N203" i="4"/>
  <c r="M203" i="4"/>
  <c r="O202" i="4"/>
  <c r="N202" i="4"/>
  <c r="M202" i="4"/>
  <c r="O201" i="4"/>
  <c r="N201" i="4"/>
  <c r="M201" i="4"/>
  <c r="O200" i="4"/>
  <c r="N200" i="4"/>
  <c r="M200" i="4"/>
  <c r="O199" i="4"/>
  <c r="N199" i="4"/>
  <c r="M199" i="4"/>
  <c r="O198" i="4"/>
  <c r="N198" i="4"/>
  <c r="M198" i="4"/>
  <c r="O197" i="4"/>
  <c r="N197" i="4"/>
  <c r="M197" i="4"/>
  <c r="O196" i="4"/>
  <c r="N196" i="4"/>
  <c r="M196" i="4"/>
  <c r="O195" i="4"/>
  <c r="N195" i="4"/>
  <c r="M195" i="4"/>
  <c r="O194" i="4"/>
  <c r="N194" i="4"/>
  <c r="M194" i="4"/>
  <c r="O193" i="4"/>
  <c r="N193" i="4"/>
  <c r="M193" i="4"/>
  <c r="O192" i="4"/>
  <c r="N192" i="4"/>
  <c r="M192" i="4"/>
  <c r="O191" i="4"/>
  <c r="N191" i="4"/>
  <c r="M191" i="4"/>
  <c r="O190" i="4"/>
  <c r="N190" i="4"/>
  <c r="M190" i="4"/>
  <c r="O189" i="4"/>
  <c r="N189" i="4"/>
  <c r="M189" i="4"/>
  <c r="O188" i="4"/>
  <c r="N188" i="4"/>
  <c r="M188" i="4"/>
  <c r="O187" i="4"/>
  <c r="N187" i="4"/>
  <c r="M187" i="4"/>
  <c r="O186" i="4"/>
  <c r="N186" i="4"/>
  <c r="M186" i="4"/>
  <c r="O185" i="4"/>
  <c r="N185" i="4"/>
  <c r="M185" i="4"/>
  <c r="O184" i="4"/>
  <c r="N184" i="4"/>
  <c r="M184" i="4"/>
  <c r="O183" i="4"/>
  <c r="N183" i="4"/>
  <c r="M183" i="4"/>
  <c r="O182" i="4"/>
  <c r="N182" i="4"/>
  <c r="M182" i="4"/>
  <c r="O181" i="4"/>
  <c r="N181" i="4"/>
  <c r="M181" i="4"/>
  <c r="O180" i="4"/>
  <c r="N180" i="4"/>
  <c r="M180" i="4"/>
  <c r="O179" i="4"/>
  <c r="N179" i="4"/>
  <c r="M179" i="4"/>
  <c r="O178" i="4"/>
  <c r="N178" i="4"/>
  <c r="M178" i="4"/>
  <c r="O177" i="4"/>
  <c r="N177" i="4"/>
  <c r="M177" i="4"/>
  <c r="O176" i="4"/>
  <c r="N176" i="4"/>
  <c r="M176" i="4"/>
  <c r="O175" i="4"/>
  <c r="N175" i="4"/>
  <c r="M175" i="4"/>
  <c r="O174" i="4"/>
  <c r="N174" i="4"/>
  <c r="M174" i="4"/>
  <c r="O173" i="4"/>
  <c r="N173" i="4"/>
  <c r="M173" i="4"/>
  <c r="O172" i="4"/>
  <c r="N172" i="4"/>
  <c r="M172" i="4"/>
  <c r="O171" i="4"/>
  <c r="N171" i="4"/>
  <c r="M171" i="4"/>
  <c r="O170" i="4"/>
  <c r="N170" i="4"/>
  <c r="M170" i="4"/>
  <c r="O169" i="4"/>
  <c r="N169" i="4"/>
  <c r="M169" i="4"/>
  <c r="O168" i="4"/>
  <c r="N168" i="4"/>
  <c r="M168" i="4"/>
  <c r="O167" i="4"/>
  <c r="N167" i="4"/>
  <c r="M167" i="4"/>
  <c r="O166" i="4"/>
  <c r="N166" i="4"/>
  <c r="M166" i="4"/>
  <c r="O165" i="4"/>
  <c r="N165" i="4"/>
  <c r="M165" i="4"/>
  <c r="O164" i="4"/>
  <c r="N164" i="4"/>
  <c r="M164" i="4"/>
  <c r="O163" i="4"/>
  <c r="N163" i="4"/>
  <c r="M163" i="4"/>
  <c r="O162" i="4"/>
  <c r="N162" i="4"/>
  <c r="M162" i="4"/>
  <c r="O161" i="4"/>
  <c r="N161" i="4"/>
  <c r="M161" i="4"/>
  <c r="O160" i="4"/>
  <c r="N160" i="4"/>
  <c r="M160" i="4"/>
  <c r="O159" i="4"/>
  <c r="N159" i="4"/>
  <c r="M159" i="4"/>
  <c r="O158" i="4"/>
  <c r="N158" i="4"/>
  <c r="M158" i="4"/>
  <c r="O157" i="4"/>
  <c r="N157" i="4"/>
  <c r="M157" i="4"/>
  <c r="O156" i="4"/>
  <c r="N156" i="4"/>
  <c r="M156" i="4"/>
  <c r="O155" i="4"/>
  <c r="N155" i="4"/>
  <c r="M155" i="4"/>
  <c r="O154" i="4"/>
  <c r="N154" i="4"/>
  <c r="M154" i="4"/>
  <c r="O153" i="4"/>
  <c r="N153" i="4"/>
  <c r="M153" i="4"/>
  <c r="O152" i="4"/>
  <c r="N152" i="4"/>
  <c r="M152" i="4"/>
  <c r="O151" i="4"/>
  <c r="N151" i="4"/>
  <c r="M151" i="4"/>
  <c r="O150" i="4"/>
  <c r="N150" i="4"/>
  <c r="M150" i="4"/>
  <c r="O149" i="4"/>
  <c r="N149" i="4"/>
  <c r="M149" i="4"/>
  <c r="O148" i="4"/>
  <c r="N148" i="4"/>
  <c r="M148" i="4"/>
  <c r="O147" i="4"/>
  <c r="N147" i="4"/>
  <c r="M147" i="4"/>
  <c r="O146" i="4"/>
  <c r="N146" i="4"/>
  <c r="M146" i="4"/>
  <c r="O145" i="4"/>
  <c r="N145" i="4"/>
  <c r="M145" i="4"/>
  <c r="O144" i="4"/>
  <c r="N144" i="4"/>
  <c r="M144" i="4"/>
  <c r="O143" i="4"/>
  <c r="N143" i="4"/>
  <c r="M143" i="4"/>
  <c r="O142" i="4"/>
  <c r="N142" i="4"/>
  <c r="M142" i="4"/>
  <c r="O141" i="4"/>
  <c r="N141" i="4"/>
  <c r="M141" i="4"/>
  <c r="O140" i="4"/>
  <c r="N140" i="4"/>
  <c r="M140" i="4"/>
  <c r="O139" i="4"/>
  <c r="N139" i="4"/>
  <c r="M139" i="4"/>
  <c r="O138" i="4"/>
  <c r="N138" i="4"/>
  <c r="M138" i="4"/>
  <c r="O137" i="4"/>
  <c r="N137" i="4"/>
  <c r="M137" i="4"/>
  <c r="O136" i="4"/>
  <c r="N136" i="4"/>
  <c r="M136" i="4"/>
  <c r="O135" i="4"/>
  <c r="N135" i="4"/>
  <c r="M135" i="4"/>
  <c r="O134" i="4"/>
  <c r="N134" i="4"/>
  <c r="M134" i="4"/>
  <c r="O133" i="4"/>
  <c r="N133" i="4"/>
  <c r="M133" i="4"/>
  <c r="O132" i="4"/>
  <c r="N132" i="4"/>
  <c r="M132" i="4"/>
  <c r="O131" i="4"/>
  <c r="N131" i="4"/>
  <c r="M131" i="4"/>
  <c r="O130" i="4"/>
  <c r="N130" i="4"/>
  <c r="M130" i="4"/>
  <c r="O129" i="4"/>
  <c r="N129" i="4"/>
  <c r="M129" i="4"/>
  <c r="O128" i="4"/>
  <c r="N128" i="4"/>
  <c r="M128" i="4"/>
  <c r="O127" i="4"/>
  <c r="N127" i="4"/>
  <c r="M127" i="4"/>
  <c r="O126" i="4"/>
  <c r="N126" i="4"/>
  <c r="M126" i="4"/>
  <c r="O125" i="4"/>
  <c r="N125" i="4"/>
  <c r="M125" i="4"/>
  <c r="O124" i="4"/>
  <c r="N124" i="4"/>
  <c r="M124" i="4"/>
  <c r="O123" i="4"/>
  <c r="N123" i="4"/>
  <c r="M123" i="4"/>
  <c r="O122" i="4"/>
  <c r="N122" i="4"/>
  <c r="M122" i="4"/>
  <c r="O121" i="4"/>
  <c r="N121" i="4"/>
  <c r="M121" i="4"/>
  <c r="O120" i="4"/>
  <c r="N120" i="4"/>
  <c r="M120" i="4"/>
  <c r="O119" i="4"/>
  <c r="N119" i="4"/>
  <c r="M119" i="4"/>
  <c r="O118" i="4"/>
  <c r="N118" i="4"/>
  <c r="M118" i="4"/>
  <c r="O117" i="4"/>
  <c r="N117" i="4"/>
  <c r="M117" i="4"/>
  <c r="O116" i="4"/>
  <c r="N116" i="4"/>
  <c r="M116" i="4"/>
  <c r="O115" i="4"/>
  <c r="N115" i="4"/>
  <c r="M115" i="4"/>
  <c r="O114" i="4"/>
  <c r="N114" i="4"/>
  <c r="M114" i="4"/>
  <c r="O113" i="4"/>
  <c r="N113" i="4"/>
  <c r="M113" i="4"/>
  <c r="O112" i="4"/>
  <c r="N112" i="4"/>
  <c r="M112" i="4"/>
  <c r="O111" i="4"/>
  <c r="N111" i="4"/>
  <c r="M111" i="4"/>
  <c r="O110" i="4"/>
  <c r="N110" i="4"/>
  <c r="M110" i="4"/>
  <c r="O109" i="4"/>
  <c r="N109" i="4"/>
  <c r="M109" i="4"/>
  <c r="O108" i="4"/>
  <c r="N108" i="4"/>
  <c r="M108" i="4"/>
  <c r="O107" i="4"/>
  <c r="N107" i="4"/>
  <c r="M107" i="4"/>
  <c r="O106" i="4"/>
  <c r="N106" i="4"/>
  <c r="M106" i="4"/>
  <c r="O105" i="4"/>
  <c r="N105" i="4"/>
  <c r="M105" i="4"/>
  <c r="O104" i="4"/>
  <c r="N104" i="4"/>
  <c r="M104" i="4"/>
  <c r="O103" i="4"/>
  <c r="N103" i="4"/>
  <c r="M103" i="4"/>
  <c r="O102" i="4"/>
  <c r="N102" i="4"/>
  <c r="M102" i="4"/>
  <c r="O101" i="4"/>
  <c r="N101" i="4"/>
  <c r="M101" i="4"/>
  <c r="O100" i="4"/>
  <c r="N100" i="4"/>
  <c r="M100" i="4"/>
  <c r="O99" i="4"/>
  <c r="N99" i="4"/>
  <c r="M99" i="4"/>
  <c r="O98" i="4"/>
  <c r="N98" i="4"/>
  <c r="M98" i="4"/>
  <c r="O97" i="4"/>
  <c r="N97" i="4"/>
  <c r="M97" i="4"/>
  <c r="O96" i="4"/>
  <c r="N96" i="4"/>
  <c r="M96" i="4"/>
  <c r="O95" i="4"/>
  <c r="N95" i="4"/>
  <c r="M95" i="4"/>
  <c r="O94" i="4"/>
  <c r="N94" i="4"/>
  <c r="M94" i="4"/>
  <c r="O93" i="4"/>
  <c r="N93" i="4"/>
  <c r="M93" i="4"/>
  <c r="O92" i="4"/>
  <c r="N92" i="4"/>
  <c r="M92" i="4"/>
  <c r="O91" i="4"/>
  <c r="N91" i="4"/>
  <c r="M91" i="4"/>
  <c r="O90" i="4"/>
  <c r="N90" i="4"/>
  <c r="M90" i="4"/>
  <c r="O89" i="4"/>
  <c r="N89" i="4"/>
  <c r="M89" i="4"/>
  <c r="O88" i="4"/>
  <c r="N88" i="4"/>
  <c r="M88" i="4"/>
  <c r="O87" i="4"/>
  <c r="N87" i="4"/>
  <c r="M87" i="4"/>
  <c r="O86" i="4"/>
  <c r="N86" i="4"/>
  <c r="M86" i="4"/>
  <c r="O85" i="4"/>
  <c r="N85" i="4"/>
  <c r="M85" i="4"/>
  <c r="O84" i="4"/>
  <c r="N84" i="4"/>
  <c r="M84" i="4"/>
  <c r="O83" i="4"/>
  <c r="N83" i="4"/>
  <c r="M83" i="4"/>
  <c r="O82" i="4"/>
  <c r="N82" i="4"/>
  <c r="M82" i="4"/>
  <c r="O81" i="4"/>
  <c r="N81" i="4"/>
  <c r="M81" i="4"/>
  <c r="O80" i="4"/>
  <c r="N80" i="4"/>
  <c r="M80" i="4"/>
  <c r="O79" i="4"/>
  <c r="N79" i="4"/>
  <c r="M79" i="4"/>
  <c r="O78" i="4"/>
  <c r="N78" i="4"/>
  <c r="M78" i="4"/>
  <c r="O77" i="4"/>
  <c r="N77" i="4"/>
  <c r="M77" i="4"/>
  <c r="O76" i="4"/>
  <c r="N76" i="4"/>
  <c r="M76" i="4"/>
  <c r="O75" i="4"/>
  <c r="N75" i="4"/>
  <c r="M75" i="4"/>
  <c r="O74" i="4"/>
  <c r="N74" i="4"/>
  <c r="M74" i="4"/>
  <c r="O73" i="4"/>
  <c r="N73" i="4"/>
  <c r="M73" i="4"/>
  <c r="O72" i="4"/>
  <c r="N72" i="4"/>
  <c r="M72" i="4"/>
  <c r="O71" i="4"/>
  <c r="N71" i="4"/>
  <c r="M71" i="4"/>
  <c r="O70" i="4"/>
  <c r="N70" i="4"/>
  <c r="M70" i="4"/>
  <c r="O69" i="4"/>
  <c r="N69" i="4"/>
  <c r="M69" i="4"/>
  <c r="O68" i="4"/>
  <c r="N68" i="4"/>
  <c r="M68" i="4"/>
  <c r="O67" i="4"/>
  <c r="N67" i="4"/>
  <c r="M67" i="4"/>
  <c r="O66" i="4"/>
  <c r="N66" i="4"/>
  <c r="M66" i="4"/>
  <c r="O65" i="4"/>
  <c r="N65" i="4"/>
  <c r="M65" i="4"/>
  <c r="O64" i="4"/>
  <c r="N64" i="4"/>
  <c r="M64" i="4"/>
  <c r="O63" i="4"/>
  <c r="N63" i="4"/>
  <c r="M63" i="4"/>
  <c r="O62" i="4"/>
  <c r="N62" i="4"/>
  <c r="M62" i="4"/>
  <c r="O61" i="4"/>
  <c r="N61" i="4"/>
  <c r="M61" i="4"/>
  <c r="O60" i="4"/>
  <c r="N60" i="4"/>
  <c r="M60" i="4"/>
  <c r="O59" i="4"/>
  <c r="N59" i="4"/>
  <c r="M59" i="4"/>
  <c r="O58" i="4"/>
  <c r="N58" i="4"/>
  <c r="M58" i="4"/>
  <c r="O57" i="4"/>
  <c r="N57" i="4"/>
  <c r="M57" i="4"/>
  <c r="O56" i="4"/>
  <c r="N56" i="4"/>
  <c r="M56" i="4"/>
  <c r="O55" i="4"/>
  <c r="N55" i="4"/>
  <c r="M55" i="4"/>
  <c r="O54" i="4"/>
  <c r="N54" i="4"/>
  <c r="M54" i="4"/>
  <c r="O53" i="4"/>
  <c r="N53" i="4"/>
  <c r="M53" i="4"/>
  <c r="O52" i="4"/>
  <c r="N52" i="4"/>
  <c r="M52" i="4"/>
  <c r="O51" i="4"/>
  <c r="N51" i="4"/>
  <c r="M51" i="4"/>
  <c r="O50" i="4"/>
  <c r="N50" i="4"/>
  <c r="M50" i="4"/>
  <c r="O49" i="4"/>
  <c r="N49" i="4"/>
  <c r="M49" i="4"/>
  <c r="O48" i="4"/>
  <c r="N48" i="4"/>
  <c r="M48" i="4"/>
  <c r="O47" i="4"/>
  <c r="N47" i="4"/>
  <c r="M47" i="4"/>
  <c r="O46" i="4"/>
  <c r="N46" i="4"/>
  <c r="M46" i="4"/>
  <c r="O45" i="4"/>
  <c r="N45" i="4"/>
  <c r="M45" i="4"/>
  <c r="O44" i="4"/>
  <c r="N44" i="4"/>
  <c r="M44" i="4"/>
  <c r="O43" i="4"/>
  <c r="N43" i="4"/>
  <c r="M43" i="4"/>
  <c r="O42" i="4"/>
  <c r="N42" i="4"/>
  <c r="M42" i="4"/>
  <c r="O41" i="4"/>
  <c r="N41" i="4"/>
  <c r="M41" i="4"/>
  <c r="O40" i="4"/>
  <c r="N40" i="4"/>
  <c r="M40" i="4"/>
  <c r="O39" i="4"/>
  <c r="N39" i="4"/>
  <c r="M39" i="4"/>
  <c r="O38" i="4"/>
  <c r="N38" i="4"/>
  <c r="M38" i="4"/>
  <c r="O37" i="4"/>
  <c r="N37" i="4"/>
  <c r="M37" i="4"/>
  <c r="O36" i="4"/>
  <c r="N36" i="4"/>
  <c r="M36" i="4"/>
  <c r="O35" i="4"/>
  <c r="N35" i="4"/>
  <c r="M35" i="4"/>
  <c r="O34" i="4"/>
  <c r="N34" i="4"/>
  <c r="M34" i="4"/>
  <c r="O33" i="4"/>
  <c r="N33" i="4"/>
  <c r="M33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0" i="4"/>
  <c r="N20" i="4"/>
  <c r="M20" i="4"/>
  <c r="O19" i="4"/>
  <c r="N19" i="4"/>
  <c r="M19" i="4"/>
  <c r="O18" i="4"/>
  <c r="N18" i="4"/>
  <c r="M18" i="4"/>
  <c r="O17" i="4"/>
  <c r="N17" i="4"/>
  <c r="M17" i="4"/>
  <c r="O16" i="4"/>
  <c r="N16" i="4"/>
  <c r="M16" i="4"/>
  <c r="O15" i="4"/>
  <c r="N15" i="4"/>
  <c r="M15" i="4"/>
  <c r="O14" i="4"/>
  <c r="Q13" i="5" s="1"/>
  <c r="M14" i="4"/>
  <c r="N14" i="4" s="1"/>
  <c r="O13" i="4"/>
  <c r="Q17" i="5" s="1"/>
  <c r="M13" i="4"/>
  <c r="N13" i="4" s="1"/>
  <c r="O12" i="4"/>
  <c r="M12" i="4"/>
  <c r="N12" i="4" s="1"/>
  <c r="O11" i="4"/>
  <c r="M11" i="4"/>
  <c r="N11" i="4" s="1"/>
  <c r="O10" i="4"/>
  <c r="M10" i="4"/>
  <c r="N10" i="4" s="1"/>
  <c r="O9" i="4"/>
  <c r="M9" i="4"/>
  <c r="N9" i="4" s="1"/>
  <c r="O8" i="4"/>
  <c r="M8" i="4"/>
  <c r="N8" i="4" s="1"/>
  <c r="O7" i="4"/>
  <c r="Q12" i="5" s="1"/>
  <c r="M7" i="4"/>
  <c r="N7" i="4" s="1"/>
  <c r="O6" i="4"/>
  <c r="M6" i="4"/>
  <c r="N6" i="4" s="1"/>
  <c r="O5" i="4"/>
  <c r="Q5" i="5" s="1"/>
  <c r="M5" i="4"/>
  <c r="N5" i="4" s="1"/>
  <c r="Q18" i="5" l="1"/>
  <c r="Q6" i="5"/>
  <c r="Q11" i="5"/>
  <c r="Q7" i="5"/>
  <c r="D7" i="12"/>
  <c r="E7" i="12" s="1"/>
  <c r="B10" i="13"/>
  <c r="B18" i="13" s="1"/>
  <c r="B8" i="13"/>
  <c r="B16" i="13" s="1"/>
  <c r="D5" i="12"/>
  <c r="E5" i="12" s="1"/>
  <c r="B11" i="13"/>
  <c r="D9" i="12"/>
  <c r="E9" i="12" s="1"/>
  <c r="B6" i="13"/>
  <c r="O5" i="10"/>
  <c r="B9" i="13"/>
  <c r="B17" i="13" s="1"/>
  <c r="B15" i="13" l="1"/>
  <c r="B12" i="13"/>
</calcChain>
</file>

<file path=xl/sharedStrings.xml><?xml version="1.0" encoding="utf-8"?>
<sst xmlns="http://schemas.openxmlformats.org/spreadsheetml/2006/main" count="1514" uniqueCount="836">
  <si>
    <t>Шаблон перехода от бизнес-логики и пользовательских сценариев к страницам и экранам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</si>
  <si>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сценариев.</t>
  </si>
  <si>
    <t>Шаг</t>
  </si>
  <si>
    <t>Действие</t>
  </si>
  <si>
    <t>Что сделать</t>
  </si>
  <si>
    <t>1</t>
  </si>
  <si>
    <t>Собрать исходные выводы</t>
  </si>
  <si>
    <t>Перенесите ключевые выводы из анализа проблем, конкурентов, отзывов, бизнес-модели и пользовательских сценариев в лист «Банк_выводов».</t>
  </si>
  <si>
    <t>2</t>
  </si>
  <si>
    <t>Зафиксировать роли</t>
  </si>
  <si>
    <t>Опишите пользовательские роли и сегменты на листе «Роли_и_сегменты». Эти роли используются дальше для сценариев, страниц и экранов.</t>
  </si>
  <si>
    <t>3</t>
  </si>
  <si>
    <t>Описать сценарии</t>
  </si>
  <si>
    <t>На листе «Пользовательские_сценарии» заполните пользовательские цели, потоки, данные, критичность, частоту и сложность.</t>
  </si>
  <si>
    <t>4</t>
  </si>
  <si>
    <t>Вывести страницы и экраны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</si>
  <si>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требования.</t>
  </si>
  <si>
    <t>5</t>
  </si>
  <si>
    <t>Проверить покрытие</t>
  </si>
  <si>
    <t>Лист «Матрица_сценарий_интерфейс» связывает сценарии со страницами и экранами. По нему рассчитывается покрытие сценариев.</t>
  </si>
  <si>
    <t>6</t>
  </si>
  <si>
    <t>Описать навигацию и состояния</t>
  </si>
  <si>
    <t>Заполните переходы, состояния, ошибки, пустые состояния и сообщения пользователю. Это снижает риск разрывов сценария.</t>
  </si>
  <si>
    <t>7</t>
  </si>
  <si>
    <t>Сформировать паспорта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</si>
  <si>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задание.</t>
  </si>
  <si>
    <t>8</t>
  </si>
  <si>
    <t>Приоритизировать</t>
  </si>
  <si>
    <t>Используйте лист «Приоритизация» для выбора первой версии, следующих выпусков и отложенных интерфейсных единиц.</t>
  </si>
  <si>
    <t>9</t>
  </si>
  <si>
    <t>Проверить готовность</t>
  </si>
  <si>
    <t>Листы «Проверка_связности» и «Дашборд» показывают полноту и согласованность проектной логики.</t>
  </si>
  <si>
    <t>Банк исходных выводов из всех видов анализа</t>
  </si>
  <si>
    <t>Каждая строка — доказанный вывод, который может повлиять на состав страниц, экранов, навигации, контента или состояний.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</si>
  <si>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</si>
  <si>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</si>
  <si>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</si>
  <si>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</si>
  <si>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</si>
  <si>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</si>
  <si>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</si>
  <si>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</si>
  <si>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</si>
  <si>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</si>
  <si>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</si>
  <si>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</si>
  <si>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</si>
  <si>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</si>
  <si>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</si>
  <si>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</si>
  <si>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</si>
  <si>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</si>
  <si>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</si>
  <si>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</si>
  <si>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Роли используются как связующее звено между бизнес-логикой, сценариями, страницами и экранами.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</si>
  <si>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</si>
  <si>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</si>
  <si>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</si>
  <si>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</si>
  <si>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</si>
  <si>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</si>
  <si>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</si>
  <si>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</si>
  <si>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</si>
  <si>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</si>
  <si>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Средняя</t>
  </si>
  <si>
    <t>Поиск</t>
  </si>
  <si>
    <t>Реклама</t>
  </si>
  <si>
    <t>Пользовательские сценарии</t>
  </si>
  <si>
    <t>Сценарий должен иметь пользовательскую цель, поток действий, бизнес-результат и связку с интерфейсными единицами.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</si>
  <si>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</si>
  <si>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</si>
  <si>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</si>
  <si>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</si>
  <si>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</si>
  <si>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</si>
  <si>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</si>
  <si>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</si>
  <si>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</si>
  <si>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</si>
  <si>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</si>
  <si>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</si>
  <si>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</si>
  <si>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</si>
  <si>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</si>
  <si>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</si>
  <si>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</si>
  <si>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</si>
  <si>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Каждая интерфейсная единица должна выводиться из сценария, проблемы, ценностного предложения или требования бизнес-модели.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</si>
  <si>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</si>
  <si>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</si>
  <si>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</si>
  <si>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</si>
  <si>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</si>
  <si>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</si>
  <si>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</si>
  <si>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</si>
  <si>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</si>
  <si>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</si>
  <si>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</si>
  <si>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</si>
  <si>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</si>
  <si>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</si>
  <si>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</si>
  <si>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</si>
  <si>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</si>
  <si>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</si>
  <si>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</si>
  <si>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</si>
  <si>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Понять пользу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</si>
  <si>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</si>
  <si>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</si>
  <si>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</si>
  <si>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</si>
  <si>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</si>
  <si>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</si>
  <si>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</si>
  <si>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</si>
  <si>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</si>
  <si>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Используется для проверки покрытия сценариев и исключения интерфейсных единиц без понятной задачи.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</si>
  <si>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</si>
  <si>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</si>
  <si>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</si>
  <si>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</si>
  <si>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</si>
  <si>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</si>
  <si>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</si>
  <si>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</si>
  <si>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</si>
  <si>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</si>
  <si>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M-002</t>
  </si>
  <si>
    <t>Навигация и карта переходов</t>
  </si>
  <si>
    <t>Каждый переход описывает действие, условие, направление и риск разрыва пользовательского сценария.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</si>
  <si>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</si>
  <si>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</si>
  <si>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</si>
  <si>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</si>
  <si>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</si>
  <si>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</si>
  <si>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</si>
  <si>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</si>
  <si>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</si>
  <si>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</si>
  <si>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Для каждой ключевой страницы или экрана фиксируются нормальные, пустые, загрузочные, ошибочные и успешные состояния.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</si>
  <si>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</si>
  <si>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</si>
  <si>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</si>
  <si>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</si>
  <si>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</si>
  <si>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</si>
  <si>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</si>
  <si>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</si>
  <si>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</si>
  <si>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</si>
  <si>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</si>
  <si>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</si>
  <si>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Сообщение о недоступности</t>
  </si>
  <si>
    <t>S-002</t>
  </si>
  <si>
    <t>Контент и данные для страниц и экранов</t>
  </si>
  <si>
    <t>Лист нужен для перевода сценариев в состав данных, текстов, полей, правил отображения и источников информации.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</si>
  <si>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</si>
  <si>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</si>
  <si>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</si>
  <si>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</si>
  <si>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</si>
  <si>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</si>
  <si>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</si>
  <si>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</si>
  <si>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По мере изменения товара</t>
  </si>
  <si>
    <t>Показывать всем</t>
  </si>
  <si>
    <t>Текст + визуальный блок</t>
  </si>
  <si>
    <t>Форма</t>
  </si>
  <si>
    <t>Паспорт страницы или экрана</t>
  </si>
  <si>
    <t>Итоговая форма описания интерфейсной единицы для прототипирования, постановки задачи и проверки связности.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</si>
  <si>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</si>
  <si>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</si>
  <si>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</si>
  <si>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</si>
  <si>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</si>
  <si>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</si>
  <si>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</si>
  <si>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</si>
  <si>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</si>
  <si>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Итоговый балл помогает определить состав первой версии и очередность следующих выпусков.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</si>
  <si>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</si>
  <si>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</si>
  <si>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</si>
  <si>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</si>
  <si>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</si>
  <si>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</si>
  <si>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</si>
  <si>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Критична для первичного понимания ценности</t>
  </si>
  <si>
    <t>Проверка связности проектной логики</t>
  </si>
  <si>
    <t>Лист показывает, насколько интерфейсные единицы выведены из анализа и связаны со сценариями, навигацией, состояниями и бизнес-моделью.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</si>
  <si>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</si>
  <si>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</si>
  <si>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</si>
  <si>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</si>
  <si>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</si>
  <si>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</si>
  <si>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</si>
  <si>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</si>
  <si>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</si>
  <si>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</si>
  <si>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</si>
  <si>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</si>
  <si>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</si>
  <si>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</si>
  <si>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</si>
  <si>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</si>
  <si>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</si>
  <si>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</si>
  <si>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</si>
  <si>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</si>
  <si>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</si>
  <si>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</si>
  <si>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</si>
  <si>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</si>
  <si>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</si>
  <si>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</si>
  <si>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</si>
  <si>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</si>
  <si>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</si>
  <si>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</si>
  <si>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</si>
  <si>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</si>
  <si>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</si>
  <si>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Показывает готовность проектной логики: покрытие сценариев, полноту паспортов, состояние навигации, наличие состояний и приоритизацию.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</si>
  <si>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</si>
  <si>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</si>
  <si>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</si>
  <si>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</si>
  <si>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</si>
  <si>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</si>
  <si>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</si>
  <si>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</si>
  <si>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</si>
  <si>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</si>
  <si>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</si>
  <si>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</si>
  <si>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</si>
  <si>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</si>
  <si>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</si>
  <si>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</si>
  <si>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</si>
  <si>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</si>
  <si>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</si>
  <si>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</si>
  <si>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</si>
  <si>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</si>
  <si>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</si>
  <si>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ДаНет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</si>
  <si>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</si>
  <si>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</si>
  <si>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</si>
  <si>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</si>
  <si>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</si>
  <si>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</si>
  <si>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</si>
  <si>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P1 — первая версия</t>
  </si>
  <si>
    <t>Поддерживающая</t>
  </si>
  <si>
    <t>Желательно для первой версии</t>
  </si>
  <si>
    <t>Объединить</t>
  </si>
  <si>
    <t>Возврат</t>
  </si>
  <si>
    <t>P2 — следующий выпуск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</si>
  <si>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</si>
  <si>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</si>
  <si>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</si>
  <si>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</si>
  <si>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</si>
  <si>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</si>
  <si>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</si>
  <si>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</si>
  <si>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P3 — можно отложить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</si>
  <si>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</si>
  <si>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</si>
  <si>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</si>
  <si>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</si>
  <si>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</si>
  <si>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</si>
  <si>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</si>
  <si>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</si>
  <si>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</si>
  <si>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</si>
  <si>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</si>
  <si>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</si>
  <si>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</si>
  <si>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</si>
  <si>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</si>
  <si>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</si>
  <si>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</si>
  <si>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</si>
  <si>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</si>
  <si>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</si>
  <si>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</si>
  <si>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</si>
  <si>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</si>
  <si>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</si>
  <si>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</si>
  <si>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</si>
  <si>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</si>
  <si>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</si>
  <si>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</si>
  <si>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</si>
  <si>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</si>
  <si>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</si>
  <si>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</si>
  <si>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</si>
  <si>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</si>
  <si>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</si>
  <si>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A-001</t>
  </si>
  <si>
    <t>Анализ поискового спроса</t>
  </si>
  <si>
    <t>Вордстат, ЛР1</t>
  </si>
  <si>
    <t>Спрос проблемный: ошибки в формулах ищут чаще, чем аудит</t>
  </si>
  <si>
    <t>Проблемные 36,6 %, AI 45,3 %, услуги 2,3 % выборки топов</t>
  </si>
  <si>
    <t>Нужны страницы по проблемным запросам и четкий первый экран</t>
  </si>
  <si>
    <t>Добавить страницу продукта с примерами ошибок</t>
  </si>
  <si>
    <t>A-002</t>
  </si>
  <si>
    <t>Оценка рынка</t>
  </si>
  <si>
    <t>ЛР2-3</t>
  </si>
  <si>
    <t>Рынок достаточен для старта, но канал ограничивает SOM</t>
  </si>
  <si>
    <t>SAM 35 млн EUR, платящих за 4 месяца бета 19 при цели 50</t>
  </si>
  <si>
    <t>Интерфейс должен вести к быстрому первому результату и оплате</t>
  </si>
  <si>
    <t>Сократить путь до первой проверки</t>
  </si>
  <si>
    <t>A-003</t>
  </si>
  <si>
    <t>Конкуренция</t>
  </si>
  <si>
    <t>ЛР4</t>
  </si>
  <si>
    <t>Заменители создают критичное давление (73 % трафика)</t>
  </si>
  <si>
    <t>Индекс барьеров 3,15; пять сил 3,55</t>
  </si>
  <si>
    <t>Нужен экран, показывающий отличие от универсального AI</t>
  </si>
  <si>
    <t>Блок «чем отличается» на странице продукта</t>
  </si>
  <si>
    <t>A-004</t>
  </si>
  <si>
    <t>Отзывы</t>
  </si>
  <si>
    <t>G2</t>
  </si>
  <si>
    <t>У прямых конкурентов нет отзывов</t>
  </si>
  <si>
    <t>PerfectXL 0, Arixcel 1, CIMCON 19 против Datarails 386</t>
  </si>
  <si>
    <t>Нужны блоки отзывов и кейсов</t>
  </si>
  <si>
    <t>Раздел отзывов после пилота</t>
  </si>
  <si>
    <t>A-005</t>
  </si>
  <si>
    <t>Цены</t>
  </si>
  <si>
    <t>страницы цен</t>
  </si>
  <si>
    <t>Цена Pro 19 EUR на медиане рынка, специализированные аналоги от 69 EUR</t>
  </si>
  <si>
    <t>PerfectXL 69 EUR, Rows 8 USD, Copilot 18 USD, Shortcut 100 USD</t>
  </si>
  <si>
    <t>Тарифы должны быть видны без разговора с продавцом</t>
  </si>
  <si>
    <t>Страница тарифов с лестницей Free, 9, 19, 29 EUR</t>
  </si>
  <si>
    <t>A-006</t>
  </si>
  <si>
    <t>Цифровой товар</t>
  </si>
  <si>
    <t>ЛР5</t>
  </si>
  <si>
    <t>Стандарт товара - надстройка Excel; разрывы - поиск ошибок, безопасность, пробный доступ</t>
  </si>
  <si>
    <t>по 3 из 7 конкурентов</t>
  </si>
  <si>
    <t>Нужны экраны поиска ошибок, пробного доступа и безопасности</t>
  </si>
  <si>
    <t>Включить в MVP</t>
  </si>
  <si>
    <t>A-007</t>
  </si>
  <si>
    <t>Зона дифференциации - доказательство вывода движком</t>
  </si>
  <si>
    <t>есть у 2 из 7 конкурентов</t>
  </si>
  <si>
    <t>Нужна карточка находки с доказательством</t>
  </si>
  <si>
    <t>Выделить доказательство в карточке</t>
  </si>
  <si>
    <t>A-008</t>
  </si>
  <si>
    <t>Безопасность</t>
  </si>
  <si>
    <t>Shortcut, DataSnipper</t>
  </si>
  <si>
    <t>Безопасность и соответствие нужны для доверия к загрузке файлов</t>
  </si>
  <si>
    <t>SOC 2, GDPR на главных страницах</t>
  </si>
  <si>
    <t>Нужна страница безопасности и удаление данных</t>
  </si>
  <si>
    <t>Страница политики данных и экран удаления</t>
  </si>
  <si>
    <t>A-009</t>
  </si>
  <si>
    <t>Бизнес-модели</t>
  </si>
  <si>
    <t>Практика: корпоративные пакеты и демо; самообслуживание только у AI-помощников</t>
  </si>
  <si>
    <t>5 из 7 с корпоративными пакетами</t>
  </si>
  <si>
    <t>Нужны экраны командной работы позже</t>
  </si>
  <si>
    <t>Отложить до релиза 4</t>
  </si>
  <si>
    <t>A-010</t>
  </si>
  <si>
    <t>Проблема клиентов</t>
  </si>
  <si>
    <t>ПЗ1</t>
  </si>
  <si>
    <t>Ошибки есть в 86-94 % таблиц, AI-надстройки сами требуют проверки</t>
  </si>
  <si>
    <t>оценка ПЗ1</t>
  </si>
  <si>
    <t>Проблема массовая: первый экран должен называть ее прямо</t>
  </si>
  <si>
    <t>Первый экран про ошибки в моделях</t>
  </si>
  <si>
    <t>A-011</t>
  </si>
  <si>
    <t>Платежеспособность</t>
  </si>
  <si>
    <t>Бюджет сегментов выше цены предложения (индекс 2,4)</t>
  </si>
  <si>
    <t>индексы 1,3-4,2</t>
  </si>
  <si>
    <t>Цена и ценность должны быть рядом</t>
  </si>
  <si>
    <t>Блок окупаемости на странице тарифов</t>
  </si>
  <si>
    <t>A-012</t>
  </si>
  <si>
    <t>Каналы</t>
  </si>
  <si>
    <t>AppSource</t>
  </si>
  <si>
    <t>В AppSource по запросу formula checker один результат</t>
  </si>
  <si>
    <t>138 результатов по excel audit, один по formula checker</t>
  </si>
  <si>
    <t>Нужен экран установки надстройки</t>
  </si>
  <si>
    <t>Описание установки в справке</t>
  </si>
  <si>
    <t>Финансовый аналитик / FP&amp;A</t>
  </si>
  <si>
    <t>Проверить модель перед передачей</t>
  </si>
  <si>
    <t>Скрытые ошибки в формулах</t>
  </si>
  <si>
    <t>Не допустить неверные числа</t>
  </si>
  <si>
    <t>периодически</t>
  </si>
  <si>
    <t>Поиск по проблемным запросам</t>
  </si>
  <si>
    <t>Консультант по управлению</t>
  </si>
  <si>
    <t>Проверить модель клиента и передать отчет</t>
  </si>
  <si>
    <t>Нет передаваемого отчета</t>
  </si>
  <si>
    <t>Усилить заключение доказательствами</t>
  </si>
  <si>
    <t>Партнерские фирмы</t>
  </si>
  <si>
    <t>ROLE-003</t>
  </si>
  <si>
    <t>Бухгалтер / аудитор</t>
  </si>
  <si>
    <t>Подтвердить расчеты в таблицах</t>
  </si>
  <si>
    <t>Нет следов проверки</t>
  </si>
  <si>
    <t>Соответствие стандартам</t>
  </si>
  <si>
    <t>Профессиональные сообщества</t>
  </si>
  <si>
    <t>ROLE-004</t>
  </si>
  <si>
    <t>Основатель / операционный менеджер МСП</t>
  </si>
  <si>
    <t>Проверить таблицы без штатного аудитора</t>
  </si>
  <si>
    <t>Цена и безопасность</t>
  </si>
  <si>
    <t>Экономия времени и денег</t>
  </si>
  <si>
    <t>AppSource, поиск</t>
  </si>
  <si>
    <t>ROLE-005</t>
  </si>
  <si>
    <t>Администратор команды</t>
  </si>
  <si>
    <t>Настроить проверку для сотрудников</t>
  </si>
  <si>
    <t>Нет общего контроля качества</t>
  </si>
  <si>
    <t>Единый стандарт проверки</t>
  </si>
  <si>
    <t>Рекомендация коллеги</t>
  </si>
  <si>
    <t>Получение ценности</t>
  </si>
  <si>
    <t>Увидеть ошибки в своем файле</t>
  </si>
  <si>
    <t>Переход из поиска на страницу продукта</t>
  </si>
  <si>
    <t>Загрузка файла → запуск проверки → список находок</t>
  </si>
  <si>
    <t>Файл слишком большой: сообщение с лимитом</t>
  </si>
  <si>
    <t>файл Excel, находки, отчет</t>
  </si>
  <si>
    <t>Рост активации</t>
  </si>
  <si>
    <t>Сохранить находки и отчет</t>
  </si>
  <si>
    <t>Просмотр находок</t>
  </si>
  <si>
    <t>Кнопка сохранить → регистрация → личный кабинет</t>
  </si>
  <si>
    <t>Уже есть аккаунт: вход</t>
  </si>
  <si>
    <t>Рост регистраций</t>
  </si>
  <si>
    <t>Получить полный отчет</t>
  </si>
  <si>
    <t>Лимит бесплатной проверки</t>
  </si>
  <si>
    <t>Тарифы → оплата 9 EUR → полный отчет</t>
  </si>
  <si>
    <t>Отказ платежа: повтор и поддержка</t>
  </si>
  <si>
    <t>Первая оплата</t>
  </si>
  <si>
    <t>SC-004</t>
  </si>
  <si>
    <t>Проверять без ограничений</t>
  </si>
  <si>
    <t>Третья проверка за месяц</t>
  </si>
  <si>
    <t>Предложение Pro → оплата 19 EUR → активация</t>
  </si>
  <si>
    <t>Отказ: остаться на Free</t>
  </si>
  <si>
    <t>Рост подписок</t>
  </si>
  <si>
    <t>SC-005</t>
  </si>
  <si>
    <t>Проверить книгу после правки AI</t>
  </si>
  <si>
    <t>Правка формул помощником</t>
  </si>
  <si>
    <t>Надстройка → проверка книги → подсветка находок</t>
  </si>
  <si>
    <t>Нет доступа к надстройке: веб-версия</t>
  </si>
  <si>
    <t>SC-006</t>
  </si>
  <si>
    <t>Передать проверенную модель с отчетом</t>
  </si>
  <si>
    <t>Завершение проекта</t>
  </si>
  <si>
    <t>Отчет → экспорт → отправка заказчику</t>
  </si>
  <si>
    <t>Формат не подходит: шаблон отчета</t>
  </si>
  <si>
    <t>Рекомендации и повторные покупки</t>
  </si>
  <si>
    <t>SC-007</t>
  </si>
  <si>
    <t>Найти риски до заключения</t>
  </si>
  <si>
    <t>Получение модели от клиента</t>
  </si>
  <si>
    <t>Загрузка → проверка → карточки находок → заключение</t>
  </si>
  <si>
    <t>Файл защищен паролем: запрос пароля</t>
  </si>
  <si>
    <t>Рост спроса среди консультантов</t>
  </si>
  <si>
    <t>SC-008</t>
  </si>
  <si>
    <t>Задать правила команды</t>
  </si>
  <si>
    <t>Внедрение в команде</t>
  </si>
  <si>
    <t>Кабинет → правила → сохранение</t>
  </si>
  <si>
    <t>Конфликт правил: подсказка</t>
  </si>
  <si>
    <t>Удержание команд</t>
  </si>
  <si>
    <t>SC-009</t>
  </si>
  <si>
    <t>Дать доступ сотрудникам</t>
  </si>
  <si>
    <t>Решение руководителя</t>
  </si>
  <si>
    <t>Кабинет → приглашение → оплата мест 29 EUR</t>
  </si>
  <si>
    <t>Нет свободных мест: докупка</t>
  </si>
  <si>
    <t>Рост выручки за место</t>
  </si>
  <si>
    <t>SC-010</t>
  </si>
  <si>
    <t>Удалить файлы и аккаунт</t>
  </si>
  <si>
    <t>Запрос пользователя</t>
  </si>
  <si>
    <t>Кабинет → удалить данные → подтверждение</t>
  </si>
  <si>
    <t>Платная подписка активна: напоминание</t>
  </si>
  <si>
    <t>Снижение рисков отказа</t>
  </si>
  <si>
    <t>Страница продукта с примерами ошибок</t>
  </si>
  <si>
    <t>Показать ценность и направить к бесплатной проверке</t>
  </si>
  <si>
    <t>Нажать «Проверить файл»</t>
  </si>
  <si>
    <t>F-001; F-008</t>
  </si>
  <si>
    <t>ценностное предложение, примеры найденных ошибок, отличие от AI</t>
  </si>
  <si>
    <t>первый экран, примеры, сравнение, призыв к действию</t>
  </si>
  <si>
    <t>нормальное; пустое; загрузка; ошибка; успех</t>
  </si>
  <si>
    <t>см. лист «Состояния_и_ошибки»</t>
  </si>
  <si>
    <t>вход в воронку</t>
  </si>
  <si>
    <t>Черновик</t>
  </si>
  <si>
    <t>Загрузка файла и запуск проверки</t>
  </si>
  <si>
    <t>Принять файл Excel и запустить проверку без регистрации</t>
  </si>
  <si>
    <t>Загрузить файл</t>
  </si>
  <si>
    <t>Выбрать файл и запустить проверку</t>
  </si>
  <si>
    <t>файл xlsx, лимиты Free</t>
  </si>
  <si>
    <t>поле загрузки, лимиты, индикатор прогресса</t>
  </si>
  <si>
    <t>активация</t>
  </si>
  <si>
    <t>U-003</t>
  </si>
  <si>
    <t>Результат проверки: список находок</t>
  </si>
  <si>
    <t>Показать найденные ошибки с критичностью</t>
  </si>
  <si>
    <t>Понять, что найдено</t>
  </si>
  <si>
    <t>Открыть карточку находки</t>
  </si>
  <si>
    <t>список находок, критичность, ячейки</t>
  </si>
  <si>
    <t>таблица находок, фильтры, сводка</t>
  </si>
  <si>
    <t>U-004</t>
  </si>
  <si>
    <t>Карточка находки с доказательством</t>
  </si>
  <si>
    <t>Объяснить ошибку и доказать ее вычислением</t>
  </si>
  <si>
    <t>Убедиться в находке</t>
  </si>
  <si>
    <t>Принять или отклонить находку</t>
  </si>
  <si>
    <t>F-003</t>
  </si>
  <si>
    <t>ячейка, формула, вычисление-доказательство</t>
  </si>
  <si>
    <t>описание, доказательство, исправление</t>
  </si>
  <si>
    <t>доверие</t>
  </si>
  <si>
    <t>U-005</t>
  </si>
  <si>
    <t>Отчет аудита</t>
  </si>
  <si>
    <t>Собрать находки в передаваемый отчет</t>
  </si>
  <si>
    <t>Получить отчет</t>
  </si>
  <si>
    <t>Скачать или переслать отчет</t>
  </si>
  <si>
    <t>F-004</t>
  </si>
  <si>
    <t>перечень находок, сводка, дата проверки</t>
  </si>
  <si>
    <t>заголовок, сводка, таблица, подпись проверки</t>
  </si>
  <si>
    <t>монетизация</t>
  </si>
  <si>
    <t>U-006</t>
  </si>
  <si>
    <t>Регистрация и вход</t>
  </si>
  <si>
    <t>Сохранить результат и открыть кабинет</t>
  </si>
  <si>
    <t>Создать аккаунт</t>
  </si>
  <si>
    <t>Ввести email и подтвердить</t>
  </si>
  <si>
    <t>F-005</t>
  </si>
  <si>
    <t>email, пароль, согласие с условиями</t>
  </si>
  <si>
    <t>форма, подтверждение, ссылка входа</t>
  </si>
  <si>
    <t>регистрация</t>
  </si>
  <si>
    <t>U-007</t>
  </si>
  <si>
    <t>Страница тарифов</t>
  </si>
  <si>
    <t>Показать тарифы и помочь выбрать</t>
  </si>
  <si>
    <t>Выбрать тариф</t>
  </si>
  <si>
    <t>Нажать «Купить» или «Оформить Pro»</t>
  </si>
  <si>
    <t>F-008</t>
  </si>
  <si>
    <t>Free, 9 EUR, Pro 19 EUR, Team 29 EUR</t>
  </si>
  <si>
    <t>таблица тарифов, сравнение, вопросы и ответы</t>
  </si>
  <si>
    <t>оплата</t>
  </si>
  <si>
    <t>U-008</t>
  </si>
  <si>
    <t>Принять платеж за аудит или подписку</t>
  </si>
  <si>
    <t>Оплатить</t>
  </si>
  <si>
    <t>Подтвердить платеж</t>
  </si>
  <si>
    <t>F-006</t>
  </si>
  <si>
    <t>тариф, сумма, налоги</t>
  </si>
  <si>
    <t>форма оплаты, итог, подтверждение</t>
  </si>
  <si>
    <t>U-009</t>
  </si>
  <si>
    <t>Безопасность и политика данных</t>
  </si>
  <si>
    <t>Снять опасения по загрузке файлов</t>
  </si>
  <si>
    <t>Проверить безопасность</t>
  </si>
  <si>
    <t>Открыть политику данных</t>
  </si>
  <si>
    <t>F-007</t>
  </si>
  <si>
    <t>политика данных, GDPR, сроки хранения</t>
  </si>
  <si>
    <t>описание мер, сроки, контакты</t>
  </si>
  <si>
    <t>U-010</t>
  </si>
  <si>
    <t>Настройки аккаунта и удаление данных</t>
  </si>
  <si>
    <t>Дать пользователю управление данными</t>
  </si>
  <si>
    <t>Удалить данные</t>
  </si>
  <si>
    <t>Подтвердить удаление</t>
  </si>
  <si>
    <t>аккаунт, список файлов</t>
  </si>
  <si>
    <t>настройки, кнопка удаления, подтверждение</t>
  </si>
  <si>
    <t>U-011</t>
  </si>
  <si>
    <t>Личный кабинет: история проверок</t>
  </si>
  <si>
    <t>Показать прошлые проверки и повторить</t>
  </si>
  <si>
    <t>Вернуться к проверке</t>
  </si>
  <si>
    <t>Повторить проверку</t>
  </si>
  <si>
    <t>список проверок, даты, статусы</t>
  </si>
  <si>
    <t>список, фильтры, кнопка повторной проверки</t>
  </si>
  <si>
    <t>удержание</t>
  </si>
  <si>
    <t>U-012</t>
  </si>
  <si>
    <t>Надстройка Excel: панель проверки</t>
  </si>
  <si>
    <t>Проверять книгу прямо в Excel</t>
  </si>
  <si>
    <t>Проверить книгу</t>
  </si>
  <si>
    <t>Нажать «Проверить книгу»</t>
  </si>
  <si>
    <t>F-009</t>
  </si>
  <si>
    <t>книга, находки, ячейки</t>
  </si>
  <si>
    <t>боковая панель, список находок, подсветка</t>
  </si>
  <si>
    <t>Идея</t>
  </si>
  <si>
    <t>U-016</t>
  </si>
  <si>
    <t>Команда: места и роли</t>
  </si>
  <si>
    <t>Управлять местами и ролями команды</t>
  </si>
  <si>
    <t>Пригласить коллег</t>
  </si>
  <si>
    <t>Отправить приглашение</t>
  </si>
  <si>
    <t>F-014</t>
  </si>
  <si>
    <t>места, роли, приглашения</t>
  </si>
  <si>
    <t>список участников, приглашение, оплата мест</t>
  </si>
  <si>
    <t>U-017</t>
  </si>
  <si>
    <t>Документация и справка</t>
  </si>
  <si>
    <t>Помочь начать и объяснить правила проверки</t>
  </si>
  <si>
    <t>Найти ответ</t>
  </si>
  <si>
    <t>Открыть статью</t>
  </si>
  <si>
    <t>статьи, видео, часто задаваемые вопросы</t>
  </si>
  <si>
    <t>поиск, разделы, статьи</t>
  </si>
  <si>
    <t>Страница продукта ведет к загрузке файла</t>
  </si>
  <si>
    <t>Загрузка запускает проверку</t>
  </si>
  <si>
    <t>M-003</t>
  </si>
  <si>
    <t>Список находок ведет к карточке</t>
  </si>
  <si>
    <t>M-004</t>
  </si>
  <si>
    <t>Карточка подводит к сохранению</t>
  </si>
  <si>
    <t>M-005</t>
  </si>
  <si>
    <t>Регистрация сохраняет результат</t>
  </si>
  <si>
    <t>M-006</t>
  </si>
  <si>
    <t>История в кабинете</t>
  </si>
  <si>
    <t>M-007</t>
  </si>
  <si>
    <t>Тарифы ведут к оплате</t>
  </si>
  <si>
    <t>M-008</t>
  </si>
  <si>
    <t>Оплата открывает полный отчет</t>
  </si>
  <si>
    <t>M-009</t>
  </si>
  <si>
    <t>Полный отчет</t>
  </si>
  <si>
    <t>M-010</t>
  </si>
  <si>
    <t>Предложение Pro после нескольких проверок</t>
  </si>
  <si>
    <t>M-011</t>
  </si>
  <si>
    <t>Оформление подписки</t>
  </si>
  <si>
    <t>M-012</t>
  </si>
  <si>
    <t>Проверка книги в Excel</t>
  </si>
  <si>
    <t>M-013</t>
  </si>
  <si>
    <t>Отчет передается заказчику</t>
  </si>
  <si>
    <t>M-014</t>
  </si>
  <si>
    <t>Проверка чужой модели</t>
  </si>
  <si>
    <t>M-015</t>
  </si>
  <si>
    <t>Приглашение коллег и оплата мест</t>
  </si>
  <si>
    <t>M-016</t>
  </si>
  <si>
    <t>Вспомогательная</t>
  </si>
  <si>
    <t>Политика данных</t>
  </si>
  <si>
    <t>M-017</t>
  </si>
  <si>
    <t>Удаление данных</t>
  </si>
  <si>
    <t>Нажатие «Проверить файл»</t>
  </si>
  <si>
    <t>Пользователь готов попробовать</t>
  </si>
  <si>
    <t>Призыв должен быть виден на первом экране</t>
  </si>
  <si>
    <t>N-002</t>
  </si>
  <si>
    <t>Завершение проверки</t>
  </si>
  <si>
    <t>Файл принят</t>
  </si>
  <si>
    <t>Показывать прогресс</t>
  </si>
  <si>
    <t>N-003</t>
  </si>
  <si>
    <t>Открытие находки</t>
  </si>
  <si>
    <t>Есть находки</t>
  </si>
  <si>
    <t>Находки кликабельны</t>
  </si>
  <si>
    <t>N-004</t>
  </si>
  <si>
    <t>Сохранить результат</t>
  </si>
  <si>
    <t>Пользователь не вошел</t>
  </si>
  <si>
    <t>Результат не должен теряться</t>
  </si>
  <si>
    <t>N-005</t>
  </si>
  <si>
    <t>Открыть полный отчет</t>
  </si>
  <si>
    <t>Лимит Free исчерпан</t>
  </si>
  <si>
    <t>Объяснить лимиты</t>
  </si>
  <si>
    <t>N-006</t>
  </si>
  <si>
    <t>Нажатие «Купить»</t>
  </si>
  <si>
    <t>Тариф выбран</t>
  </si>
  <si>
    <t>Показывать итоговую сумму</t>
  </si>
  <si>
    <t>N-007</t>
  </si>
  <si>
    <t>Платеж подтвержден</t>
  </si>
  <si>
    <t>Оплата прошла</t>
  </si>
  <si>
    <t>Сразу открыть отчет</t>
  </si>
  <si>
    <t>N-008</t>
  </si>
  <si>
    <t>Вход выполнен</t>
  </si>
  <si>
    <t>Аккаунт создан</t>
  </si>
  <si>
    <t>Кабинет с историей</t>
  </si>
  <si>
    <t>N-009</t>
  </si>
  <si>
    <t>Открытие политики данных</t>
  </si>
  <si>
    <t>Сомнение в безопасности</t>
  </si>
  <si>
    <t>Вспомогательный</t>
  </si>
  <si>
    <t>Ссылка в подвале и у загрузки</t>
  </si>
  <si>
    <t>N-010</t>
  </si>
  <si>
    <t>Пользователь вошел</t>
  </si>
  <si>
    <t>Двойное подтверждение</t>
  </si>
  <si>
    <t>N-011</t>
  </si>
  <si>
    <t>Предложение Pro</t>
  </si>
  <si>
    <t>Три проверки в месяц</t>
  </si>
  <si>
    <t>Не навязчиво</t>
  </si>
  <si>
    <t>N-012</t>
  </si>
  <si>
    <t>Проверка книги</t>
  </si>
  <si>
    <t>Лицензия активна</t>
  </si>
  <si>
    <t>Единый вид результата с веб-версией</t>
  </si>
  <si>
    <t>N-013</t>
  </si>
  <si>
    <t>Оплата мест</t>
  </si>
  <si>
    <t>Роль администратора</t>
  </si>
  <si>
    <t>Команда позже</t>
  </si>
  <si>
    <t>Показаны блоки и призыв</t>
  </si>
  <si>
    <t>Индикатор загрузки</t>
  </si>
  <si>
    <t>Переход к загрузке</t>
  </si>
  <si>
    <t>Повторите попытку позже</t>
  </si>
  <si>
    <t>Поле загрузки и лимиты</t>
  </si>
  <si>
    <t>Файл не выбран</t>
  </si>
  <si>
    <t>Индикатор проверки</t>
  </si>
  <si>
    <t>Неверный формат или размер</t>
  </si>
  <si>
    <t>Сервис недоступен</t>
  </si>
  <si>
    <t>Переход к результату</t>
  </si>
  <si>
    <t>Проверьте формат xlsx и размер до лимита</t>
  </si>
  <si>
    <t>S-003</t>
  </si>
  <si>
    <t>Таблица находок</t>
  </si>
  <si>
    <t>Ошибок не найдено</t>
  </si>
  <si>
    <t>Не удалось получить результат</t>
  </si>
  <si>
    <t>Находки отображены</t>
  </si>
  <si>
    <t>Повторите проверку</t>
  </si>
  <si>
    <t>S-004</t>
  </si>
  <si>
    <t>Описание и доказательство</t>
  </si>
  <si>
    <t>Индикатор расчета</t>
  </si>
  <si>
    <t>Не удалось загрузить доказательство</t>
  </si>
  <si>
    <t>Находка принята</t>
  </si>
  <si>
    <t>Обновите страницу</t>
  </si>
  <si>
    <t>S-005</t>
  </si>
  <si>
    <t>Отчет собран</t>
  </si>
  <si>
    <t>Нет находок для отчета</t>
  </si>
  <si>
    <t>Индикатор сборки</t>
  </si>
  <si>
    <t>Сбой экспорта</t>
  </si>
  <si>
    <t>Нужен вход</t>
  </si>
  <si>
    <t>Отчет получен</t>
  </si>
  <si>
    <t>Повторите экспорт</t>
  </si>
  <si>
    <t>S-006</t>
  </si>
  <si>
    <t>Форма регистрации</t>
  </si>
  <si>
    <t>Индикатор отправки</t>
  </si>
  <si>
    <t>Неверный email</t>
  </si>
  <si>
    <t>Проверьте email и пароль</t>
  </si>
  <si>
    <t>S-007</t>
  </si>
  <si>
    <t>Таблица тарифов</t>
  </si>
  <si>
    <t>Цены временно недоступны</t>
  </si>
  <si>
    <t>Переход к оплате</t>
  </si>
  <si>
    <t>S-008</t>
  </si>
  <si>
    <t>Форма оплаты</t>
  </si>
  <si>
    <t>Корзина пуста</t>
  </si>
  <si>
    <t>Индикатор оплаты</t>
  </si>
  <si>
    <t>Неверные данные карты</t>
  </si>
  <si>
    <t>Платежный сервис недоступен</t>
  </si>
  <si>
    <t>Платеж не прошел: проверьте карту</t>
  </si>
  <si>
    <t>S-009</t>
  </si>
  <si>
    <t>Текст политики</t>
  </si>
  <si>
    <t>Страница недоступна</t>
  </si>
  <si>
    <t>S-010</t>
  </si>
  <si>
    <t>Настройки аккаунта</t>
  </si>
  <si>
    <t>Файлов нет</t>
  </si>
  <si>
    <t>Индикатор удаления</t>
  </si>
  <si>
    <t>Неверное подтверждение</t>
  </si>
  <si>
    <t>Сбой удаления</t>
  </si>
  <si>
    <t>Данные удалены</t>
  </si>
  <si>
    <t>Подтвердите удаление повторно</t>
  </si>
  <si>
    <t>S-011</t>
  </si>
  <si>
    <t>Список проверок</t>
  </si>
  <si>
    <t>История пуста</t>
  </si>
  <si>
    <t>Не удалось загрузить историю</t>
  </si>
  <si>
    <t>Проверка запущена повторно</t>
  </si>
  <si>
    <t>Повторите попытку</t>
  </si>
  <si>
    <t>S-012</t>
  </si>
  <si>
    <t>Панель надстройки</t>
  </si>
  <si>
    <t>Книга пуста</t>
  </si>
  <si>
    <t>Книга защищена</t>
  </si>
  <si>
    <t>Нет сети</t>
  </si>
  <si>
    <t>Нет лицензии</t>
  </si>
  <si>
    <t>Находки подсвечены</t>
  </si>
  <si>
    <t>Проверьте лицензию и доступ</t>
  </si>
  <si>
    <t>S-013</t>
  </si>
  <si>
    <t>Список участников</t>
  </si>
  <si>
    <t>Участников нет</t>
  </si>
  <si>
    <t>Сбой приглашения</t>
  </si>
  <si>
    <t>Нет прав администратора</t>
  </si>
  <si>
    <t>Приглашение отправлено</t>
  </si>
  <si>
    <t>Проверьте права и email</t>
  </si>
  <si>
    <t>S-014</t>
  </si>
  <si>
    <t>Статьи справки</t>
  </si>
  <si>
    <t>Ничего не найдено</t>
  </si>
  <si>
    <t>Индикатор поиска</t>
  </si>
  <si>
    <t>Попробуйте другой запрос</t>
  </si>
  <si>
    <t>Ценностное предложение и примеры ошибок</t>
  </si>
  <si>
    <t>ЛР6.1, VP-001</t>
  </si>
  <si>
    <t>Продукт</t>
  </si>
  <si>
    <t>Лимиты Free и поддерживаемые форматы</t>
  </si>
  <si>
    <t>Тарифы ПЗ1</t>
  </si>
  <si>
    <t>При изменении тарифов</t>
  </si>
  <si>
    <t>Текст</t>
  </si>
  <si>
    <t>Список находок и критичность</t>
  </si>
  <si>
    <t>Движок проверки</t>
  </si>
  <si>
    <t>При каждой проверке</t>
  </si>
  <si>
    <t>Показывать владельцу файла</t>
  </si>
  <si>
    <t>Таблица</t>
  </si>
  <si>
    <t>Разработка</t>
  </si>
  <si>
    <t>Доказательство находки</t>
  </si>
  <si>
    <t>Формула + значение</t>
  </si>
  <si>
    <t>Показывать после оплаты</t>
  </si>
  <si>
    <t>Документ</t>
  </si>
  <si>
    <t>ПЗ1, ЛР2-3</t>
  </si>
  <si>
    <t>При изменении цен</t>
  </si>
  <si>
    <t>Политика данных и GDPR</t>
  </si>
  <si>
    <t>ЛР5, юридические условия</t>
  </si>
  <si>
    <t>При изменении политики</t>
  </si>
  <si>
    <t>Юрист</t>
  </si>
  <si>
    <t>Команда продукта</t>
  </si>
  <si>
    <t>Ежемесячно</t>
  </si>
  <si>
    <t>Статья</t>
  </si>
  <si>
    <t>переход к Загрузка файла и запуск проверки</t>
  </si>
  <si>
    <t>клики по призыву, переход к загрузке</t>
  </si>
  <si>
    <t>Непонятная ценность, перегрузка</t>
  </si>
  <si>
    <t>переход к Результат проверки: список находок</t>
  </si>
  <si>
    <t>доля завершенных загрузок</t>
  </si>
  <si>
    <t>Большой файл, неверный формат</t>
  </si>
  <si>
    <t>переход к Карточка находки с доказательством</t>
  </si>
  <si>
    <t>доля просмотренных находок</t>
  </si>
  <si>
    <t>Слишком много находок</t>
  </si>
  <si>
    <t>переход к Регистрация и вход</t>
  </si>
  <si>
    <t>доля принятых находок</t>
  </si>
  <si>
    <t>Непонятное доказательство</t>
  </si>
  <si>
    <t>возврат к предыдущему шагу</t>
  </si>
  <si>
    <t>доля купивших отчет</t>
  </si>
  <si>
    <t>Формат не подходит заказчику</t>
  </si>
  <si>
    <t>переход к Личный кабинет: история проверок</t>
  </si>
  <si>
    <t>конверсия в регистрацию</t>
  </si>
  <si>
    <t>Потеря результата без входа</t>
  </si>
  <si>
    <t>переход к Оплата</t>
  </si>
  <si>
    <t>доля перешедших к оплате</t>
  </si>
  <si>
    <t>Неясные лимиты Free</t>
  </si>
  <si>
    <t>переход к Отчет аудита</t>
  </si>
  <si>
    <t>конверсия в платящего</t>
  </si>
  <si>
    <t>Сбой платежа</t>
  </si>
  <si>
    <t>переход к Настройки аккаунта и удаление данных</t>
  </si>
  <si>
    <t>доля посетителей страницы, дошедших до загрузки</t>
  </si>
  <si>
    <t>Неполные формулировки</t>
  </si>
  <si>
    <t>число запросов на удаление</t>
  </si>
  <si>
    <t>Случайное удаление</t>
  </si>
  <si>
    <t>доля повторных проверок</t>
  </si>
  <si>
    <t>Пустая история у новых</t>
  </si>
  <si>
    <t>установки и активация</t>
  </si>
  <si>
    <t>Правила публикации AppSource</t>
  </si>
  <si>
    <t>число мест</t>
  </si>
  <si>
    <t>Нет подтвержденного спроса</t>
  </si>
  <si>
    <t>просмотры статей, обращения в поддержку</t>
  </si>
  <si>
    <t>Устаревшие статьи</t>
  </si>
  <si>
    <t>Включить в первую версию</t>
  </si>
  <si>
    <t>Без экрана нет первого результата</t>
  </si>
  <si>
    <t>Показывает ключевую ценность</t>
  </si>
  <si>
    <t>Зона дифференциации</t>
  </si>
  <si>
    <t>Основа платных продаж</t>
  </si>
  <si>
    <t>Нужна для сохранения результата и оплаты</t>
  </si>
  <si>
    <t>Прозрачная цена - зона дифференциации</t>
  </si>
  <si>
    <t>Без оплаты нет дохода</t>
  </si>
  <si>
    <t>Обязательный разрыв ЛР5</t>
  </si>
  <si>
    <t>Требование GDPR</t>
  </si>
  <si>
    <t>Удержание, не нужна для первой ценности</t>
  </si>
  <si>
    <t>Стандарт рынка, выпуск в бета v1</t>
  </si>
  <si>
    <t>Выручка за место после подтверждения спроса</t>
  </si>
  <si>
    <t>Стандарт рынка, развивается после запуска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</si>
</sst>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3-4E8B-8AAA-9D0281B9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>
  <tableColumns count="3">
    <tableColumn id="1" xr3:uid="{00000000-0010-0000-0000-000001000000}" name="Шаг"/>
    <tableColumn id="2" xr3:uid="{00000000-0010-0000-0000-000002000000}" name="Действие"/>
    <tableColumn id="3" xr3:uid="{00000000-0010-0000-0000-000003000000}" name="Что сдела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204">
  <tableColumns count="11">
    <tableColumn id="1" xr3:uid="{00000000-0010-0000-0100-000001000000}" name="ID вывода"/>
    <tableColumn id="2" xr3:uid="{00000000-0010-0000-0100-000002000000}" name="Вид анализа"/>
    <tableColumn id="3" xr3:uid="{00000000-0010-0000-0100-000003000000}" name="Объект анализа"/>
    <tableColumn id="4" xr3:uid="{00000000-0010-0000-0100-000004000000}" name="Вывод / факт"/>
    <tableColumn id="5" xr3:uid="{00000000-0010-0000-0100-000005000000}" name="Доказательство / ссылка"/>
    <tableColumn id="6" xr3:uid="{00000000-0010-0000-0100-000006000000}" name="Надежность 1–5"/>
    <tableColumn id="7" xr3:uid="{00000000-0010-0000-0100-000007000000}" name="Значимость 1–5"/>
    <tableColumn id="8" xr3:uid="{00000000-0010-0000-0100-000008000000}" name="Влияние на интерфейс"/>
    <tableColumn id="9" xr3:uid="{00000000-0010-0000-0100-000009000000}" name="Связанные роли"/>
    <tableColumn id="10" xr3:uid="{00000000-0010-0000-0100-00000A000000}" name="Связанные сценарии"/>
    <tableColumn id="11" xr3:uid="{00000000-0010-0000-0100-00000B000000}" name="Решение для страниц/экрано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104">
  <tableColumns count="10">
    <tableColumn id="1" xr3:uid="{00000000-0010-0000-0200-000001000000}" name="Роль_ID"/>
    <tableColumn id="2" xr3:uid="{00000000-0010-0000-0200-000002000000}" name="Роль / сегмент"/>
    <tableColumn id="3" xr3:uid="{00000000-0010-0000-0200-000003000000}" name="Цель роли"/>
    <tableColumn id="4" xr3:uid="{00000000-0010-0000-0200-000004000000}" name="Основная проблема"/>
    <tableColumn id="5" xr3:uid="{00000000-0010-0000-0200-000005000000}" name="Ожидаемая ценность"/>
    <tableColumn id="6" xr3:uid="{00000000-0010-0000-0200-000006000000}" name="Цифровая зрелость"/>
    <tableColumn id="7" xr3:uid="{00000000-0010-0000-0200-000007000000}" name="Частота использования"/>
    <tableColumn id="8" xr3:uid="{00000000-0010-0000-0200-000008000000}" name="Критичность задачи 1–5"/>
    <tableColumn id="9" xr3:uid="{00000000-0010-0000-0200-000009000000}" name="Канал входа"/>
    <tableColumn id="10" xr3:uid="{00000000-0010-0000-0200-00000A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304">
  <tableColumns count="15">
    <tableColumn id="1" xr3:uid="{00000000-0010-0000-0300-000001000000}" name="Сценарий_ID"/>
    <tableColumn id="2" xr3:uid="{00000000-0010-0000-0300-000002000000}" name="Роль_ID"/>
    <tableColumn id="3" xr3:uid="{00000000-0010-0000-0300-000003000000}" name="Этап пути"/>
    <tableColumn id="4" xr3:uid="{00000000-0010-0000-0300-000004000000}" name="Пользовательская цель"/>
    <tableColumn id="5" xr3:uid="{00000000-0010-0000-0300-000005000000}" name="Начальный триггер"/>
    <tableColumn id="6" xr3:uid="{00000000-0010-0000-0300-000006000000}" name="Основной поток"/>
    <tableColumn id="7" xr3:uid="{00000000-0010-0000-0300-000007000000}" name="Альтернативный поток"/>
    <tableColumn id="8" xr3:uid="{00000000-0010-0000-0300-000008000000}" name="Данные / контент"/>
    <tableColumn id="9" xr3:uid="{00000000-0010-0000-0300-000009000000}" name="Бизнес-результат"/>
    <tableColumn id="10" xr3:uid="{00000000-0010-0000-0300-00000A000000}" name="Критичность 1–5"/>
    <tableColumn id="11" xr3:uid="{00000000-0010-0000-0300-00000B000000}" name="Частота 1–5"/>
    <tableColumn id="12" xr3:uid="{00000000-0010-0000-0300-00000C000000}" name="Сложность 1–5"/>
    <tableColumn id="13" xr3:uid="{00000000-0010-0000-0300-00000D000000}" name="Кол-во страниц/экранов"/>
    <tableColumn id="14" xr3:uid="{00000000-0010-0000-0300-00000E000000}" name="Статус покрытия"/>
    <tableColumn id="15" xr3:uid="{00000000-0010-0000-0300-00000F000000}" name="Приоритет сценар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304">
  <tableColumns count="21">
    <tableColumn id="1" xr3:uid="{00000000-0010-0000-0400-000001000000}" name="Unit_ID"/>
    <tableColumn id="2" xr3:uid="{00000000-0010-0000-0400-000002000000}" name="Тип"/>
    <tableColumn id="3" xr3:uid="{00000000-0010-0000-0400-000003000000}" name="Название"/>
    <tableColumn id="4" xr3:uid="{00000000-0010-0000-0400-000004000000}" name="Назначение"/>
    <tableColumn id="5" xr3:uid="{00000000-0010-0000-0400-000005000000}" name="Связанный сценарий_ID"/>
    <tableColumn id="6" xr3:uid="{00000000-0010-0000-0400-000006000000}" name="Роль_ID"/>
    <tableColumn id="7" xr3:uid="{00000000-0010-0000-0400-000007000000}" name="Этап пути"/>
    <tableColumn id="8" xr3:uid="{00000000-0010-0000-0400-000008000000}" name="Главная задача пользователя"/>
    <tableColumn id="9" xr3:uid="{00000000-0010-0000-0400-000009000000}" name="Ключевое действие"/>
    <tableColumn id="10" xr3:uid="{00000000-0010-0000-0400-00000A000000}" name="Источник требования"/>
    <tableColumn id="11" xr3:uid="{00000000-0010-0000-0400-00000B000000}" name="Данные / контент"/>
    <tableColumn id="12" xr3:uid="{00000000-0010-0000-0400-00000C000000}" name="Компоненты"/>
    <tableColumn id="13" xr3:uid="{00000000-0010-0000-0400-00000D000000}" name="Состояния"/>
    <tableColumn id="14" xr3:uid="{00000000-0010-0000-0400-00000E000000}" name="Ошибки / исключения"/>
    <tableColumn id="15" xr3:uid="{00000000-0010-0000-0400-00000F000000}" name="Нужна авторизация"/>
    <tableColumn id="16" xr3:uid="{00000000-0010-0000-0400-000010000000}" name="Монетизационная роль"/>
    <tableColumn id="17" xr3:uid="{00000000-0010-0000-0400-000011000000}" name="Оценка приоритета"/>
    <tableColumn id="18" xr3:uid="{00000000-0010-0000-0400-000012000000}" name="Статус"/>
    <tableColumn id="19" xr3:uid="{00000000-0010-0000-0400-000013000000}" name="Доказательность 1–5"/>
    <tableColumn id="20" xr3:uid="{00000000-0010-0000-0400-000014000000}" name="Полнота описания"/>
    <tableColumn id="21" xr3:uid="{00000000-0010-0000-0400-000015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304">
  <tableColumns count="9">
    <tableColumn id="1" xr3:uid="{00000000-0010-0000-0500-000001000000}" name="Связь_ID"/>
    <tableColumn id="2" xr3:uid="{00000000-0010-0000-0500-000002000000}" name="Сценарий_ID"/>
    <tableColumn id="3" xr3:uid="{00000000-0010-0000-0500-000003000000}" name="Unit_ID"/>
    <tableColumn id="4" xr3:uid="{00000000-0010-0000-0500-000004000000}" name="Тип связи"/>
    <tableColumn id="5" xr3:uid="{00000000-0010-0000-0500-000005000000}" name="Обязательность"/>
    <tableColumn id="6" xr3:uid="{00000000-0010-0000-0500-000006000000}" name="Порядок в сценарии"/>
    <tableColumn id="7" xr3:uid="{00000000-0010-0000-0500-000007000000}" name="Предыдущее Unit_ID"/>
    <tableColumn id="8" xr3:uid="{00000000-0010-0000-0500-000008000000}" name="Следующее Unit_ID"/>
    <tableColumn id="9" xr3:uid="{00000000-0010-0000-0500-000009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204">
  <tableColumns count="10">
    <tableColumn id="1" xr3:uid="{00000000-0010-0000-0600-000001000000}" name="Переход_ID"/>
    <tableColumn id="2" xr3:uid="{00000000-0010-0000-0600-000002000000}" name="Откуда Unit_ID"/>
    <tableColumn id="3" xr3:uid="{00000000-0010-0000-0600-000003000000}" name="Куда Unit_ID"/>
    <tableColumn id="4" xr3:uid="{00000000-0010-0000-0600-000004000000}" name="Событие / действие"/>
    <tableColumn id="5" xr3:uid="{00000000-0010-0000-0600-000005000000}" name="Условие"/>
    <tableColumn id="6" xr3:uid="{00000000-0010-0000-0600-000006000000}" name="Роль_ID"/>
    <tableColumn id="7" xr3:uid="{00000000-0010-0000-0600-000007000000}" name="Этап пути"/>
    <tableColumn id="8" xr3:uid="{00000000-0010-0000-0600-000008000000}" name="Тип перехода"/>
    <tableColumn id="9" xr3:uid="{00000000-0010-0000-0600-000009000000}" name="Риск разрыва 1–5"/>
    <tableColumn id="10" xr3:uid="{00000000-0010-0000-0600-00000A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204">
  <tableColumns count="11">
    <tableColumn id="1" xr3:uid="{00000000-0010-0000-0700-000001000000}" name="State_ID"/>
    <tableColumn id="2" xr3:uid="{00000000-0010-0000-0700-000002000000}" name="Unit_ID"/>
    <tableColumn id="3" xr3:uid="{00000000-0010-0000-0700-000003000000}" name="Нормальное состояние"/>
    <tableColumn id="4" xr3:uid="{00000000-0010-0000-0700-000004000000}" name="Пустое состояние"/>
    <tableColumn id="5" xr3:uid="{00000000-0010-0000-0700-000005000000}" name="Загрузка"/>
    <tableColumn id="6" xr3:uid="{00000000-0010-0000-0700-000006000000}" name="Ошибка валидации"/>
    <tableColumn id="7" xr3:uid="{00000000-0010-0000-0700-000007000000}" name="Ошибка сети/сервера"/>
    <tableColumn id="8" xr3:uid="{00000000-0010-0000-0700-000008000000}" name="Нет прав"/>
    <tableColumn id="9" xr3:uid="{00000000-0010-0000-0700-000009000000}" name="Успешное завершение"/>
    <tableColumn id="10" xr3:uid="{00000000-0010-0000-0700-00000A000000}" name="Сообщение пользователю"/>
    <tableColumn id="11" xr3:uid="{00000000-0010-0000-0700-00000B000000}" name="Полнота состоян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204">
  <tableColumns count="9">
    <tableColumn id="1" xr3:uid="{00000000-0010-0000-0800-000001000000}" name="Unit_ID"/>
    <tableColumn id="2" xr3:uid="{00000000-0010-0000-0800-000002000000}" name="Элемент контента / данных"/>
    <tableColumn id="3" xr3:uid="{00000000-0010-0000-0800-000003000000}" name="Источник данных"/>
    <tableColumn id="4" xr3:uid="{00000000-0010-0000-0800-000004000000}" name="Обязательность"/>
    <tableColumn id="5" xr3:uid="{00000000-0010-0000-0800-000005000000}" name="Частота обновления"/>
    <tableColumn id="6" xr3:uid="{00000000-0010-0000-0800-000006000000}" name="Персонализация"/>
    <tableColumn id="7" xr3:uid="{00000000-0010-0000-0800-000007000000}" name="Правило отображения"/>
    <tableColumn id="8" xr3:uid="{00000000-0010-0000-0800-000008000000}" name="Формат"/>
    <tableColumn id="9" xr3:uid="{00000000-0010-0000-0800-000009000000}" name="Ответственны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304">
  <tableColumns count="15">
    <tableColumn id="1" xr3:uid="{00000000-0010-0000-0900-000001000000}" name="Unit_ID"/>
    <tableColumn id="2" xr3:uid="{00000000-0010-0000-0900-000002000000}" name="Название"/>
    <tableColumn id="3" xr3:uid="{00000000-0010-0000-0900-000003000000}" name="Тип"/>
    <tableColumn id="4" xr3:uid="{00000000-0010-0000-0900-000004000000}" name="Сценарий_ID"/>
    <tableColumn id="5" xr3:uid="{00000000-0010-0000-0900-000005000000}" name="Роль_ID"/>
    <tableColumn id="6" xr3:uid="{00000000-0010-0000-0900-000006000000}" name="Назначение"/>
    <tableColumn id="7" xr3:uid="{00000000-0010-0000-0900-000007000000}" name="Главная задача"/>
    <tableColumn id="8" xr3:uid="{00000000-0010-0000-0900-000008000000}" name="Основное действие"/>
    <tableColumn id="9" xr3:uid="{00000000-0010-0000-0900-000009000000}" name="Состав блоков"/>
    <tableColumn id="10" xr3:uid="{00000000-0010-0000-0900-00000A000000}" name="Состояния"/>
    <tableColumn id="11" xr3:uid="{00000000-0010-0000-0900-00000B000000}" name="Навигация"/>
    <tableColumn id="12" xr3:uid="{00000000-0010-0000-0900-00000C000000}" name="Метрики успеха"/>
    <tableColumn id="13" xr3:uid="{00000000-0010-0000-0900-00000D000000}" name="Риски"/>
    <tableColumn id="14" xr3:uid="{00000000-0010-0000-0900-00000E000000}" name="Полнота паспорта"/>
    <tableColumn id="15" xr3:uid="{00000000-0010-0000-0900-00000F000000}" name="Вердикт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304">
  <tableColumns count="12">
    <tableColumn id="1" xr3:uid="{00000000-0010-0000-0A00-000001000000}" name="Unit_ID"/>
    <tableColumn id="2" xr3:uid="{00000000-0010-0000-0A00-000002000000}" name="Название"/>
    <tableColumn id="3" xr3:uid="{00000000-0010-0000-0A00-000003000000}" name="Связанный сценарий_ID"/>
    <tableColumn id="4" xr3:uid="{00000000-0010-0000-0A00-000004000000}" name="Ценность для пользователя 1–5"/>
    <tableColumn id="5" xr3:uid="{00000000-0010-0000-0A00-000005000000}" name="Влияние на бизнес 1–5"/>
    <tableColumn id="6" xr3:uid="{00000000-0010-0000-0A00-000006000000}" name="Частота использования 1–5"/>
    <tableColumn id="7" xr3:uid="{00000000-0010-0000-0A00-000007000000}" name="Риск без реализации 1–5"/>
    <tableColumn id="8" xr3:uid="{00000000-0010-0000-0A00-000008000000}" name="Сложность 1–5"/>
    <tableColumn id="9" xr3:uid="{00000000-0010-0000-0A00-000009000000}" name="Итоговый балл"/>
    <tableColumn id="10" xr3:uid="{00000000-0010-0000-0A00-00000A000000}" name="Класс приоритета"/>
    <tableColumn id="11" xr3:uid="{00000000-0010-0000-0A00-00000B000000}" name="Основание"/>
    <tableColumn id="12" xr3:uid="{00000000-0010-0000-0A00-00000C000000}" name="Решение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>
  <tableColumns count="6">
    <tableColumn id="1" xr3:uid="{00000000-0010-0000-0B00-000001000000}" name="Проверка"/>
    <tableColumn id="2" xr3:uid="{00000000-0010-0000-0B00-000002000000}" name="Описание"/>
    <tableColumn id="3" xr3:uid="{00000000-0010-0000-0B00-000003000000}" name="Расчет / критерий"/>
    <tableColumn id="4" xr3:uid="{00000000-0010-0000-0B00-000004000000}" name="Результат"/>
    <tableColumn id="5" xr3:uid="{00000000-0010-0000-0B00-000005000000}" name="Статус"/>
    <tableColumn id="6" xr3:uid="{00000000-0010-0000-0B00-000006000000}" name="Что исправ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tabSelected="1" workbookViewId="0">
      <selection sqref="A1:I1"/>
    </sheetView>
  </sheetViews>
  <sheetFormatPr defaultRowHeight="13.5"/>
  <cols>
    <col min="1" max="1" width="8" customWidth="1"/>
    <col min="2" max="2" width="28" customWidth="1"/>
    <col min="3" max="3" width="78" customWidth="1"/>
  </cols>
  <sheetData>
    <row r="1" spans="1:21" ht="16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1" t="s">
        <v>2</v>
      </c>
      <c r="B4" s="1" t="s">
        <v>3</v>
      </c>
      <c r="C4" s="1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5</v>
      </c>
      <c r="B5" s="2" t="s">
        <v>6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8</v>
      </c>
      <c r="B6" s="2" t="s">
        <v>9</v>
      </c>
      <c r="C6" s="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11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14</v>
      </c>
      <c r="B8" s="2" t="s">
        <v>15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17</v>
      </c>
      <c r="B9" s="2" t="s">
        <v>18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20</v>
      </c>
      <c r="B10" s="2" t="s">
        <v>21</v>
      </c>
      <c r="C10" s="2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23</v>
      </c>
      <c r="B11" s="2" t="s">
        <v>24</v>
      </c>
      <c r="C11" s="2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26</v>
      </c>
      <c r="B12" s="2" t="s">
        <v>27</v>
      </c>
      <c r="C12" s="2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29</v>
      </c>
      <c r="B13" s="2" t="s">
        <v>30</v>
      </c>
      <c r="C13" s="2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5"/>
  <sheetViews>
    <sheetView workbookViewId="0"/>
  </sheetViews>
  <sheetFormatPr defaultRowHeight="13.5"/>
  <cols>
    <col min="1" max="1" width="12" customWidth="1"/>
    <col min="2" max="3" width="24" customWidth="1"/>
    <col min="4" max="4" width="44" customWidth="1"/>
    <col min="5" max="5" width="38" customWidth="1"/>
    <col min="6" max="7" width="14" customWidth="1"/>
    <col min="8" max="8" width="42" customWidth="1"/>
    <col min="9" max="10" width="22" customWidth="1"/>
    <col min="11" max="11" width="38" customWidth="1"/>
  </cols>
  <sheetData>
    <row r="1" spans="1:21" ht="16.05" customHeight="1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310</v>
      </c>
      <c r="B5" s="2" t="s">
        <v>311</v>
      </c>
      <c r="C5" s="2" t="s">
        <v>312</v>
      </c>
      <c r="D5" s="2" t="s">
        <v>313</v>
      </c>
      <c r="E5" s="2" t="s">
        <v>314</v>
      </c>
      <c r="F5" s="2">
        <v>4</v>
      </c>
      <c r="G5" s="2">
        <v>5</v>
      </c>
      <c r="H5" s="2" t="s">
        <v>315</v>
      </c>
      <c r="I5" s="2" t="s">
        <v>47</v>
      </c>
      <c r="J5" s="2" t="s">
        <v>52</v>
      </c>
      <c r="K5" s="2" t="s">
        <v>316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317</v>
      </c>
      <c r="B6" s="2" t="s">
        <v>318</v>
      </c>
      <c r="C6" s="2" t="s">
        <v>319</v>
      </c>
      <c r="D6" s="2" t="s">
        <v>320</v>
      </c>
      <c r="E6" s="2" t="s">
        <v>321</v>
      </c>
      <c r="F6" s="2">
        <v>4</v>
      </c>
      <c r="G6" s="2">
        <v>5</v>
      </c>
      <c r="H6" s="2" t="s">
        <v>322</v>
      </c>
      <c r="I6" s="2" t="s">
        <v>51</v>
      </c>
      <c r="J6" s="2" t="s">
        <v>52</v>
      </c>
      <c r="K6" s="2" t="s">
        <v>323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324</v>
      </c>
      <c r="B7" s="2" t="s">
        <v>325</v>
      </c>
      <c r="C7" s="2" t="s">
        <v>326</v>
      </c>
      <c r="D7" s="2" t="s">
        <v>327</v>
      </c>
      <c r="E7" s="2" t="s">
        <v>328</v>
      </c>
      <c r="F7" s="2">
        <v>4</v>
      </c>
      <c r="G7" s="2">
        <v>5</v>
      </c>
      <c r="H7" s="2" t="s">
        <v>329</v>
      </c>
      <c r="I7" s="2" t="s">
        <v>47</v>
      </c>
      <c r="J7" s="2" t="s">
        <v>52</v>
      </c>
      <c r="K7" s="2" t="s">
        <v>330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331</v>
      </c>
      <c r="B8" s="2" t="s">
        <v>332</v>
      </c>
      <c r="C8" s="2" t="s">
        <v>333</v>
      </c>
      <c r="D8" s="2" t="s">
        <v>334</v>
      </c>
      <c r="E8" s="2" t="s">
        <v>335</v>
      </c>
      <c r="F8" s="2">
        <v>4</v>
      </c>
      <c r="G8" s="2">
        <v>4</v>
      </c>
      <c r="H8" s="2" t="s">
        <v>336</v>
      </c>
      <c r="I8" s="2" t="s">
        <v>51</v>
      </c>
      <c r="J8" s="2" t="s">
        <v>52</v>
      </c>
      <c r="K8" s="2" t="s">
        <v>337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338</v>
      </c>
      <c r="B9" s="2" t="s">
        <v>339</v>
      </c>
      <c r="C9" s="2" t="s">
        <v>340</v>
      </c>
      <c r="D9" s="2" t="s">
        <v>341</v>
      </c>
      <c r="E9" s="2" t="s">
        <v>342</v>
      </c>
      <c r="F9" s="2">
        <v>4</v>
      </c>
      <c r="G9" s="2">
        <v>4</v>
      </c>
      <c r="H9" s="2" t="s">
        <v>343</v>
      </c>
      <c r="I9" s="2" t="s">
        <v>47</v>
      </c>
      <c r="J9" s="2" t="s">
        <v>52</v>
      </c>
      <c r="K9" s="2" t="s">
        <v>344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345</v>
      </c>
      <c r="B10" s="2" t="s">
        <v>346</v>
      </c>
      <c r="C10" s="2" t="s">
        <v>347</v>
      </c>
      <c r="D10" s="2" t="s">
        <v>348</v>
      </c>
      <c r="E10" s="2" t="s">
        <v>349</v>
      </c>
      <c r="F10" s="2">
        <v>4</v>
      </c>
      <c r="G10" s="2">
        <v>5</v>
      </c>
      <c r="H10" s="2" t="s">
        <v>350</v>
      </c>
      <c r="I10" s="2" t="s">
        <v>51</v>
      </c>
      <c r="J10" s="2" t="s">
        <v>52</v>
      </c>
      <c r="K10" s="2" t="s">
        <v>351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352</v>
      </c>
      <c r="B11" s="2" t="s">
        <v>346</v>
      </c>
      <c r="C11" s="2" t="s">
        <v>347</v>
      </c>
      <c r="D11" s="2" t="s">
        <v>353</v>
      </c>
      <c r="E11" s="2" t="s">
        <v>354</v>
      </c>
      <c r="F11" s="2">
        <v>4</v>
      </c>
      <c r="G11" s="2">
        <v>5</v>
      </c>
      <c r="H11" s="2" t="s">
        <v>355</v>
      </c>
      <c r="I11" s="2" t="s">
        <v>47</v>
      </c>
      <c r="J11" s="2" t="s">
        <v>52</v>
      </c>
      <c r="K11" s="2" t="s">
        <v>356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357</v>
      </c>
      <c r="B12" s="2" t="s">
        <v>358</v>
      </c>
      <c r="C12" s="2" t="s">
        <v>359</v>
      </c>
      <c r="D12" s="2" t="s">
        <v>360</v>
      </c>
      <c r="E12" s="2" t="s">
        <v>361</v>
      </c>
      <c r="F12" s="2">
        <v>4</v>
      </c>
      <c r="G12" s="2">
        <v>4</v>
      </c>
      <c r="H12" s="2" t="s">
        <v>362</v>
      </c>
      <c r="I12" s="2" t="s">
        <v>51</v>
      </c>
      <c r="J12" s="2" t="s">
        <v>52</v>
      </c>
      <c r="K12" s="2" t="s">
        <v>363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364</v>
      </c>
      <c r="B13" s="2" t="s">
        <v>365</v>
      </c>
      <c r="C13" s="2" t="s">
        <v>347</v>
      </c>
      <c r="D13" s="2" t="s">
        <v>366</v>
      </c>
      <c r="E13" s="2" t="s">
        <v>367</v>
      </c>
      <c r="F13" s="2">
        <v>4</v>
      </c>
      <c r="G13" s="2">
        <v>4</v>
      </c>
      <c r="H13" s="2" t="s">
        <v>368</v>
      </c>
      <c r="I13" s="2" t="s">
        <v>47</v>
      </c>
      <c r="J13" s="2" t="s">
        <v>52</v>
      </c>
      <c r="K13" s="2" t="s">
        <v>369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7">
      <c r="A14" s="2" t="s">
        <v>370</v>
      </c>
      <c r="B14" s="2" t="s">
        <v>371</v>
      </c>
      <c r="C14" s="2" t="s">
        <v>372</v>
      </c>
      <c r="D14" s="2" t="s">
        <v>373</v>
      </c>
      <c r="E14" s="2" t="s">
        <v>374</v>
      </c>
      <c r="F14" s="2">
        <v>4</v>
      </c>
      <c r="G14" s="2">
        <v>5</v>
      </c>
      <c r="H14" s="2" t="s">
        <v>375</v>
      </c>
      <c r="I14" s="2" t="s">
        <v>51</v>
      </c>
      <c r="J14" s="2" t="s">
        <v>52</v>
      </c>
      <c r="K14" s="2" t="s">
        <v>376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7">
      <c r="A15" s="2" t="s">
        <v>377</v>
      </c>
      <c r="B15" s="2" t="s">
        <v>378</v>
      </c>
      <c r="C15" s="2" t="s">
        <v>319</v>
      </c>
      <c r="D15" s="2" t="s">
        <v>379</v>
      </c>
      <c r="E15" s="2" t="s">
        <v>380</v>
      </c>
      <c r="F15" s="2">
        <v>4</v>
      </c>
      <c r="G15" s="2">
        <v>4</v>
      </c>
      <c r="H15" s="2" t="s">
        <v>381</v>
      </c>
      <c r="I15" s="2" t="s">
        <v>47</v>
      </c>
      <c r="J15" s="2" t="s">
        <v>52</v>
      </c>
      <c r="K15" s="2" t="s">
        <v>382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7">
      <c r="A16" s="2" t="s">
        <v>383</v>
      </c>
      <c r="B16" s="2" t="s">
        <v>384</v>
      </c>
      <c r="C16" s="2" t="s">
        <v>385</v>
      </c>
      <c r="D16" s="2" t="s">
        <v>386</v>
      </c>
      <c r="E16" s="2" t="s">
        <v>387</v>
      </c>
      <c r="F16" s="2">
        <v>4</v>
      </c>
      <c r="G16" s="2">
        <v>4</v>
      </c>
      <c r="H16" s="2" t="s">
        <v>388</v>
      </c>
      <c r="I16" s="2" t="s">
        <v>51</v>
      </c>
      <c r="J16" s="2" t="s">
        <v>52</v>
      </c>
      <c r="K16" s="2" t="s">
        <v>389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dataValidations count="2">
    <dataValidation type="list" sqref="B5:B204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204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5"/>
  <sheetViews>
    <sheetView workbookViewId="0"/>
  </sheetViews>
  <sheetFormatPr defaultRowHeight="13.5"/>
  <cols>
    <col min="1" max="1" width="12" customWidth="1"/>
    <col min="2" max="2" width="24" customWidth="1"/>
    <col min="3" max="3" width="34" customWidth="1"/>
    <col min="4" max="4" width="38" customWidth="1"/>
    <col min="5" max="5" width="34" customWidth="1"/>
    <col min="6" max="6" width="18" customWidth="1"/>
    <col min="7" max="7" width="20" customWidth="1"/>
    <col min="8" max="8" width="14" customWidth="1"/>
    <col min="9" max="9" width="22" customWidth="1"/>
    <col min="10" max="10" width="34" customWidth="1"/>
  </cols>
  <sheetData>
    <row r="1" spans="1:21" ht="16.05" customHeight="1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54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47</v>
      </c>
      <c r="B5" s="2" t="s">
        <v>390</v>
      </c>
      <c r="C5" s="2" t="s">
        <v>391</v>
      </c>
      <c r="D5" s="2" t="s">
        <v>392</v>
      </c>
      <c r="E5" s="2" t="s">
        <v>393</v>
      </c>
      <c r="F5" s="2" t="s">
        <v>65</v>
      </c>
      <c r="G5" s="2" t="s">
        <v>394</v>
      </c>
      <c r="H5" s="2">
        <v>5</v>
      </c>
      <c r="I5" s="2" t="s">
        <v>395</v>
      </c>
      <c r="J5" s="2" t="s">
        <v>370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51</v>
      </c>
      <c r="B6" s="2" t="s">
        <v>396</v>
      </c>
      <c r="C6" s="2" t="s">
        <v>397</v>
      </c>
      <c r="D6" s="2" t="s">
        <v>398</v>
      </c>
      <c r="E6" s="2" t="s">
        <v>399</v>
      </c>
      <c r="F6" s="2" t="s">
        <v>65</v>
      </c>
      <c r="G6" s="2" t="s">
        <v>394</v>
      </c>
      <c r="H6" s="2">
        <v>3</v>
      </c>
      <c r="I6" s="2" t="s">
        <v>400</v>
      </c>
      <c r="J6" s="2" t="s">
        <v>331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401</v>
      </c>
      <c r="B7" s="2" t="s">
        <v>402</v>
      </c>
      <c r="C7" s="2" t="s">
        <v>403</v>
      </c>
      <c r="D7" s="2" t="s">
        <v>404</v>
      </c>
      <c r="E7" s="2" t="s">
        <v>405</v>
      </c>
      <c r="F7" s="2" t="s">
        <v>65</v>
      </c>
      <c r="G7" s="2" t="s">
        <v>394</v>
      </c>
      <c r="H7" s="2">
        <v>4</v>
      </c>
      <c r="I7" s="2" t="s">
        <v>406</v>
      </c>
      <c r="J7" s="2" t="s">
        <v>357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40.5">
      <c r="A8" s="2" t="s">
        <v>407</v>
      </c>
      <c r="B8" s="2" t="s">
        <v>408</v>
      </c>
      <c r="C8" s="2" t="s">
        <v>409</v>
      </c>
      <c r="D8" s="2" t="s">
        <v>410</v>
      </c>
      <c r="E8" s="2" t="s">
        <v>411</v>
      </c>
      <c r="F8" s="2" t="s">
        <v>65</v>
      </c>
      <c r="G8" s="2" t="s">
        <v>394</v>
      </c>
      <c r="H8" s="2">
        <v>3</v>
      </c>
      <c r="I8" s="2" t="s">
        <v>412</v>
      </c>
      <c r="J8" s="2" t="s">
        <v>383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413</v>
      </c>
      <c r="B9" s="2" t="s">
        <v>414</v>
      </c>
      <c r="C9" s="2" t="s">
        <v>415</v>
      </c>
      <c r="D9" s="2" t="s">
        <v>416</v>
      </c>
      <c r="E9" s="2" t="s">
        <v>417</v>
      </c>
      <c r="F9" s="2" t="s">
        <v>65</v>
      </c>
      <c r="G9" s="2" t="s">
        <v>394</v>
      </c>
      <c r="H9" s="2">
        <v>2</v>
      </c>
      <c r="I9" s="2" t="s">
        <v>418</v>
      </c>
      <c r="J9" s="2" t="s">
        <v>364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2">
    <dataValidation type="list" sqref="H5:H104" xr:uid="{00000000-0002-0000-0200-000000000000}">
      <formula1>"1,2,3,4,5"</formula1>
    </dataValidation>
    <dataValidation type="list" sqref="I5:I104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5"/>
  <sheetViews>
    <sheetView workbookViewId="0"/>
  </sheetViews>
  <sheetFormatPr defaultRowHeight="13.5"/>
  <cols>
    <col min="1" max="1" width="13" customWidth="1"/>
    <col min="2" max="2" width="12" customWidth="1"/>
    <col min="3" max="3" width="20" customWidth="1"/>
    <col min="4" max="5" width="34" customWidth="1"/>
    <col min="6" max="6" width="48" customWidth="1"/>
    <col min="7" max="7" width="40" customWidth="1"/>
    <col min="8" max="8" width="38" customWidth="1"/>
    <col min="9" max="9" width="30" customWidth="1"/>
    <col min="10" max="10" width="14" customWidth="1"/>
    <col min="11" max="12" width="12" customWidth="1"/>
    <col min="13" max="13" width="16" customWidth="1"/>
    <col min="14" max="14" width="20" customWidth="1"/>
    <col min="15" max="15" width="16" customWidth="1"/>
  </cols>
  <sheetData>
    <row r="1" spans="1:21" ht="16.05" customHeight="1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16.05" customHeight="1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70</v>
      </c>
      <c r="B4" s="3" t="s">
        <v>55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2"/>
      <c r="Q4" s="2"/>
      <c r="R4" s="2"/>
      <c r="S4" s="2"/>
      <c r="T4" s="2"/>
      <c r="U4" s="2"/>
    </row>
    <row r="5" spans="1:21" ht="27">
      <c r="A5" s="2" t="s">
        <v>52</v>
      </c>
      <c r="B5" s="2" t="s">
        <v>47</v>
      </c>
      <c r="C5" s="2" t="s">
        <v>419</v>
      </c>
      <c r="D5" s="2" t="s">
        <v>420</v>
      </c>
      <c r="E5" s="2" t="s">
        <v>421</v>
      </c>
      <c r="F5" s="2" t="s">
        <v>422</v>
      </c>
      <c r="G5" s="2" t="s">
        <v>423</v>
      </c>
      <c r="H5" s="2" t="s">
        <v>424</v>
      </c>
      <c r="I5" s="2" t="s">
        <v>425</v>
      </c>
      <c r="J5" s="2">
        <v>5</v>
      </c>
      <c r="K5" s="2">
        <v>5</v>
      </c>
      <c r="L5" s="2">
        <v>3</v>
      </c>
      <c r="M5" s="2">
        <f>IF(A5="","",COUNTIF(Страницы_и_экраны!$E$5:$E$304,A5))</f>
        <v>5</v>
      </c>
      <c r="N5" s="2" t="str">
        <f t="shared" ref="N5:N68" si="0">IF(A5="","",IF(M5&gt;0,"Покрыт","Нет страницы/экрана"))</f>
        <v>Покрыт</v>
      </c>
      <c r="O5" s="2">
        <f t="shared" ref="O5:O68" si="1">IF(A5="","",MAX(0,MIN(100,ROUND(((J5*0.45)+(K5*0.35)-(L5*0.2))*20,0))))</f>
        <v>68</v>
      </c>
      <c r="P5" s="2"/>
      <c r="Q5" s="2"/>
      <c r="R5" s="2"/>
      <c r="S5" s="2"/>
      <c r="T5" s="2"/>
      <c r="U5" s="2"/>
    </row>
    <row r="6" spans="1:21">
      <c r="A6" s="2" t="s">
        <v>85</v>
      </c>
      <c r="B6" s="2" t="s">
        <v>47</v>
      </c>
      <c r="C6" s="2" t="s">
        <v>86</v>
      </c>
      <c r="D6" s="2" t="s">
        <v>426</v>
      </c>
      <c r="E6" s="2" t="s">
        <v>427</v>
      </c>
      <c r="F6" s="2" t="s">
        <v>428</v>
      </c>
      <c r="G6" s="2" t="s">
        <v>429</v>
      </c>
      <c r="H6" s="2" t="s">
        <v>424</v>
      </c>
      <c r="I6" s="2" t="s">
        <v>430</v>
      </c>
      <c r="J6" s="2">
        <v>4</v>
      </c>
      <c r="K6" s="2">
        <v>5</v>
      </c>
      <c r="L6" s="2">
        <v>3</v>
      </c>
      <c r="M6" s="2">
        <f>IF(A6="","",COUNTIF(Страницы_и_экраны!$E$5:$E$304,A6))</f>
        <v>1</v>
      </c>
      <c r="N6" s="2" t="str">
        <f t="shared" si="0"/>
        <v>Покрыт</v>
      </c>
      <c r="O6" s="2">
        <f t="shared" si="1"/>
        <v>59</v>
      </c>
      <c r="P6" s="2"/>
      <c r="Q6" s="2"/>
      <c r="R6" s="2"/>
      <c r="S6" s="2"/>
      <c r="T6" s="2"/>
      <c r="U6" s="2"/>
    </row>
    <row r="7" spans="1:21">
      <c r="A7" s="2" t="s">
        <v>48</v>
      </c>
      <c r="B7" s="2" t="s">
        <v>51</v>
      </c>
      <c r="C7" s="2" t="s">
        <v>301</v>
      </c>
      <c r="D7" s="2" t="s">
        <v>431</v>
      </c>
      <c r="E7" s="2" t="s">
        <v>432</v>
      </c>
      <c r="F7" s="2" t="s">
        <v>433</v>
      </c>
      <c r="G7" s="2" t="s">
        <v>434</v>
      </c>
      <c r="H7" s="2" t="s">
        <v>424</v>
      </c>
      <c r="I7" s="2" t="s">
        <v>435</v>
      </c>
      <c r="J7" s="2">
        <v>5</v>
      </c>
      <c r="K7" s="2">
        <v>4</v>
      </c>
      <c r="L7" s="2">
        <v>3</v>
      </c>
      <c r="M7" s="2">
        <f>IF(A7="","",COUNTIF(Страницы_и_экраны!$E$5:$E$304,A7))</f>
        <v>2</v>
      </c>
      <c r="N7" s="2" t="str">
        <f t="shared" si="0"/>
        <v>Покрыт</v>
      </c>
      <c r="O7" s="2">
        <f t="shared" si="1"/>
        <v>61</v>
      </c>
      <c r="P7" s="2"/>
      <c r="Q7" s="2"/>
      <c r="R7" s="2"/>
      <c r="S7" s="2"/>
      <c r="T7" s="2"/>
      <c r="U7" s="2"/>
    </row>
    <row r="8" spans="1:21">
      <c r="A8" s="2" t="s">
        <v>436</v>
      </c>
      <c r="B8" s="2" t="s">
        <v>47</v>
      </c>
      <c r="C8" s="2" t="s">
        <v>301</v>
      </c>
      <c r="D8" s="2" t="s">
        <v>437</v>
      </c>
      <c r="E8" s="2" t="s">
        <v>438</v>
      </c>
      <c r="F8" s="2" t="s">
        <v>439</v>
      </c>
      <c r="G8" s="2" t="s">
        <v>440</v>
      </c>
      <c r="H8" s="2" t="s">
        <v>424</v>
      </c>
      <c r="I8" s="2" t="s">
        <v>441</v>
      </c>
      <c r="J8" s="2">
        <v>4</v>
      </c>
      <c r="K8" s="2">
        <v>4</v>
      </c>
      <c r="L8" s="2">
        <v>3</v>
      </c>
      <c r="M8" s="2">
        <f>IF(A8="","",COUNTIF(Страницы_и_экраны!$E$5:$E$304,A8))</f>
        <v>1</v>
      </c>
      <c r="N8" s="2" t="str">
        <f t="shared" si="0"/>
        <v>Покрыт</v>
      </c>
      <c r="O8" s="2">
        <f t="shared" si="1"/>
        <v>52</v>
      </c>
      <c r="P8" s="2"/>
      <c r="Q8" s="2"/>
      <c r="R8" s="2"/>
      <c r="S8" s="2"/>
      <c r="T8" s="2"/>
      <c r="U8" s="2"/>
    </row>
    <row r="9" spans="1:21">
      <c r="A9" s="2" t="s">
        <v>442</v>
      </c>
      <c r="B9" s="2" t="s">
        <v>47</v>
      </c>
      <c r="C9" s="2" t="s">
        <v>419</v>
      </c>
      <c r="D9" s="2" t="s">
        <v>443</v>
      </c>
      <c r="E9" s="2" t="s">
        <v>444</v>
      </c>
      <c r="F9" s="2" t="s">
        <v>445</v>
      </c>
      <c r="G9" s="2" t="s">
        <v>446</v>
      </c>
      <c r="H9" s="2" t="s">
        <v>424</v>
      </c>
      <c r="I9" s="2" t="s">
        <v>116</v>
      </c>
      <c r="J9" s="2">
        <v>5</v>
      </c>
      <c r="K9" s="2">
        <v>5</v>
      </c>
      <c r="L9" s="2">
        <v>3</v>
      </c>
      <c r="M9" s="2">
        <f>IF(A9="","",COUNTIF(Страницы_и_экраны!$E$5:$E$304,A9))</f>
        <v>1</v>
      </c>
      <c r="N9" s="2" t="str">
        <f t="shared" si="0"/>
        <v>Покрыт</v>
      </c>
      <c r="O9" s="2">
        <f t="shared" si="1"/>
        <v>68</v>
      </c>
      <c r="P9" s="2"/>
      <c r="Q9" s="2"/>
      <c r="R9" s="2"/>
      <c r="S9" s="2"/>
      <c r="T9" s="2"/>
      <c r="U9" s="2"/>
    </row>
    <row r="10" spans="1:21" ht="27">
      <c r="A10" s="2" t="s">
        <v>447</v>
      </c>
      <c r="B10" s="2" t="s">
        <v>51</v>
      </c>
      <c r="C10" s="2" t="s">
        <v>419</v>
      </c>
      <c r="D10" s="2" t="s">
        <v>448</v>
      </c>
      <c r="E10" s="2" t="s">
        <v>449</v>
      </c>
      <c r="F10" s="2" t="s">
        <v>450</v>
      </c>
      <c r="G10" s="2" t="s">
        <v>451</v>
      </c>
      <c r="H10" s="2" t="s">
        <v>424</v>
      </c>
      <c r="I10" s="2" t="s">
        <v>452</v>
      </c>
      <c r="J10" s="2">
        <v>4</v>
      </c>
      <c r="K10" s="2">
        <v>3</v>
      </c>
      <c r="L10" s="2">
        <v>3</v>
      </c>
      <c r="M10" s="2">
        <f>IF(A10="","",COUNTIF(Страницы_и_экраны!$E$5:$E$304,A10))</f>
        <v>1</v>
      </c>
      <c r="N10" s="2" t="str">
        <f t="shared" si="0"/>
        <v>Покрыт</v>
      </c>
      <c r="O10" s="2">
        <f t="shared" si="1"/>
        <v>45</v>
      </c>
      <c r="P10" s="2"/>
      <c r="Q10" s="2"/>
      <c r="R10" s="2"/>
      <c r="S10" s="2"/>
      <c r="T10" s="2"/>
      <c r="U10" s="2"/>
    </row>
    <row r="11" spans="1:21" ht="27">
      <c r="A11" s="2" t="s">
        <v>453</v>
      </c>
      <c r="B11" s="2" t="s">
        <v>51</v>
      </c>
      <c r="C11" s="2" t="s">
        <v>419</v>
      </c>
      <c r="D11" s="2" t="s">
        <v>454</v>
      </c>
      <c r="E11" s="2" t="s">
        <v>455</v>
      </c>
      <c r="F11" s="2" t="s">
        <v>456</v>
      </c>
      <c r="G11" s="2" t="s">
        <v>457</v>
      </c>
      <c r="H11" s="2" t="s">
        <v>424</v>
      </c>
      <c r="I11" s="2" t="s">
        <v>458</v>
      </c>
      <c r="J11" s="2">
        <v>4</v>
      </c>
      <c r="K11" s="2">
        <v>3</v>
      </c>
      <c r="L11" s="2">
        <v>3</v>
      </c>
      <c r="M11" s="2">
        <f>IF(A11="","",COUNTIF(Страницы_и_экраны!$E$5:$E$304,A11))</f>
        <v>0</v>
      </c>
      <c r="N11" s="2" t="str">
        <f t="shared" si="0"/>
        <v>Нет страницы/экрана</v>
      </c>
      <c r="O11" s="2">
        <f t="shared" si="1"/>
        <v>45</v>
      </c>
      <c r="P11" s="2"/>
      <c r="Q11" s="2"/>
      <c r="R11" s="2"/>
      <c r="S11" s="2"/>
      <c r="T11" s="2"/>
      <c r="U11" s="2"/>
    </row>
    <row r="12" spans="1:21">
      <c r="A12" s="2" t="s">
        <v>459</v>
      </c>
      <c r="B12" s="2" t="s">
        <v>413</v>
      </c>
      <c r="C12" s="2" t="s">
        <v>284</v>
      </c>
      <c r="D12" s="2" t="s">
        <v>460</v>
      </c>
      <c r="E12" s="2" t="s">
        <v>461</v>
      </c>
      <c r="F12" s="2" t="s">
        <v>462</v>
      </c>
      <c r="G12" s="2" t="s">
        <v>463</v>
      </c>
      <c r="H12" s="2" t="s">
        <v>424</v>
      </c>
      <c r="I12" s="2" t="s">
        <v>464</v>
      </c>
      <c r="J12" s="2">
        <v>3</v>
      </c>
      <c r="K12" s="2">
        <v>2</v>
      </c>
      <c r="L12" s="2">
        <v>3</v>
      </c>
      <c r="M12" s="2">
        <f>IF(A12="","",COUNTIF(Страницы_и_экраны!$E$5:$E$304,A12))</f>
        <v>0</v>
      </c>
      <c r="N12" s="2" t="str">
        <f t="shared" si="0"/>
        <v>Нет страницы/экрана</v>
      </c>
      <c r="O12" s="2">
        <f t="shared" si="1"/>
        <v>29</v>
      </c>
      <c r="P12" s="2"/>
      <c r="Q12" s="2"/>
      <c r="R12" s="2"/>
      <c r="S12" s="2"/>
      <c r="T12" s="2"/>
      <c r="U12" s="2"/>
    </row>
    <row r="13" spans="1:21">
      <c r="A13" s="2" t="s">
        <v>465</v>
      </c>
      <c r="B13" s="2" t="s">
        <v>413</v>
      </c>
      <c r="C13" s="2" t="s">
        <v>301</v>
      </c>
      <c r="D13" s="2" t="s">
        <v>466</v>
      </c>
      <c r="E13" s="2" t="s">
        <v>467</v>
      </c>
      <c r="F13" s="2" t="s">
        <v>468</v>
      </c>
      <c r="G13" s="2" t="s">
        <v>469</v>
      </c>
      <c r="H13" s="2" t="s">
        <v>424</v>
      </c>
      <c r="I13" s="2" t="s">
        <v>470</v>
      </c>
      <c r="J13" s="2">
        <v>3</v>
      </c>
      <c r="K13" s="2">
        <v>2</v>
      </c>
      <c r="L13" s="2">
        <v>3</v>
      </c>
      <c r="M13" s="2">
        <f>IF(A13="","",COUNTIF(Страницы_и_экраны!$E$5:$E$304,A13))</f>
        <v>1</v>
      </c>
      <c r="N13" s="2" t="str">
        <f t="shared" si="0"/>
        <v>Покрыт</v>
      </c>
      <c r="O13" s="2">
        <f t="shared" si="1"/>
        <v>29</v>
      </c>
      <c r="P13" s="2"/>
      <c r="Q13" s="2"/>
      <c r="R13" s="2"/>
      <c r="S13" s="2"/>
      <c r="T13" s="2"/>
      <c r="U13" s="2"/>
    </row>
    <row r="14" spans="1:21">
      <c r="A14" s="2" t="s">
        <v>471</v>
      </c>
      <c r="B14" s="2" t="s">
        <v>401</v>
      </c>
      <c r="C14" s="2" t="s">
        <v>306</v>
      </c>
      <c r="D14" s="2" t="s">
        <v>472</v>
      </c>
      <c r="E14" s="2" t="s">
        <v>473</v>
      </c>
      <c r="F14" s="2" t="s">
        <v>474</v>
      </c>
      <c r="G14" s="2" t="s">
        <v>475</v>
      </c>
      <c r="H14" s="2" t="s">
        <v>424</v>
      </c>
      <c r="I14" s="2" t="s">
        <v>476</v>
      </c>
      <c r="J14" s="2">
        <v>4</v>
      </c>
      <c r="K14" s="2">
        <v>2</v>
      </c>
      <c r="L14" s="2">
        <v>3</v>
      </c>
      <c r="M14" s="2">
        <f>IF(A14="","",COUNTIF(Страницы_и_экраны!$E$5:$E$304,A14))</f>
        <v>2</v>
      </c>
      <c r="N14" s="2" t="str">
        <f t="shared" si="0"/>
        <v>Покрыт</v>
      </c>
      <c r="O14" s="2">
        <f t="shared" si="1"/>
        <v>38</v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tr">
        <f>IF(A15="","",COUNTIF(Страницы_и_экраны!$E$5:$E$304,A15))</f>
        <v/>
      </c>
      <c r="N15" s="2" t="str">
        <f t="shared" si="0"/>
        <v/>
      </c>
      <c r="O15" s="2" t="str">
        <f t="shared" si="1"/>
        <v/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tr">
        <f>IF(A16="","",COUNTIF(Страницы_и_экраны!$E$5:$E$304,A16))</f>
        <v/>
      </c>
      <c r="N16" s="2" t="str">
        <f t="shared" si="0"/>
        <v/>
      </c>
      <c r="O16" s="2" t="str">
        <f t="shared" si="1"/>
        <v/>
      </c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tr">
        <f>IF(A17="","",COUNTIF(Страницы_и_экраны!$E$5:$E$304,A17))</f>
        <v/>
      </c>
      <c r="N17" s="2" t="str">
        <f t="shared" si="0"/>
        <v/>
      </c>
      <c r="O17" s="2" t="str">
        <f t="shared" si="1"/>
        <v/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tr">
        <f>IF(A18="","",COUNTIF(Страницы_и_экраны!$E$5:$E$304,A18))</f>
        <v/>
      </c>
      <c r="N18" s="2" t="str">
        <f t="shared" si="0"/>
        <v/>
      </c>
      <c r="O18" s="2" t="str">
        <f t="shared" si="1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tr">
        <f>IF(A19="","",COUNTIF(Страницы_и_экраны!$E$5:$E$304,A19))</f>
        <v/>
      </c>
      <c r="N19" s="2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tr">
        <f>IF(A20="","",COUNTIF(Страницы_и_экраны!$E$5:$E$304,A20))</f>
        <v/>
      </c>
      <c r="N20" s="2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tr">
        <f>IF(A21="","",COUNTIF(Страницы_и_экраны!$E$5:$E$304,A21))</f>
        <v/>
      </c>
      <c r="N21" s="2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tr">
        <f>IF(A22="","",COUNTIF(Страницы_и_экраны!$E$5:$E$304,A22))</f>
        <v/>
      </c>
      <c r="N22" s="2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tr">
        <f>IF(A23="","",COUNTIF(Страницы_и_экраны!$E$5:$E$304,A23))</f>
        <v/>
      </c>
      <c r="N23" s="2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tr">
        <f>IF(A24="","",COUNTIF(Страницы_и_экраны!$E$5:$E$304,A24))</f>
        <v/>
      </c>
      <c r="N24" s="2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tr">
        <f>IF(A25="","",COUNTIF(Страницы_и_экраны!$E$5:$E$304,A25))</f>
        <v/>
      </c>
      <c r="N25" s="2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tr">
        <f>IF(A26="","",COUNTIF(Страницы_и_экраны!$E$5:$E$304,A26))</f>
        <v/>
      </c>
      <c r="N26" s="2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tr">
        <f>IF(A27="","",COUNTIF(Страницы_и_экраны!$E$5:$E$304,A27))</f>
        <v/>
      </c>
      <c r="N27" s="2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tr">
        <f>IF(A28="","",COUNTIF(Страницы_и_экраны!$E$5:$E$304,A28))</f>
        <v/>
      </c>
      <c r="N28" s="2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tr">
        <f>IF(A29="","",COUNTIF(Страницы_и_экраны!$E$5:$E$304,A29))</f>
        <v/>
      </c>
      <c r="N29" s="2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tr">
        <f>IF(A30="","",COUNTIF(Страницы_и_экраны!$E$5:$E$304,A30))</f>
        <v/>
      </c>
      <c r="N30" s="2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tr">
        <f>IF(A31="","",COUNTIF(Страницы_и_экраны!$E$5:$E$304,A31))</f>
        <v/>
      </c>
      <c r="N31" s="2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>IF(A32="","",COUNTIF(Страницы_и_экраны!$E$5:$E$304,A32))</f>
        <v/>
      </c>
      <c r="N32" s="2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>IF(A33="","",COUNTIF(Страницы_и_экраны!$E$5:$E$304,A33))</f>
        <v/>
      </c>
      <c r="N33" s="2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>IF(A34="","",COUNTIF(Страницы_и_экраны!$E$5:$E$304,A34))</f>
        <v/>
      </c>
      <c r="N34" s="2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>IF(A35="","",COUNTIF(Страницы_и_экраны!$E$5:$E$304,A35))</f>
        <v/>
      </c>
      <c r="N35" s="2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>IF(A36="","",COUNTIF(Страницы_и_экраны!$E$5:$E$304,A36))</f>
        <v/>
      </c>
      <c r="N36" s="2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>IF(A37="","",COUNTIF(Страницы_и_экраны!$E$5:$E$304,A37))</f>
        <v/>
      </c>
      <c r="N37" s="2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>IF(A38="","",COUNTIF(Страницы_и_экраны!$E$5:$E$304,A38))</f>
        <v/>
      </c>
      <c r="N38" s="2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>IF(A39="","",COUNTIF(Страницы_и_экраны!$E$5:$E$304,A39))</f>
        <v/>
      </c>
      <c r="N39" s="2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>IF(A40="","",COUNTIF(Страницы_и_экраны!$E$5:$E$304,A40))</f>
        <v/>
      </c>
      <c r="N40" s="2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>IF(A41="","",COUNTIF(Страницы_и_экраны!$E$5:$E$304,A41))</f>
        <v/>
      </c>
      <c r="N41" s="2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>IF(A42="","",COUNTIF(Страницы_и_экраны!$E$5:$E$304,A42))</f>
        <v/>
      </c>
      <c r="N42" s="2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>IF(A43="","",COUNTIF(Страницы_и_экраны!$E$5:$E$304,A43))</f>
        <v/>
      </c>
      <c r="N43" s="2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>IF(A44="","",COUNTIF(Страницы_и_экраны!$E$5:$E$304,A44))</f>
        <v/>
      </c>
      <c r="N44" s="2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>IF(A45="","",COUNTIF(Страницы_и_экраны!$E$5:$E$304,A45))</f>
        <v/>
      </c>
      <c r="N45" s="2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>IF(A46="","",COUNTIF(Страницы_и_экраны!$E$5:$E$304,A46))</f>
        <v/>
      </c>
      <c r="N46" s="2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>IF(A47="","",COUNTIF(Страницы_и_экраны!$E$5:$E$304,A47))</f>
        <v/>
      </c>
      <c r="N47" s="2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>IF(A48="","",COUNTIF(Страницы_и_экраны!$E$5:$E$304,A48))</f>
        <v/>
      </c>
      <c r="N48" s="2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>IF(A49="","",COUNTIF(Страницы_и_экраны!$E$5:$E$304,A49))</f>
        <v/>
      </c>
      <c r="N49" s="2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>IF(A50="","",COUNTIF(Страницы_и_экраны!$E$5:$E$304,A50))</f>
        <v/>
      </c>
      <c r="N50" s="2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>IF(A51="","",COUNTIF(Страницы_и_экраны!$E$5:$E$304,A51))</f>
        <v/>
      </c>
      <c r="N51" s="2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>IF(A52="","",COUNTIF(Страницы_и_экраны!$E$5:$E$304,A52))</f>
        <v/>
      </c>
      <c r="N52" s="2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>IF(A53="","",COUNTIF(Страницы_и_экраны!$E$5:$E$304,A53))</f>
        <v/>
      </c>
      <c r="N53" s="2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>IF(A54="","",COUNTIF(Страницы_и_экраны!$E$5:$E$304,A54))</f>
        <v/>
      </c>
      <c r="N54" s="2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>IF(A55="","",COUNTIF(Страницы_и_экраны!$E$5:$E$304,A55))</f>
        <v/>
      </c>
      <c r="N55" s="2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>IF(A56="","",COUNTIF(Страницы_и_экраны!$E$5:$E$304,A56))</f>
        <v/>
      </c>
      <c r="N56" s="2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>IF(A57="","",COUNTIF(Страницы_и_экраны!$E$5:$E$304,A57))</f>
        <v/>
      </c>
      <c r="N57" s="2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>IF(A58="","",COUNTIF(Страницы_и_экраны!$E$5:$E$304,A58))</f>
        <v/>
      </c>
      <c r="N58" s="2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>IF(A59="","",COUNTIF(Страницы_и_экраны!$E$5:$E$304,A59))</f>
        <v/>
      </c>
      <c r="N59" s="2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>IF(A60="","",COUNTIF(Страницы_и_экраны!$E$5:$E$304,A60))</f>
        <v/>
      </c>
      <c r="N60" s="2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>IF(A61="","",COUNTIF(Страницы_и_экраны!$E$5:$E$304,A61))</f>
        <v/>
      </c>
      <c r="N61" s="2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>IF(A62="","",COUNTIF(Страницы_и_экраны!$E$5:$E$304,A62))</f>
        <v/>
      </c>
      <c r="N62" s="2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>IF(A63="","",COUNTIF(Страницы_и_экраны!$E$5:$E$304,A63))</f>
        <v/>
      </c>
      <c r="N63" s="2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>IF(A64="","",COUNTIF(Страницы_и_экраны!$E$5:$E$304,A64))</f>
        <v/>
      </c>
      <c r="N64" s="2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>IF(A65="","",COUNTIF(Страницы_и_экраны!$E$5:$E$304,A65))</f>
        <v/>
      </c>
      <c r="N65" s="2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>IF(A66="","",COUNTIF(Страницы_и_экраны!$E$5:$E$304,A66))</f>
        <v/>
      </c>
      <c r="N66" s="2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>IF(A67="","",COUNTIF(Страницы_и_экраны!$E$5:$E$304,A67))</f>
        <v/>
      </c>
      <c r="N67" s="2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>IF(A68="","",COUNTIF(Страницы_и_экраны!$E$5:$E$304,A68))</f>
        <v/>
      </c>
      <c r="N68" s="2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>IF(A69="","",COUNTIF(Страницы_и_экраны!$E$5:$E$304,A69))</f>
        <v/>
      </c>
      <c r="N69" s="2" t="str">
        <f t="shared" ref="N69:N132" si="2">IF(A69="","",IF(M69&gt;0,"Покрыт","Нет страницы/экрана"))</f>
        <v/>
      </c>
      <c r="O69" s="2" t="str">
        <f t="shared" ref="O69:O132" si="3">IF(A69="","",MAX(0,MIN(100,ROUND(((J69*0.45)+(K69*0.35)-(L69*0.2))*20,0))))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>IF(A70="","",COUNTIF(Страницы_и_экраны!$E$5:$E$304,A70))</f>
        <v/>
      </c>
      <c r="N70" s="2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>IF(A71="","",COUNTIF(Страницы_и_экраны!$E$5:$E$304,A71))</f>
        <v/>
      </c>
      <c r="N71" s="2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>IF(A72="","",COUNTIF(Страницы_и_экраны!$E$5:$E$304,A72))</f>
        <v/>
      </c>
      <c r="N72" s="2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>IF(A73="","",COUNTIF(Страницы_и_экраны!$E$5:$E$304,A73))</f>
        <v/>
      </c>
      <c r="N73" s="2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>IF(A74="","",COUNTIF(Страницы_и_экраны!$E$5:$E$304,A74))</f>
        <v/>
      </c>
      <c r="N74" s="2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>IF(A75="","",COUNTIF(Страницы_и_экраны!$E$5:$E$304,A75))</f>
        <v/>
      </c>
      <c r="N75" s="2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>IF(A76="","",COUNTIF(Страницы_и_экраны!$E$5:$E$304,A76))</f>
        <v/>
      </c>
      <c r="N76" s="2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>IF(A77="","",COUNTIF(Страницы_и_экраны!$E$5:$E$304,A77))</f>
        <v/>
      </c>
      <c r="N77" s="2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>IF(A78="","",COUNTIF(Страницы_и_экраны!$E$5:$E$304,A78))</f>
        <v/>
      </c>
      <c r="N78" s="2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>IF(A79="","",COUNTIF(Страницы_и_экраны!$E$5:$E$304,A79))</f>
        <v/>
      </c>
      <c r="N79" s="2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>IF(A80="","",COUNTIF(Страницы_и_экраны!$E$5:$E$304,A80))</f>
        <v/>
      </c>
      <c r="N80" s="2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>IF(A81="","",COUNTIF(Страницы_и_экраны!$E$5:$E$304,A81))</f>
        <v/>
      </c>
      <c r="N81" s="2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>IF(A82="","",COUNTIF(Страницы_и_экраны!$E$5:$E$304,A82))</f>
        <v/>
      </c>
      <c r="N82" s="2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>IF(A83="","",COUNTIF(Страницы_и_экраны!$E$5:$E$304,A83))</f>
        <v/>
      </c>
      <c r="N83" s="2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>IF(A84="","",COUNTIF(Страницы_и_экраны!$E$5:$E$304,A84))</f>
        <v/>
      </c>
      <c r="N84" s="2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>IF(A85="","",COUNTIF(Страницы_и_экраны!$E$5:$E$304,A85))</f>
        <v/>
      </c>
      <c r="N85" s="2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>IF(A86="","",COUNTIF(Страницы_и_экраны!$E$5:$E$304,A86))</f>
        <v/>
      </c>
      <c r="N86" s="2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tr">
        <f>IF(A87="","",COUNTIF(Страницы_и_экраны!$E$5:$E$304,A87))</f>
        <v/>
      </c>
      <c r="N87" s="2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tr">
        <f>IF(A88="","",COUNTIF(Страницы_и_экраны!$E$5:$E$304,A88))</f>
        <v/>
      </c>
      <c r="N88" s="2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tr">
        <f>IF(A89="","",COUNTIF(Страницы_и_экраны!$E$5:$E$304,A89))</f>
        <v/>
      </c>
      <c r="N89" s="2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tr">
        <f>IF(A90="","",COUNTIF(Страницы_и_экраны!$E$5:$E$304,A90))</f>
        <v/>
      </c>
      <c r="N90" s="2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tr">
        <f>IF(A91="","",COUNTIF(Страницы_и_экраны!$E$5:$E$304,A91))</f>
        <v/>
      </c>
      <c r="N91" s="2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tr">
        <f>IF(A92="","",COUNTIF(Страницы_и_экраны!$E$5:$E$304,A92))</f>
        <v/>
      </c>
      <c r="N92" s="2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tr">
        <f>IF(A93="","",COUNTIF(Страницы_и_экраны!$E$5:$E$304,A93))</f>
        <v/>
      </c>
      <c r="N93" s="2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tr">
        <f>IF(A94="","",COUNTIF(Страницы_и_экраны!$E$5:$E$304,A94))</f>
        <v/>
      </c>
      <c r="N94" s="2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tr">
        <f>IF(A95="","",COUNTIF(Страницы_и_экраны!$E$5:$E$304,A95))</f>
        <v/>
      </c>
      <c r="N95" s="2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tr">
        <f>IF(A96="","",COUNTIF(Страницы_и_экраны!$E$5:$E$304,A96))</f>
        <v/>
      </c>
      <c r="N96" s="2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tr">
        <f>IF(A97="","",COUNTIF(Страницы_и_экраны!$E$5:$E$304,A97))</f>
        <v/>
      </c>
      <c r="N97" s="2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tr">
        <f>IF(A98="","",COUNTIF(Страницы_и_экраны!$E$5:$E$304,A98))</f>
        <v/>
      </c>
      <c r="N98" s="2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tr">
        <f>IF(A99="","",COUNTIF(Страницы_и_экраны!$E$5:$E$304,A99))</f>
        <v/>
      </c>
      <c r="N99" s="2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tr">
        <f>IF(A100="","",COUNTIF(Страницы_и_экраны!$E$5:$E$304,A100))</f>
        <v/>
      </c>
      <c r="N100" s="2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tr">
        <f>IF(A101="","",COUNTIF(Страницы_и_экраны!$E$5:$E$304,A101))</f>
        <v/>
      </c>
      <c r="N101" s="2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tr">
        <f>IF(A102="","",COUNTIF(Страницы_и_экраны!$E$5:$E$304,A102))</f>
        <v/>
      </c>
      <c r="N102" s="2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tr">
        <f>IF(A103="","",COUNTIF(Страницы_и_экраны!$E$5:$E$304,A103))</f>
        <v/>
      </c>
      <c r="N103" s="2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tr">
        <f>IF(A104="","",COUNTIF(Страницы_и_экраны!$E$5:$E$304,A104))</f>
        <v/>
      </c>
      <c r="N104" s="2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tr">
        <f>IF(A105="","",COUNTIF(Страницы_и_экраны!$E$5:$E$304,A105))</f>
        <v/>
      </c>
      <c r="N105" s="2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tr">
        <f>IF(A106="","",COUNTIF(Страницы_и_экраны!$E$5:$E$304,A106))</f>
        <v/>
      </c>
      <c r="N106" s="2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tr">
        <f>IF(A107="","",COUNTIF(Страницы_и_экраны!$E$5:$E$304,A107))</f>
        <v/>
      </c>
      <c r="N107" s="2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tr">
        <f>IF(A108="","",COUNTIF(Страницы_и_экраны!$E$5:$E$304,A108))</f>
        <v/>
      </c>
      <c r="N108" s="2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tr">
        <f>IF(A109="","",COUNTIF(Страницы_и_экраны!$E$5:$E$304,A109))</f>
        <v/>
      </c>
      <c r="N109" s="2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tr">
        <f>IF(A110="","",COUNTIF(Страницы_и_экраны!$E$5:$E$304,A110))</f>
        <v/>
      </c>
      <c r="N110" s="2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tr">
        <f>IF(A111="","",COUNTIF(Страницы_и_экраны!$E$5:$E$304,A111))</f>
        <v/>
      </c>
      <c r="N111" s="2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tr">
        <f>IF(A112="","",COUNTIF(Страницы_и_экраны!$E$5:$E$304,A112))</f>
        <v/>
      </c>
      <c r="N112" s="2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tr">
        <f>IF(A113="","",COUNTIF(Страницы_и_экраны!$E$5:$E$304,A113))</f>
        <v/>
      </c>
      <c r="N113" s="2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tr">
        <f>IF(A114="","",COUNTIF(Страницы_и_экраны!$E$5:$E$304,A114))</f>
        <v/>
      </c>
      <c r="N114" s="2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tr">
        <f>IF(A115="","",COUNTIF(Страницы_и_экраны!$E$5:$E$304,A115))</f>
        <v/>
      </c>
      <c r="N115" s="2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tr">
        <f>IF(A116="","",COUNTIF(Страницы_и_экраны!$E$5:$E$304,A116))</f>
        <v/>
      </c>
      <c r="N116" s="2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tr">
        <f>IF(A117="","",COUNTIF(Страницы_и_экраны!$E$5:$E$304,A117))</f>
        <v/>
      </c>
      <c r="N117" s="2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tr">
        <f>IF(A118="","",COUNTIF(Страницы_и_экраны!$E$5:$E$304,A118))</f>
        <v/>
      </c>
      <c r="N118" s="2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tr">
        <f>IF(A119="","",COUNTIF(Страницы_и_экраны!$E$5:$E$304,A119))</f>
        <v/>
      </c>
      <c r="N119" s="2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tr">
        <f>IF(A120="","",COUNTIF(Страницы_и_экраны!$E$5:$E$304,A120))</f>
        <v/>
      </c>
      <c r="N120" s="2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tr">
        <f>IF(A121="","",COUNTIF(Страницы_и_экраны!$E$5:$E$304,A121))</f>
        <v/>
      </c>
      <c r="N121" s="2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tr">
        <f>IF(A122="","",COUNTIF(Страницы_и_экраны!$E$5:$E$304,A122))</f>
        <v/>
      </c>
      <c r="N122" s="2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tr">
        <f>IF(A123="","",COUNTIF(Страницы_и_экраны!$E$5:$E$304,A123))</f>
        <v/>
      </c>
      <c r="N123" s="2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tr">
        <f>IF(A124="","",COUNTIF(Страницы_и_экраны!$E$5:$E$304,A124))</f>
        <v/>
      </c>
      <c r="N124" s="2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tr">
        <f>IF(A125="","",COUNTIF(Страницы_и_экраны!$E$5:$E$304,A125))</f>
        <v/>
      </c>
      <c r="N125" s="2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tr">
        <f>IF(A126="","",COUNTIF(Страницы_и_экраны!$E$5:$E$304,A126))</f>
        <v/>
      </c>
      <c r="N126" s="2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tr">
        <f>IF(A127="","",COUNTIF(Страницы_и_экраны!$E$5:$E$304,A127))</f>
        <v/>
      </c>
      <c r="N127" s="2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tr">
        <f>IF(A128="","",COUNTIF(Страницы_и_экраны!$E$5:$E$304,A128))</f>
        <v/>
      </c>
      <c r="N128" s="2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tr">
        <f>IF(A129="","",COUNTIF(Страницы_и_экраны!$E$5:$E$304,A129))</f>
        <v/>
      </c>
      <c r="N129" s="2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tr">
        <f>IF(A130="","",COUNTIF(Страницы_и_экраны!$E$5:$E$304,A130))</f>
        <v/>
      </c>
      <c r="N130" s="2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tr">
        <f>IF(A131="","",COUNTIF(Страницы_и_экраны!$E$5:$E$304,A131))</f>
        <v/>
      </c>
      <c r="N131" s="2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tr">
        <f>IF(A132="","",COUNTIF(Страницы_и_экраны!$E$5:$E$304,A132))</f>
        <v/>
      </c>
      <c r="N132" s="2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tr">
        <f>IF(A133="","",COUNTIF(Страницы_и_экраны!$E$5:$E$304,A133))</f>
        <v/>
      </c>
      <c r="N133" s="2" t="str">
        <f t="shared" ref="N133:N196" si="4">IF(A133="","",IF(M133&gt;0,"Покрыт","Нет страницы/экрана"))</f>
        <v/>
      </c>
      <c r="O133" s="2" t="str">
        <f t="shared" ref="O133:O196" si="5">IF(A133="","",MAX(0,MIN(100,ROUND(((J133*0.45)+(K133*0.35)-(L133*0.2))*20,0))))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tr">
        <f>IF(A134="","",COUNTIF(Страницы_и_экраны!$E$5:$E$304,A134))</f>
        <v/>
      </c>
      <c r="N134" s="2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tr">
        <f>IF(A135="","",COUNTIF(Страницы_и_экраны!$E$5:$E$304,A135))</f>
        <v/>
      </c>
      <c r="N135" s="2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tr">
        <f>IF(A136="","",COUNTIF(Страницы_и_экраны!$E$5:$E$304,A136))</f>
        <v/>
      </c>
      <c r="N136" s="2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tr">
        <f>IF(A137="","",COUNTIF(Страницы_и_экраны!$E$5:$E$304,A137))</f>
        <v/>
      </c>
      <c r="N137" s="2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tr">
        <f>IF(A138="","",COUNTIF(Страницы_и_экраны!$E$5:$E$304,A138))</f>
        <v/>
      </c>
      <c r="N138" s="2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tr">
        <f>IF(A139="","",COUNTIF(Страницы_и_экраны!$E$5:$E$304,A139))</f>
        <v/>
      </c>
      <c r="N139" s="2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tr">
        <f>IF(A140="","",COUNTIF(Страницы_и_экраны!$E$5:$E$304,A140))</f>
        <v/>
      </c>
      <c r="N140" s="2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tr">
        <f>IF(A141="","",COUNTIF(Страницы_и_экраны!$E$5:$E$304,A141))</f>
        <v/>
      </c>
      <c r="N141" s="2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tr">
        <f>IF(A142="","",COUNTIF(Страницы_и_экраны!$E$5:$E$304,A142))</f>
        <v/>
      </c>
      <c r="N142" s="2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tr">
        <f>IF(A143="","",COUNTIF(Страницы_и_экраны!$E$5:$E$304,A143))</f>
        <v/>
      </c>
      <c r="N143" s="2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tr">
        <f>IF(A144="","",COUNTIF(Страницы_и_экраны!$E$5:$E$304,A144))</f>
        <v/>
      </c>
      <c r="N144" s="2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tr">
        <f>IF(A145="","",COUNTIF(Страницы_и_экраны!$E$5:$E$304,A145))</f>
        <v/>
      </c>
      <c r="N145" s="2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str">
        <f>IF(A146="","",COUNTIF(Страницы_и_экраны!$E$5:$E$304,A146))</f>
        <v/>
      </c>
      <c r="N146" s="2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tr">
        <f>IF(A147="","",COUNTIF(Страницы_и_экраны!$E$5:$E$304,A147))</f>
        <v/>
      </c>
      <c r="N147" s="2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tr">
        <f>IF(A148="","",COUNTIF(Страницы_и_экраны!$E$5:$E$304,A148))</f>
        <v/>
      </c>
      <c r="N148" s="2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tr">
        <f>IF(A149="","",COUNTIF(Страницы_и_экраны!$E$5:$E$304,A149))</f>
        <v/>
      </c>
      <c r="N149" s="2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tr">
        <f>IF(A150="","",COUNTIF(Страницы_и_экраны!$E$5:$E$304,A150))</f>
        <v/>
      </c>
      <c r="N150" s="2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tr">
        <f>IF(A151="","",COUNTIF(Страницы_и_экраны!$E$5:$E$304,A151))</f>
        <v/>
      </c>
      <c r="N151" s="2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tr">
        <f>IF(A152="","",COUNTIF(Страницы_и_экраны!$E$5:$E$304,A152))</f>
        <v/>
      </c>
      <c r="N152" s="2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tr">
        <f>IF(A153="","",COUNTIF(Страницы_и_экраны!$E$5:$E$304,A153))</f>
        <v/>
      </c>
      <c r="N153" s="2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tr">
        <f>IF(A154="","",COUNTIF(Страницы_и_экраны!$E$5:$E$304,A154))</f>
        <v/>
      </c>
      <c r="N154" s="2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tr">
        <f>IF(A155="","",COUNTIF(Страницы_и_экраны!$E$5:$E$304,A155))</f>
        <v/>
      </c>
      <c r="N155" s="2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tr">
        <f>IF(A156="","",COUNTIF(Страницы_и_экраны!$E$5:$E$304,A156))</f>
        <v/>
      </c>
      <c r="N156" s="2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tr">
        <f>IF(A157="","",COUNTIF(Страницы_и_экраны!$E$5:$E$304,A157))</f>
        <v/>
      </c>
      <c r="N157" s="2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tr">
        <f>IF(A158="","",COUNTIF(Страницы_и_экраны!$E$5:$E$304,A158))</f>
        <v/>
      </c>
      <c r="N158" s="2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tr">
        <f>IF(A159="","",COUNTIF(Страницы_и_экраны!$E$5:$E$304,A159))</f>
        <v/>
      </c>
      <c r="N159" s="2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tr">
        <f>IF(A160="","",COUNTIF(Страницы_и_экраны!$E$5:$E$304,A160))</f>
        <v/>
      </c>
      <c r="N160" s="2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tr">
        <f>IF(A161="","",COUNTIF(Страницы_и_экраны!$E$5:$E$304,A161))</f>
        <v/>
      </c>
      <c r="N161" s="2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tr">
        <f>IF(A162="","",COUNTIF(Страницы_и_экраны!$E$5:$E$304,A162))</f>
        <v/>
      </c>
      <c r="N162" s="2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tr">
        <f>IF(A163="","",COUNTIF(Страницы_и_экраны!$E$5:$E$304,A163))</f>
        <v/>
      </c>
      <c r="N163" s="2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tr">
        <f>IF(A164="","",COUNTIF(Страницы_и_экраны!$E$5:$E$304,A164))</f>
        <v/>
      </c>
      <c r="N164" s="2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tr">
        <f>IF(A165="","",COUNTIF(Страницы_и_экраны!$E$5:$E$304,A165))</f>
        <v/>
      </c>
      <c r="N165" s="2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tr">
        <f>IF(A166="","",COUNTIF(Страницы_и_экраны!$E$5:$E$304,A166))</f>
        <v/>
      </c>
      <c r="N166" s="2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tr">
        <f>IF(A167="","",COUNTIF(Страницы_и_экраны!$E$5:$E$304,A167))</f>
        <v/>
      </c>
      <c r="N167" s="2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tr">
        <f>IF(A168="","",COUNTIF(Страницы_и_экраны!$E$5:$E$304,A168))</f>
        <v/>
      </c>
      <c r="N168" s="2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tr">
        <f>IF(A169="","",COUNTIF(Страницы_и_экраны!$E$5:$E$304,A169))</f>
        <v/>
      </c>
      <c r="N169" s="2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tr">
        <f>IF(A170="","",COUNTIF(Страницы_и_экраны!$E$5:$E$304,A170))</f>
        <v/>
      </c>
      <c r="N170" s="2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tr">
        <f>IF(A171="","",COUNTIF(Страницы_и_экраны!$E$5:$E$304,A171))</f>
        <v/>
      </c>
      <c r="N171" s="2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tr">
        <f>IF(A172="","",COUNTIF(Страницы_и_экраны!$E$5:$E$304,A172))</f>
        <v/>
      </c>
      <c r="N172" s="2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tr">
        <f>IF(A173="","",COUNTIF(Страницы_и_экраны!$E$5:$E$304,A173))</f>
        <v/>
      </c>
      <c r="N173" s="2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tr">
        <f>IF(A174="","",COUNTIF(Страницы_и_экраны!$E$5:$E$304,A174))</f>
        <v/>
      </c>
      <c r="N174" s="2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tr">
        <f>IF(A175="","",COUNTIF(Страницы_и_экраны!$E$5:$E$304,A175))</f>
        <v/>
      </c>
      <c r="N175" s="2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tr">
        <f>IF(A176="","",COUNTIF(Страницы_и_экраны!$E$5:$E$304,A176))</f>
        <v/>
      </c>
      <c r="N176" s="2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tr">
        <f>IF(A177="","",COUNTIF(Страницы_и_экраны!$E$5:$E$304,A177))</f>
        <v/>
      </c>
      <c r="N177" s="2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tr">
        <f>IF(A178="","",COUNTIF(Страницы_и_экраны!$E$5:$E$304,A178))</f>
        <v/>
      </c>
      <c r="N178" s="2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tr">
        <f>IF(A179="","",COUNTIF(Страницы_и_экраны!$E$5:$E$304,A179))</f>
        <v/>
      </c>
      <c r="N179" s="2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tr">
        <f>IF(A180="","",COUNTIF(Страницы_и_экраны!$E$5:$E$304,A180))</f>
        <v/>
      </c>
      <c r="N180" s="2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tr">
        <f>IF(A181="","",COUNTIF(Страницы_и_экраны!$E$5:$E$304,A181))</f>
        <v/>
      </c>
      <c r="N181" s="2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tr">
        <f>IF(A182="","",COUNTIF(Страницы_и_экраны!$E$5:$E$304,A182))</f>
        <v/>
      </c>
      <c r="N182" s="2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tr">
        <f>IF(A183="","",COUNTIF(Страницы_и_экраны!$E$5:$E$304,A183))</f>
        <v/>
      </c>
      <c r="N183" s="2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tr">
        <f>IF(A184="","",COUNTIF(Страницы_и_экраны!$E$5:$E$304,A184))</f>
        <v/>
      </c>
      <c r="N184" s="2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tr">
        <f>IF(A185="","",COUNTIF(Страницы_и_экраны!$E$5:$E$304,A185))</f>
        <v/>
      </c>
      <c r="N185" s="2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tr">
        <f>IF(A186="","",COUNTIF(Страницы_и_экраны!$E$5:$E$304,A186))</f>
        <v/>
      </c>
      <c r="N186" s="2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tr">
        <f>IF(A187="","",COUNTIF(Страницы_и_экраны!$E$5:$E$304,A187))</f>
        <v/>
      </c>
      <c r="N187" s="2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tr">
        <f>IF(A188="","",COUNTIF(Страницы_и_экраны!$E$5:$E$304,A188))</f>
        <v/>
      </c>
      <c r="N188" s="2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tr">
        <f>IF(A189="","",COUNTIF(Страницы_и_экраны!$E$5:$E$304,A189))</f>
        <v/>
      </c>
      <c r="N189" s="2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tr">
        <f>IF(A190="","",COUNTIF(Страницы_и_экраны!$E$5:$E$304,A190))</f>
        <v/>
      </c>
      <c r="N190" s="2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tr">
        <f>IF(A191="","",COUNTIF(Страницы_и_экраны!$E$5:$E$304,A191))</f>
        <v/>
      </c>
      <c r="N191" s="2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tr">
        <f>IF(A192="","",COUNTIF(Страницы_и_экраны!$E$5:$E$304,A192))</f>
        <v/>
      </c>
      <c r="N192" s="2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tr">
        <f>IF(A193="","",COUNTIF(Страницы_и_экраны!$E$5:$E$304,A193))</f>
        <v/>
      </c>
      <c r="N193" s="2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tr">
        <f>IF(A194="","",COUNTIF(Страницы_и_экраны!$E$5:$E$304,A194))</f>
        <v/>
      </c>
      <c r="N194" s="2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tr">
        <f>IF(A195="","",COUNTIF(Страницы_и_экраны!$E$5:$E$304,A195))</f>
        <v/>
      </c>
      <c r="N195" s="2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tr">
        <f>IF(A196="","",COUNTIF(Страницы_и_экраны!$E$5:$E$304,A196))</f>
        <v/>
      </c>
      <c r="N196" s="2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tr">
        <f>IF(A197="","",COUNTIF(Страницы_и_экраны!$E$5:$E$304,A197))</f>
        <v/>
      </c>
      <c r="N197" s="2" t="str">
        <f t="shared" ref="N197:N260" si="6">IF(A197="","",IF(M197&gt;0,"Покрыт","Нет страницы/экрана"))</f>
        <v/>
      </c>
      <c r="O197" s="2" t="str">
        <f t="shared" ref="O197:O260" si="7">IF(A197="","",MAX(0,MIN(100,ROUND(((J197*0.45)+(K197*0.35)-(L197*0.2))*20,0))))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tr">
        <f>IF(A198="","",COUNTIF(Страницы_и_экраны!$E$5:$E$304,A198))</f>
        <v/>
      </c>
      <c r="N198" s="2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tr">
        <f>IF(A199="","",COUNTIF(Страницы_и_экраны!$E$5:$E$304,A199))</f>
        <v/>
      </c>
      <c r="N199" s="2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tr">
        <f>IF(A200="","",COUNTIF(Страницы_и_экраны!$E$5:$E$304,A200))</f>
        <v/>
      </c>
      <c r="N200" s="2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tr">
        <f>IF(A201="","",COUNTIF(Страницы_и_экраны!$E$5:$E$304,A201))</f>
        <v/>
      </c>
      <c r="N201" s="2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tr">
        <f>IF(A202="","",COUNTIF(Страницы_и_экраны!$E$5:$E$304,A202))</f>
        <v/>
      </c>
      <c r="N202" s="2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tr">
        <f>IF(A203="","",COUNTIF(Страницы_и_экраны!$E$5:$E$304,A203))</f>
        <v/>
      </c>
      <c r="N203" s="2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tr">
        <f>IF(A204="","",COUNTIF(Страницы_и_экраны!$E$5:$E$304,A204))</f>
        <v/>
      </c>
      <c r="N204" s="2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tr">
        <f>IF(A205="","",COUNTIF(Страницы_и_экраны!$E$5:$E$304,A205))</f>
        <v/>
      </c>
      <c r="N205" s="2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tr">
        <f>IF(A206="","",COUNTIF(Страницы_и_экраны!$E$5:$E$304,A206))</f>
        <v/>
      </c>
      <c r="N206" s="2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tr">
        <f>IF(A207="","",COUNTIF(Страницы_и_экраны!$E$5:$E$304,A207))</f>
        <v/>
      </c>
      <c r="N207" s="2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tr">
        <f>IF(A208="","",COUNTIF(Страницы_и_экраны!$E$5:$E$304,A208))</f>
        <v/>
      </c>
      <c r="N208" s="2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tr">
        <f>IF(A209="","",COUNTIF(Страницы_и_экраны!$E$5:$E$304,A209))</f>
        <v/>
      </c>
      <c r="N209" s="2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tr">
        <f>IF(A210="","",COUNTIF(Страницы_и_экраны!$E$5:$E$304,A210))</f>
        <v/>
      </c>
      <c r="N210" s="2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tr">
        <f>IF(A211="","",COUNTIF(Страницы_и_экраны!$E$5:$E$304,A211))</f>
        <v/>
      </c>
      <c r="N211" s="2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tr">
        <f>IF(A212="","",COUNTIF(Страницы_и_экраны!$E$5:$E$304,A212))</f>
        <v/>
      </c>
      <c r="N212" s="2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tr">
        <f>IF(A213="","",COUNTIF(Страницы_и_экраны!$E$5:$E$304,A213))</f>
        <v/>
      </c>
      <c r="N213" s="2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tr">
        <f>IF(A214="","",COUNTIF(Страницы_и_экраны!$E$5:$E$304,A214))</f>
        <v/>
      </c>
      <c r="N214" s="2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tr">
        <f>IF(A215="","",COUNTIF(Страницы_и_экраны!$E$5:$E$304,A215))</f>
        <v/>
      </c>
      <c r="N215" s="2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tr">
        <f>IF(A216="","",COUNTIF(Страницы_и_экраны!$E$5:$E$304,A216))</f>
        <v/>
      </c>
      <c r="N216" s="2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tr">
        <f>IF(A217="","",COUNTIF(Страницы_и_экраны!$E$5:$E$304,A217))</f>
        <v/>
      </c>
      <c r="N217" s="2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tr">
        <f>IF(A218="","",COUNTIF(Страницы_и_экраны!$E$5:$E$304,A218))</f>
        <v/>
      </c>
      <c r="N218" s="2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tr">
        <f>IF(A219="","",COUNTIF(Страницы_и_экраны!$E$5:$E$304,A219))</f>
        <v/>
      </c>
      <c r="N219" s="2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tr">
        <f>IF(A220="","",COUNTIF(Страницы_и_экраны!$E$5:$E$304,A220))</f>
        <v/>
      </c>
      <c r="N220" s="2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tr">
        <f>IF(A221="","",COUNTIF(Страницы_и_экраны!$E$5:$E$304,A221))</f>
        <v/>
      </c>
      <c r="N221" s="2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tr">
        <f>IF(A222="","",COUNTIF(Страницы_и_экраны!$E$5:$E$304,A222))</f>
        <v/>
      </c>
      <c r="N222" s="2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tr">
        <f>IF(A223="","",COUNTIF(Страницы_и_экраны!$E$5:$E$304,A223))</f>
        <v/>
      </c>
      <c r="N223" s="2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tr">
        <f>IF(A224="","",COUNTIF(Страницы_и_экраны!$E$5:$E$304,A224))</f>
        <v/>
      </c>
      <c r="N224" s="2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tr">
        <f>IF(A225="","",COUNTIF(Страницы_и_экраны!$E$5:$E$304,A225))</f>
        <v/>
      </c>
      <c r="N225" s="2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tr">
        <f>IF(A226="","",COUNTIF(Страницы_и_экраны!$E$5:$E$304,A226))</f>
        <v/>
      </c>
      <c r="N226" s="2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tr">
        <f>IF(A227="","",COUNTIF(Страницы_и_экраны!$E$5:$E$304,A227))</f>
        <v/>
      </c>
      <c r="N227" s="2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tr">
        <f>IF(A228="","",COUNTIF(Страницы_и_экраны!$E$5:$E$304,A228))</f>
        <v/>
      </c>
      <c r="N228" s="2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tr">
        <f>IF(A229="","",COUNTIF(Страницы_и_экраны!$E$5:$E$304,A229))</f>
        <v/>
      </c>
      <c r="N229" s="2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tr">
        <f>IF(A230="","",COUNTIF(Страницы_и_экраны!$E$5:$E$304,A230))</f>
        <v/>
      </c>
      <c r="N230" s="2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tr">
        <f>IF(A231="","",COUNTIF(Страницы_и_экраны!$E$5:$E$304,A231))</f>
        <v/>
      </c>
      <c r="N231" s="2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tr">
        <f>IF(A232="","",COUNTIF(Страницы_и_экраны!$E$5:$E$304,A232))</f>
        <v/>
      </c>
      <c r="N232" s="2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tr">
        <f>IF(A233="","",COUNTIF(Страницы_и_экраны!$E$5:$E$304,A233))</f>
        <v/>
      </c>
      <c r="N233" s="2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tr">
        <f>IF(A234="","",COUNTIF(Страницы_и_экраны!$E$5:$E$304,A234))</f>
        <v/>
      </c>
      <c r="N234" s="2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tr">
        <f>IF(A235="","",COUNTIF(Страницы_и_экраны!$E$5:$E$304,A235))</f>
        <v/>
      </c>
      <c r="N235" s="2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tr">
        <f>IF(A236="","",COUNTIF(Страницы_и_экраны!$E$5:$E$304,A236))</f>
        <v/>
      </c>
      <c r="N236" s="2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tr">
        <f>IF(A237="","",COUNTIF(Страницы_и_экраны!$E$5:$E$304,A237))</f>
        <v/>
      </c>
      <c r="N237" s="2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tr">
        <f>IF(A238="","",COUNTIF(Страницы_и_экраны!$E$5:$E$304,A238))</f>
        <v/>
      </c>
      <c r="N238" s="2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tr">
        <f>IF(A239="","",COUNTIF(Страницы_и_экраны!$E$5:$E$304,A239))</f>
        <v/>
      </c>
      <c r="N239" s="2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tr">
        <f>IF(A240="","",COUNTIF(Страницы_и_экраны!$E$5:$E$304,A240))</f>
        <v/>
      </c>
      <c r="N240" s="2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tr">
        <f>IF(A241="","",COUNTIF(Страницы_и_экраны!$E$5:$E$304,A241))</f>
        <v/>
      </c>
      <c r="N241" s="2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tr">
        <f>IF(A242="","",COUNTIF(Страницы_и_экраны!$E$5:$E$304,A242))</f>
        <v/>
      </c>
      <c r="N242" s="2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tr">
        <f>IF(A243="","",COUNTIF(Страницы_и_экраны!$E$5:$E$304,A243))</f>
        <v/>
      </c>
      <c r="N243" s="2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tr">
        <f>IF(A244="","",COUNTIF(Страницы_и_экраны!$E$5:$E$304,A244))</f>
        <v/>
      </c>
      <c r="N244" s="2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tr">
        <f>IF(A245="","",COUNTIF(Страницы_и_экраны!$E$5:$E$304,A245))</f>
        <v/>
      </c>
      <c r="N245" s="2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tr">
        <f>IF(A246="","",COUNTIF(Страницы_и_экраны!$E$5:$E$304,A246))</f>
        <v/>
      </c>
      <c r="N246" s="2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tr">
        <f>IF(A247="","",COUNTIF(Страницы_и_экраны!$E$5:$E$304,A247))</f>
        <v/>
      </c>
      <c r="N247" s="2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tr">
        <f>IF(A248="","",COUNTIF(Страницы_и_экраны!$E$5:$E$304,A248))</f>
        <v/>
      </c>
      <c r="N248" s="2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tr">
        <f>IF(A249="","",COUNTIF(Страницы_и_экраны!$E$5:$E$304,A249))</f>
        <v/>
      </c>
      <c r="N249" s="2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tr">
        <f>IF(A250="","",COUNTIF(Страницы_и_экраны!$E$5:$E$304,A250))</f>
        <v/>
      </c>
      <c r="N250" s="2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tr">
        <f>IF(A251="","",COUNTIF(Страницы_и_экраны!$E$5:$E$304,A251))</f>
        <v/>
      </c>
      <c r="N251" s="2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tr">
        <f>IF(A252="","",COUNTIF(Страницы_и_экраны!$E$5:$E$304,A252))</f>
        <v/>
      </c>
      <c r="N252" s="2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tr">
        <f>IF(A253="","",COUNTIF(Страницы_и_экраны!$E$5:$E$304,A253))</f>
        <v/>
      </c>
      <c r="N253" s="2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tr">
        <f>IF(A254="","",COUNTIF(Страницы_и_экраны!$E$5:$E$304,A254))</f>
        <v/>
      </c>
      <c r="N254" s="2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tr">
        <f>IF(A255="","",COUNTIF(Страницы_и_экраны!$E$5:$E$304,A255))</f>
        <v/>
      </c>
      <c r="N255" s="2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tr">
        <f>IF(A256="","",COUNTIF(Страницы_и_экраны!$E$5:$E$304,A256))</f>
        <v/>
      </c>
      <c r="N256" s="2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tr">
        <f>IF(A257="","",COUNTIF(Страницы_и_экраны!$E$5:$E$304,A257))</f>
        <v/>
      </c>
      <c r="N257" s="2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tr">
        <f>IF(A258="","",COUNTIF(Страницы_и_экраны!$E$5:$E$304,A258))</f>
        <v/>
      </c>
      <c r="N258" s="2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tr">
        <f>IF(A259="","",COUNTIF(Страницы_и_экраны!$E$5:$E$304,A259))</f>
        <v/>
      </c>
      <c r="N259" s="2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tr">
        <f>IF(A260="","",COUNTIF(Страницы_и_экраны!$E$5:$E$304,A260))</f>
        <v/>
      </c>
      <c r="N260" s="2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tr">
        <f>IF(A261="","",COUNTIF(Страницы_и_экраны!$E$5:$E$304,A261))</f>
        <v/>
      </c>
      <c r="N261" s="2" t="str">
        <f t="shared" ref="N261:N324" si="8">IF(A261="","",IF(M261&gt;0,"Покрыт","Нет страницы/экрана"))</f>
        <v/>
      </c>
      <c r="O261" s="2" t="str">
        <f t="shared" ref="O261:O304" si="9">IF(A261="","",MAX(0,MIN(100,ROUND(((J261*0.45)+(K261*0.35)-(L261*0.2))*20,0))))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tr">
        <f>IF(A262="","",COUNTIF(Страницы_и_экраны!$E$5:$E$304,A262))</f>
        <v/>
      </c>
      <c r="N262" s="2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tr">
        <f>IF(A263="","",COUNTIF(Страницы_и_экраны!$E$5:$E$304,A263))</f>
        <v/>
      </c>
      <c r="N263" s="2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tr">
        <f>IF(A264="","",COUNTIF(Страницы_и_экраны!$E$5:$E$304,A264))</f>
        <v/>
      </c>
      <c r="N264" s="2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tr">
        <f>IF(A265="","",COUNTIF(Страницы_и_экраны!$E$5:$E$304,A265))</f>
        <v/>
      </c>
      <c r="N265" s="2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tr">
        <f>IF(A266="","",COUNTIF(Страницы_и_экраны!$E$5:$E$304,A266))</f>
        <v/>
      </c>
      <c r="N266" s="2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tr">
        <f>IF(A267="","",COUNTIF(Страницы_и_экраны!$E$5:$E$304,A267))</f>
        <v/>
      </c>
      <c r="N267" s="2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tr">
        <f>IF(A268="","",COUNTIF(Страницы_и_экраны!$E$5:$E$304,A268))</f>
        <v/>
      </c>
      <c r="N268" s="2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tr">
        <f>IF(A269="","",COUNTIF(Страницы_и_экраны!$E$5:$E$304,A269))</f>
        <v/>
      </c>
      <c r="N269" s="2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tr">
        <f>IF(A270="","",COUNTIF(Страницы_и_экраны!$E$5:$E$304,A270))</f>
        <v/>
      </c>
      <c r="N270" s="2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tr">
        <f>IF(A271="","",COUNTIF(Страницы_и_экраны!$E$5:$E$304,A271))</f>
        <v/>
      </c>
      <c r="N271" s="2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tr">
        <f>IF(A272="","",COUNTIF(Страницы_и_экраны!$E$5:$E$304,A272))</f>
        <v/>
      </c>
      <c r="N272" s="2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tr">
        <f>IF(A273="","",COUNTIF(Страницы_и_экраны!$E$5:$E$304,A273))</f>
        <v/>
      </c>
      <c r="N273" s="2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tr">
        <f>IF(A274="","",COUNTIF(Страницы_и_экраны!$E$5:$E$304,A274))</f>
        <v/>
      </c>
      <c r="N274" s="2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tr">
        <f>IF(A275="","",COUNTIF(Страницы_и_экраны!$E$5:$E$304,A275))</f>
        <v/>
      </c>
      <c r="N275" s="2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tr">
        <f>IF(A276="","",COUNTIF(Страницы_и_экраны!$E$5:$E$304,A276))</f>
        <v/>
      </c>
      <c r="N276" s="2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tr">
        <f>IF(A277="","",COUNTIF(Страницы_и_экраны!$E$5:$E$304,A277))</f>
        <v/>
      </c>
      <c r="N277" s="2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tr">
        <f>IF(A278="","",COUNTIF(Страницы_и_экраны!$E$5:$E$304,A278))</f>
        <v/>
      </c>
      <c r="N278" s="2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tr">
        <f>IF(A279="","",COUNTIF(Страницы_и_экраны!$E$5:$E$304,A279))</f>
        <v/>
      </c>
      <c r="N279" s="2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tr">
        <f>IF(A280="","",COUNTIF(Страницы_и_экраны!$E$5:$E$304,A280))</f>
        <v/>
      </c>
      <c r="N280" s="2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tr">
        <f>IF(A281="","",COUNTIF(Страницы_и_экраны!$E$5:$E$304,A281))</f>
        <v/>
      </c>
      <c r="N281" s="2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tr">
        <f>IF(A282="","",COUNTIF(Страницы_и_экраны!$E$5:$E$304,A282))</f>
        <v/>
      </c>
      <c r="N282" s="2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tr">
        <f>IF(A283="","",COUNTIF(Страницы_и_экраны!$E$5:$E$304,A283))</f>
        <v/>
      </c>
      <c r="N283" s="2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tr">
        <f>IF(A284="","",COUNTIF(Страницы_и_экраны!$E$5:$E$304,A284))</f>
        <v/>
      </c>
      <c r="N284" s="2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tr">
        <f>IF(A285="","",COUNTIF(Страницы_и_экраны!$E$5:$E$304,A285))</f>
        <v/>
      </c>
      <c r="N285" s="2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tr">
        <f>IF(A286="","",COUNTIF(Страницы_и_экраны!$E$5:$E$304,A286))</f>
        <v/>
      </c>
      <c r="N286" s="2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tr">
        <f>IF(A287="","",COUNTIF(Страницы_и_экраны!$E$5:$E$304,A287))</f>
        <v/>
      </c>
      <c r="N287" s="2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tr">
        <f>IF(A288="","",COUNTIF(Страницы_и_экраны!$E$5:$E$304,A288))</f>
        <v/>
      </c>
      <c r="N288" s="2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tr">
        <f>IF(A289="","",COUNTIF(Страницы_и_экраны!$E$5:$E$304,A289))</f>
        <v/>
      </c>
      <c r="N289" s="2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tr">
        <f>IF(A290="","",COUNTIF(Страницы_и_экраны!$E$5:$E$304,A290))</f>
        <v/>
      </c>
      <c r="N290" s="2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tr">
        <f>IF(A291="","",COUNTIF(Страницы_и_экраны!$E$5:$E$304,A291))</f>
        <v/>
      </c>
      <c r="N291" s="2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tr">
        <f>IF(A292="","",COUNTIF(Страницы_и_экраны!$E$5:$E$304,A292))</f>
        <v/>
      </c>
      <c r="N292" s="2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tr">
        <f>IF(A293="","",COUNTIF(Страницы_и_экраны!$E$5:$E$304,A293))</f>
        <v/>
      </c>
      <c r="N293" s="2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tr">
        <f>IF(A294="","",COUNTIF(Страницы_и_экраны!$E$5:$E$304,A294))</f>
        <v/>
      </c>
      <c r="N294" s="2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tr">
        <f>IF(A295="","",COUNTIF(Страницы_и_экраны!$E$5:$E$304,A295))</f>
        <v/>
      </c>
      <c r="N295" s="2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tr">
        <f>IF(A296="","",COUNTIF(Страницы_и_экраны!$E$5:$E$304,A296))</f>
        <v/>
      </c>
      <c r="N296" s="2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tr">
        <f>IF(A297="","",COUNTIF(Страницы_и_экраны!$E$5:$E$304,A297))</f>
        <v/>
      </c>
      <c r="N297" s="2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tr">
        <f>IF(A298="","",COUNTIF(Страницы_и_экраны!$E$5:$E$304,A298))</f>
        <v/>
      </c>
      <c r="N298" s="2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tr">
        <f>IF(A299="","",COUNTIF(Страницы_и_экраны!$E$5:$E$304,A299))</f>
        <v/>
      </c>
      <c r="N299" s="2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tr">
        <f>IF(A300="","",COUNTIF(Страницы_и_экраны!$E$5:$E$304,A300))</f>
        <v/>
      </c>
      <c r="N300" s="2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tr">
        <f>IF(A301="","",COUNTIF(Страницы_и_экраны!$E$5:$E$304,A301))</f>
        <v/>
      </c>
      <c r="N301" s="2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tr">
        <f>IF(A302="","",COUNTIF(Страницы_и_экраны!$E$5:$E$304,A302))</f>
        <v/>
      </c>
      <c r="N302" s="2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tr">
        <f>IF(A303="","",COUNTIF(Страницы_и_экраны!$E$5:$E$304,A303))</f>
        <v/>
      </c>
      <c r="N303" s="2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tr">
        <f>IF(A304="","",COUNTIF(Страницы_и_экраны!$E$5:$E$304,A304))</f>
        <v/>
      </c>
      <c r="N304" s="2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30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30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5"/>
  <sheetViews>
    <sheetView workbookViewId="0"/>
  </sheetViews>
  <sheetFormatPr defaultRowHeight="13.5"/>
  <cols>
    <col min="1" max="1" width="12" customWidth="1"/>
    <col min="2" max="2" width="18" customWidth="1"/>
    <col min="3" max="3" width="26" customWidth="1"/>
    <col min="4" max="4" width="42" customWidth="1"/>
    <col min="5" max="5" width="15" customWidth="1"/>
    <col min="6" max="6" width="12" customWidth="1"/>
    <col min="7" max="7" width="20" customWidth="1"/>
    <col min="8" max="8" width="34" customWidth="1"/>
    <col min="9" max="9" width="30" customWidth="1"/>
    <col min="10" max="10" width="28" customWidth="1"/>
    <col min="11" max="11" width="38" customWidth="1"/>
    <col min="12" max="12" width="42" customWidth="1"/>
    <col min="13" max="13" width="30" customWidth="1"/>
    <col min="14" max="14" width="32" customWidth="1"/>
    <col min="15" max="15" width="18" customWidth="1"/>
    <col min="16" max="16" width="24" customWidth="1"/>
    <col min="17" max="17" width="16" customWidth="1"/>
    <col min="18" max="18" width="22" customWidth="1"/>
    <col min="19" max="19" width="14" customWidth="1"/>
    <col min="20" max="20" width="16" customWidth="1"/>
    <col min="21" max="21" width="24" customWidth="1"/>
  </cols>
  <sheetData>
    <row r="1" spans="1:21" ht="16.05" customHeight="1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.05" customHeight="1">
      <c r="A2" s="7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55</v>
      </c>
      <c r="G4" s="3" t="s">
        <v>71</v>
      </c>
      <c r="H4" s="3" t="s">
        <v>94</v>
      </c>
      <c r="I4" s="3" t="s">
        <v>95</v>
      </c>
      <c r="J4" s="3" t="s">
        <v>96</v>
      </c>
      <c r="K4" s="3" t="s">
        <v>76</v>
      </c>
      <c r="L4" s="3" t="s">
        <v>97</v>
      </c>
      <c r="M4" s="3" t="s">
        <v>98</v>
      </c>
      <c r="N4" s="3" t="s">
        <v>99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104</v>
      </c>
      <c r="T4" s="3" t="s">
        <v>105</v>
      </c>
      <c r="U4" s="3" t="s">
        <v>106</v>
      </c>
    </row>
    <row r="5" spans="1:21" ht="27">
      <c r="A5" s="2" t="s">
        <v>107</v>
      </c>
      <c r="B5" s="2" t="s">
        <v>108</v>
      </c>
      <c r="C5" s="2" t="s">
        <v>477</v>
      </c>
      <c r="D5" s="2" t="s">
        <v>478</v>
      </c>
      <c r="E5" s="2" t="s">
        <v>52</v>
      </c>
      <c r="F5" s="2" t="s">
        <v>47</v>
      </c>
      <c r="G5" s="2" t="s">
        <v>84</v>
      </c>
      <c r="H5" s="2" t="s">
        <v>109</v>
      </c>
      <c r="I5" s="2" t="s">
        <v>479</v>
      </c>
      <c r="J5" s="2" t="s">
        <v>480</v>
      </c>
      <c r="K5" s="2" t="s">
        <v>481</v>
      </c>
      <c r="L5" s="2" t="s">
        <v>482</v>
      </c>
      <c r="M5" s="2" t="s">
        <v>483</v>
      </c>
      <c r="N5" s="2" t="s">
        <v>484</v>
      </c>
      <c r="O5" s="2" t="s">
        <v>110</v>
      </c>
      <c r="P5" s="2" t="s">
        <v>485</v>
      </c>
      <c r="Q5" s="2">
        <f>IF(A5="","",IFERROR(INDEX(Пользовательские_сценарии!$O$5:$O$304,MATCH(E5,Пользовательские_сценарии!$A$5:$A$304,0)),0))</f>
        <v>68</v>
      </c>
      <c r="R5" s="2" t="s">
        <v>486</v>
      </c>
      <c r="S5" s="2">
        <v>4</v>
      </c>
      <c r="T5" s="4">
        <f t="shared" ref="T5:T68" si="0">IF(A5="","",ROUND(COUNTA(D5:P5)/13,2))</f>
        <v>1</v>
      </c>
      <c r="U5" s="2"/>
    </row>
    <row r="6" spans="1:21" ht="27">
      <c r="A6" s="2" t="s">
        <v>114</v>
      </c>
      <c r="B6" s="2" t="s">
        <v>115</v>
      </c>
      <c r="C6" s="2" t="s">
        <v>487</v>
      </c>
      <c r="D6" s="2" t="s">
        <v>488</v>
      </c>
      <c r="E6" s="2" t="s">
        <v>52</v>
      </c>
      <c r="F6" s="2" t="s">
        <v>47</v>
      </c>
      <c r="G6" s="2" t="s">
        <v>419</v>
      </c>
      <c r="H6" s="2" t="s">
        <v>489</v>
      </c>
      <c r="I6" s="2" t="s">
        <v>490</v>
      </c>
      <c r="J6" s="2" t="s">
        <v>45</v>
      </c>
      <c r="K6" s="2" t="s">
        <v>491</v>
      </c>
      <c r="L6" s="2" t="s">
        <v>492</v>
      </c>
      <c r="M6" s="2" t="s">
        <v>483</v>
      </c>
      <c r="N6" s="2" t="s">
        <v>484</v>
      </c>
      <c r="O6" s="2" t="s">
        <v>110</v>
      </c>
      <c r="P6" s="2" t="s">
        <v>493</v>
      </c>
      <c r="Q6" s="2">
        <f>IF(A6="","",IFERROR(INDEX(Пользовательские_сценарии!$O$5:$O$304,MATCH(E6,Пользовательские_сценарии!$A$5:$A$304,0)),0))</f>
        <v>68</v>
      </c>
      <c r="R6" s="2" t="s">
        <v>486</v>
      </c>
      <c r="S6" s="2">
        <v>4</v>
      </c>
      <c r="T6" s="4">
        <f t="shared" si="0"/>
        <v>1</v>
      </c>
      <c r="U6" s="2"/>
    </row>
    <row r="7" spans="1:21" ht="27">
      <c r="A7" s="2" t="s">
        <v>494</v>
      </c>
      <c r="B7" s="2" t="s">
        <v>115</v>
      </c>
      <c r="C7" s="2" t="s">
        <v>495</v>
      </c>
      <c r="D7" s="2" t="s">
        <v>496</v>
      </c>
      <c r="E7" s="2" t="s">
        <v>52</v>
      </c>
      <c r="F7" s="2" t="s">
        <v>47</v>
      </c>
      <c r="G7" s="2" t="s">
        <v>419</v>
      </c>
      <c r="H7" s="2" t="s">
        <v>497</v>
      </c>
      <c r="I7" s="2" t="s">
        <v>498</v>
      </c>
      <c r="J7" s="2" t="s">
        <v>49</v>
      </c>
      <c r="K7" s="2" t="s">
        <v>499</v>
      </c>
      <c r="L7" s="2" t="s">
        <v>500</v>
      </c>
      <c r="M7" s="2" t="s">
        <v>483</v>
      </c>
      <c r="N7" s="2" t="s">
        <v>484</v>
      </c>
      <c r="O7" s="2" t="s">
        <v>110</v>
      </c>
      <c r="P7" s="2" t="s">
        <v>493</v>
      </c>
      <c r="Q7" s="2">
        <f>IF(A7="","",IFERROR(INDEX(Пользовательские_сценарии!$O$5:$O$304,MATCH(E7,Пользовательские_сценарии!$A$5:$A$304,0)),0))</f>
        <v>68</v>
      </c>
      <c r="R7" s="2" t="s">
        <v>486</v>
      </c>
      <c r="S7" s="2">
        <v>4</v>
      </c>
      <c r="T7" s="4">
        <f t="shared" si="0"/>
        <v>1</v>
      </c>
      <c r="U7" s="2"/>
    </row>
    <row r="8" spans="1:21" ht="27">
      <c r="A8" s="2" t="s">
        <v>501</v>
      </c>
      <c r="B8" s="2" t="s">
        <v>115</v>
      </c>
      <c r="C8" s="2" t="s">
        <v>502</v>
      </c>
      <c r="D8" s="2" t="s">
        <v>503</v>
      </c>
      <c r="E8" s="2" t="s">
        <v>52</v>
      </c>
      <c r="F8" s="2" t="s">
        <v>47</v>
      </c>
      <c r="G8" s="2" t="s">
        <v>419</v>
      </c>
      <c r="H8" s="2" t="s">
        <v>504</v>
      </c>
      <c r="I8" s="2" t="s">
        <v>505</v>
      </c>
      <c r="J8" s="2" t="s">
        <v>506</v>
      </c>
      <c r="K8" s="2" t="s">
        <v>507</v>
      </c>
      <c r="L8" s="2" t="s">
        <v>508</v>
      </c>
      <c r="M8" s="2" t="s">
        <v>483</v>
      </c>
      <c r="N8" s="2" t="s">
        <v>484</v>
      </c>
      <c r="O8" s="2" t="s">
        <v>110</v>
      </c>
      <c r="P8" s="2" t="s">
        <v>509</v>
      </c>
      <c r="Q8" s="2">
        <f>IF(A8="","",IFERROR(INDEX(Пользовательские_сценарии!$O$5:$O$304,MATCH(E8,Пользовательские_сценарии!$A$5:$A$304,0)),0))</f>
        <v>68</v>
      </c>
      <c r="R8" s="2" t="s">
        <v>486</v>
      </c>
      <c r="S8" s="2">
        <v>5</v>
      </c>
      <c r="T8" s="4">
        <f t="shared" si="0"/>
        <v>1</v>
      </c>
      <c r="U8" s="2"/>
    </row>
    <row r="9" spans="1:21" ht="27">
      <c r="A9" s="2" t="s">
        <v>510</v>
      </c>
      <c r="B9" s="2" t="s">
        <v>115</v>
      </c>
      <c r="C9" s="2" t="s">
        <v>511</v>
      </c>
      <c r="D9" s="2" t="s">
        <v>512</v>
      </c>
      <c r="E9" s="2" t="s">
        <v>447</v>
      </c>
      <c r="F9" s="2" t="s">
        <v>51</v>
      </c>
      <c r="G9" s="2" t="s">
        <v>419</v>
      </c>
      <c r="H9" s="2" t="s">
        <v>513</v>
      </c>
      <c r="I9" s="2" t="s">
        <v>514</v>
      </c>
      <c r="J9" s="2" t="s">
        <v>515</v>
      </c>
      <c r="K9" s="2" t="s">
        <v>516</v>
      </c>
      <c r="L9" s="2" t="s">
        <v>517</v>
      </c>
      <c r="M9" s="2" t="s">
        <v>483</v>
      </c>
      <c r="N9" s="2" t="s">
        <v>484</v>
      </c>
      <c r="O9" s="2" t="s">
        <v>257</v>
      </c>
      <c r="P9" s="2" t="s">
        <v>518</v>
      </c>
      <c r="Q9" s="2">
        <f>IF(A9="","",IFERROR(INDEX(Пользовательские_сценарии!$O$5:$O$304,MATCH(E9,Пользовательские_сценарии!$A$5:$A$304,0)),0))</f>
        <v>45</v>
      </c>
      <c r="R9" s="2" t="s">
        <v>486</v>
      </c>
      <c r="S9" s="2">
        <v>4</v>
      </c>
      <c r="T9" s="4">
        <f t="shared" si="0"/>
        <v>1</v>
      </c>
      <c r="U9" s="2"/>
    </row>
    <row r="10" spans="1:21" ht="27">
      <c r="A10" s="2" t="s">
        <v>519</v>
      </c>
      <c r="B10" s="2" t="s">
        <v>115</v>
      </c>
      <c r="C10" s="2" t="s">
        <v>520</v>
      </c>
      <c r="D10" s="2" t="s">
        <v>521</v>
      </c>
      <c r="E10" s="2" t="s">
        <v>85</v>
      </c>
      <c r="F10" s="2" t="s">
        <v>47</v>
      </c>
      <c r="G10" s="2" t="s">
        <v>86</v>
      </c>
      <c r="H10" s="2" t="s">
        <v>522</v>
      </c>
      <c r="I10" s="2" t="s">
        <v>523</v>
      </c>
      <c r="J10" s="2" t="s">
        <v>524</v>
      </c>
      <c r="K10" s="2" t="s">
        <v>525</v>
      </c>
      <c r="L10" s="2" t="s">
        <v>526</v>
      </c>
      <c r="M10" s="2" t="s">
        <v>483</v>
      </c>
      <c r="N10" s="2" t="s">
        <v>484</v>
      </c>
      <c r="O10" s="2" t="s">
        <v>110</v>
      </c>
      <c r="P10" s="2" t="s">
        <v>527</v>
      </c>
      <c r="Q10" s="2">
        <f>IF(A10="","",IFERROR(INDEX(Пользовательские_сценарии!$O$5:$O$304,MATCH(E10,Пользовательские_сценарии!$A$5:$A$304,0)),0))</f>
        <v>59</v>
      </c>
      <c r="R10" s="2" t="s">
        <v>486</v>
      </c>
      <c r="S10" s="2">
        <v>4</v>
      </c>
      <c r="T10" s="4">
        <f t="shared" si="0"/>
        <v>1</v>
      </c>
      <c r="U10" s="2"/>
    </row>
    <row r="11" spans="1:21" ht="27">
      <c r="A11" s="2" t="s">
        <v>528</v>
      </c>
      <c r="B11" s="2" t="s">
        <v>108</v>
      </c>
      <c r="C11" s="2" t="s">
        <v>529</v>
      </c>
      <c r="D11" s="2" t="s">
        <v>530</v>
      </c>
      <c r="E11" s="2" t="s">
        <v>48</v>
      </c>
      <c r="F11" s="2" t="s">
        <v>51</v>
      </c>
      <c r="G11" s="2" t="s">
        <v>301</v>
      </c>
      <c r="H11" s="2" t="s">
        <v>531</v>
      </c>
      <c r="I11" s="2" t="s">
        <v>532</v>
      </c>
      <c r="J11" s="2" t="s">
        <v>533</v>
      </c>
      <c r="K11" s="2" t="s">
        <v>534</v>
      </c>
      <c r="L11" s="2" t="s">
        <v>535</v>
      </c>
      <c r="M11" s="2" t="s">
        <v>483</v>
      </c>
      <c r="N11" s="2" t="s">
        <v>484</v>
      </c>
      <c r="O11" s="2" t="s">
        <v>110</v>
      </c>
      <c r="P11" s="2" t="s">
        <v>536</v>
      </c>
      <c r="Q11" s="2">
        <f>IF(A11="","",IFERROR(INDEX(Пользовательские_сценарии!$O$5:$O$304,MATCH(E11,Пользовательские_сценарии!$A$5:$A$304,0)),0))</f>
        <v>61</v>
      </c>
      <c r="R11" s="2" t="s">
        <v>486</v>
      </c>
      <c r="S11" s="2">
        <v>5</v>
      </c>
      <c r="T11" s="4">
        <f t="shared" si="0"/>
        <v>1</v>
      </c>
      <c r="U11" s="2"/>
    </row>
    <row r="12" spans="1:21" ht="27">
      <c r="A12" s="2" t="s">
        <v>537</v>
      </c>
      <c r="B12" s="2" t="s">
        <v>115</v>
      </c>
      <c r="C12" s="2" t="s">
        <v>301</v>
      </c>
      <c r="D12" s="2" t="s">
        <v>538</v>
      </c>
      <c r="E12" s="2" t="s">
        <v>48</v>
      </c>
      <c r="F12" s="2" t="s">
        <v>51</v>
      </c>
      <c r="G12" s="2" t="s">
        <v>301</v>
      </c>
      <c r="H12" s="2" t="s">
        <v>539</v>
      </c>
      <c r="I12" s="2" t="s">
        <v>540</v>
      </c>
      <c r="J12" s="2" t="s">
        <v>541</v>
      </c>
      <c r="K12" s="2" t="s">
        <v>542</v>
      </c>
      <c r="L12" s="2" t="s">
        <v>543</v>
      </c>
      <c r="M12" s="2" t="s">
        <v>483</v>
      </c>
      <c r="N12" s="2" t="s">
        <v>484</v>
      </c>
      <c r="O12" s="2" t="s">
        <v>257</v>
      </c>
      <c r="P12" s="2" t="s">
        <v>536</v>
      </c>
      <c r="Q12" s="2">
        <f>IF(A12="","",IFERROR(INDEX(Пользовательские_сценарии!$O$5:$O$304,MATCH(E12,Пользовательские_сценарии!$A$5:$A$304,0)),0))</f>
        <v>61</v>
      </c>
      <c r="R12" s="2" t="s">
        <v>486</v>
      </c>
      <c r="S12" s="2">
        <v>4</v>
      </c>
      <c r="T12" s="4">
        <f t="shared" si="0"/>
        <v>1</v>
      </c>
      <c r="U12" s="2"/>
    </row>
    <row r="13" spans="1:21" ht="27">
      <c r="A13" s="2" t="s">
        <v>544</v>
      </c>
      <c r="B13" s="2" t="s">
        <v>108</v>
      </c>
      <c r="C13" s="2" t="s">
        <v>545</v>
      </c>
      <c r="D13" s="2" t="s">
        <v>546</v>
      </c>
      <c r="E13" s="2" t="s">
        <v>471</v>
      </c>
      <c r="F13" s="2" t="s">
        <v>401</v>
      </c>
      <c r="G13" s="2" t="s">
        <v>84</v>
      </c>
      <c r="H13" s="2" t="s">
        <v>547</v>
      </c>
      <c r="I13" s="2" t="s">
        <v>548</v>
      </c>
      <c r="J13" s="2" t="s">
        <v>549</v>
      </c>
      <c r="K13" s="2" t="s">
        <v>550</v>
      </c>
      <c r="L13" s="2" t="s">
        <v>551</v>
      </c>
      <c r="M13" s="2" t="s">
        <v>483</v>
      </c>
      <c r="N13" s="2" t="s">
        <v>484</v>
      </c>
      <c r="O13" s="2" t="s">
        <v>110</v>
      </c>
      <c r="P13" s="2" t="s">
        <v>509</v>
      </c>
      <c r="Q13" s="2">
        <f>IF(A13="","",IFERROR(INDEX(Пользовательские_сценарии!$O$5:$O$304,MATCH(E13,Пользовательские_сценарии!$A$5:$A$304,0)),0))</f>
        <v>38</v>
      </c>
      <c r="R13" s="2" t="s">
        <v>486</v>
      </c>
      <c r="S13" s="2">
        <v>4</v>
      </c>
      <c r="T13" s="4">
        <f t="shared" si="0"/>
        <v>1</v>
      </c>
      <c r="U13" s="2"/>
    </row>
    <row r="14" spans="1:21" ht="27">
      <c r="A14" s="2" t="s">
        <v>552</v>
      </c>
      <c r="B14" s="2" t="s">
        <v>115</v>
      </c>
      <c r="C14" s="2" t="s">
        <v>553</v>
      </c>
      <c r="D14" s="2" t="s">
        <v>554</v>
      </c>
      <c r="E14" s="2" t="s">
        <v>471</v>
      </c>
      <c r="F14" s="2" t="s">
        <v>401</v>
      </c>
      <c r="G14" s="2" t="s">
        <v>306</v>
      </c>
      <c r="H14" s="2" t="s">
        <v>555</v>
      </c>
      <c r="I14" s="2" t="s">
        <v>556</v>
      </c>
      <c r="J14" s="2" t="s">
        <v>549</v>
      </c>
      <c r="K14" s="2" t="s">
        <v>557</v>
      </c>
      <c r="L14" s="2" t="s">
        <v>558</v>
      </c>
      <c r="M14" s="2" t="s">
        <v>483</v>
      </c>
      <c r="N14" s="2" t="s">
        <v>484</v>
      </c>
      <c r="O14" s="2" t="s">
        <v>257</v>
      </c>
      <c r="P14" s="2" t="s">
        <v>509</v>
      </c>
      <c r="Q14" s="2">
        <f>IF(A14="","",IFERROR(INDEX(Пользовательские_сценарии!$O$5:$O$304,MATCH(E14,Пользовательские_сценарии!$A$5:$A$304,0)),0))</f>
        <v>38</v>
      </c>
      <c r="R14" s="2" t="s">
        <v>486</v>
      </c>
      <c r="S14" s="2">
        <v>4</v>
      </c>
      <c r="T14" s="4">
        <f t="shared" si="0"/>
        <v>1</v>
      </c>
      <c r="U14" s="2"/>
    </row>
    <row r="15" spans="1:21" ht="27">
      <c r="A15" s="2" t="s">
        <v>559</v>
      </c>
      <c r="B15" s="2" t="s">
        <v>115</v>
      </c>
      <c r="C15" s="2" t="s">
        <v>560</v>
      </c>
      <c r="D15" s="2" t="s">
        <v>561</v>
      </c>
      <c r="E15" s="2" t="s">
        <v>436</v>
      </c>
      <c r="F15" s="2" t="s">
        <v>47</v>
      </c>
      <c r="G15" s="2" t="s">
        <v>116</v>
      </c>
      <c r="H15" s="2" t="s">
        <v>562</v>
      </c>
      <c r="I15" s="2" t="s">
        <v>563</v>
      </c>
      <c r="J15" s="2" t="s">
        <v>524</v>
      </c>
      <c r="K15" s="2" t="s">
        <v>564</v>
      </c>
      <c r="L15" s="2" t="s">
        <v>565</v>
      </c>
      <c r="M15" s="2" t="s">
        <v>483</v>
      </c>
      <c r="N15" s="2" t="s">
        <v>484</v>
      </c>
      <c r="O15" s="2" t="s">
        <v>257</v>
      </c>
      <c r="P15" s="2" t="s">
        <v>566</v>
      </c>
      <c r="Q15" s="2">
        <f>IF(A15="","",IFERROR(INDEX(Пользовательские_сценарии!$O$5:$O$304,MATCH(E15,Пользовательские_сценарии!$A$5:$A$304,0)),0))</f>
        <v>52</v>
      </c>
      <c r="R15" s="2" t="s">
        <v>486</v>
      </c>
      <c r="S15" s="2">
        <v>3</v>
      </c>
      <c r="T15" s="4">
        <f t="shared" si="0"/>
        <v>1</v>
      </c>
      <c r="U15" s="2"/>
    </row>
    <row r="16" spans="1:21" ht="27">
      <c r="A16" s="2" t="s">
        <v>567</v>
      </c>
      <c r="B16" s="2" t="s">
        <v>115</v>
      </c>
      <c r="C16" s="2" t="s">
        <v>568</v>
      </c>
      <c r="D16" s="2" t="s">
        <v>569</v>
      </c>
      <c r="E16" s="2" t="s">
        <v>442</v>
      </c>
      <c r="F16" s="2" t="s">
        <v>47</v>
      </c>
      <c r="G16" s="2" t="s">
        <v>419</v>
      </c>
      <c r="H16" s="2" t="s">
        <v>570</v>
      </c>
      <c r="I16" s="2" t="s">
        <v>571</v>
      </c>
      <c r="J16" s="2" t="s">
        <v>572</v>
      </c>
      <c r="K16" s="2" t="s">
        <v>573</v>
      </c>
      <c r="L16" s="2" t="s">
        <v>574</v>
      </c>
      <c r="M16" s="2" t="s">
        <v>483</v>
      </c>
      <c r="N16" s="2" t="s">
        <v>484</v>
      </c>
      <c r="O16" s="2" t="s">
        <v>257</v>
      </c>
      <c r="P16" s="2" t="s">
        <v>566</v>
      </c>
      <c r="Q16" s="2">
        <f>IF(A16="","",IFERROR(INDEX(Пользовательские_сценарии!$O$5:$O$304,MATCH(E16,Пользовательские_сценарии!$A$5:$A$304,0)),0))</f>
        <v>68</v>
      </c>
      <c r="R16" s="2" t="s">
        <v>575</v>
      </c>
      <c r="S16" s="2">
        <v>3</v>
      </c>
      <c r="T16" s="4">
        <f t="shared" si="0"/>
        <v>1</v>
      </c>
      <c r="U16" s="2"/>
    </row>
    <row r="17" spans="1:21" ht="27">
      <c r="A17" s="2" t="s">
        <v>576</v>
      </c>
      <c r="B17" s="2" t="s">
        <v>115</v>
      </c>
      <c r="C17" s="2" t="s">
        <v>577</v>
      </c>
      <c r="D17" s="2" t="s">
        <v>578</v>
      </c>
      <c r="E17" s="2" t="s">
        <v>465</v>
      </c>
      <c r="F17" s="2" t="s">
        <v>413</v>
      </c>
      <c r="G17" s="2" t="s">
        <v>301</v>
      </c>
      <c r="H17" s="2" t="s">
        <v>579</v>
      </c>
      <c r="I17" s="2" t="s">
        <v>580</v>
      </c>
      <c r="J17" s="2" t="s">
        <v>581</v>
      </c>
      <c r="K17" s="2" t="s">
        <v>582</v>
      </c>
      <c r="L17" s="2" t="s">
        <v>583</v>
      </c>
      <c r="M17" s="2" t="s">
        <v>483</v>
      </c>
      <c r="N17" s="2" t="s">
        <v>484</v>
      </c>
      <c r="O17" s="2" t="s">
        <v>257</v>
      </c>
      <c r="P17" s="2" t="s">
        <v>518</v>
      </c>
      <c r="Q17" s="2">
        <f>IF(A17="","",IFERROR(INDEX(Пользовательские_сценарии!$O$5:$O$304,MATCH(E17,Пользовательские_сценарии!$A$5:$A$304,0)),0))</f>
        <v>29</v>
      </c>
      <c r="R17" s="2" t="s">
        <v>575</v>
      </c>
      <c r="S17" s="2">
        <v>3</v>
      </c>
      <c r="T17" s="4">
        <f t="shared" si="0"/>
        <v>1</v>
      </c>
      <c r="U17" s="2"/>
    </row>
    <row r="18" spans="1:21" ht="27">
      <c r="A18" s="2" t="s">
        <v>584</v>
      </c>
      <c r="B18" s="2" t="s">
        <v>108</v>
      </c>
      <c r="C18" s="2" t="s">
        <v>585</v>
      </c>
      <c r="D18" s="2" t="s">
        <v>586</v>
      </c>
      <c r="E18" s="2" t="s">
        <v>52</v>
      </c>
      <c r="F18" s="2" t="s">
        <v>47</v>
      </c>
      <c r="G18" s="2" t="s">
        <v>84</v>
      </c>
      <c r="H18" s="2" t="s">
        <v>587</v>
      </c>
      <c r="I18" s="2" t="s">
        <v>588</v>
      </c>
      <c r="J18" s="2" t="s">
        <v>533</v>
      </c>
      <c r="K18" s="2" t="s">
        <v>589</v>
      </c>
      <c r="L18" s="2" t="s">
        <v>590</v>
      </c>
      <c r="M18" s="2" t="s">
        <v>483</v>
      </c>
      <c r="N18" s="2" t="s">
        <v>484</v>
      </c>
      <c r="O18" s="2" t="s">
        <v>110</v>
      </c>
      <c r="P18" s="2" t="s">
        <v>509</v>
      </c>
      <c r="Q18" s="2">
        <f>IF(A18="","",IFERROR(INDEX(Пользовательские_сценарии!$O$5:$O$304,MATCH(E18,Пользовательские_сценарии!$A$5:$A$304,0)),0))</f>
        <v>68</v>
      </c>
      <c r="R18" s="2" t="s">
        <v>486</v>
      </c>
      <c r="S18" s="2">
        <v>3</v>
      </c>
      <c r="T18" s="4">
        <f t="shared" si="0"/>
        <v>1</v>
      </c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tr">
        <f>IF(A19="","",IFERROR(INDEX(Пользовательские_сценарии!$O$5:$O$304,MATCH(E19,Пользовательские_сценарии!$A$5:$A$304,0)),0))</f>
        <v/>
      </c>
      <c r="R19" s="2"/>
      <c r="S19" s="2"/>
      <c r="T19" s="4" t="str">
        <f t="shared" si="0"/>
        <v/>
      </c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tr">
        <f>IF(A20="","",IFERROR(INDEX(Пользовательские_сценарии!$O$5:$O$304,MATCH(E20,Пользовательские_сценарии!$A$5:$A$304,0)),0))</f>
        <v/>
      </c>
      <c r="R20" s="2"/>
      <c r="S20" s="2"/>
      <c r="T20" s="4" t="str">
        <f t="shared" si="0"/>
        <v/>
      </c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tr">
        <f>IF(A21="","",IFERROR(INDEX(Пользовательские_сценарии!$O$5:$O$304,MATCH(E21,Пользовательские_сценарии!$A$5:$A$304,0)),0))</f>
        <v/>
      </c>
      <c r="R21" s="2"/>
      <c r="S21" s="2"/>
      <c r="T21" s="4" t="str">
        <f t="shared" si="0"/>
        <v/>
      </c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tr">
        <f>IF(A22="","",IFERROR(INDEX(Пользовательские_сценарии!$O$5:$O$304,MATCH(E22,Пользовательские_сценарии!$A$5:$A$304,0)),0))</f>
        <v/>
      </c>
      <c r="R22" s="2"/>
      <c r="S22" s="2"/>
      <c r="T22" s="4" t="str">
        <f t="shared" si="0"/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tr">
        <f>IF(A23="","",IFERROR(INDEX(Пользовательские_сценарии!$O$5:$O$304,MATCH(E23,Пользовательские_сценарии!$A$5:$A$304,0)),0))</f>
        <v/>
      </c>
      <c r="R23" s="2"/>
      <c r="S23" s="2"/>
      <c r="T23" s="4" t="str">
        <f t="shared" si="0"/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tr">
        <f>IF(A24="","",IFERROR(INDEX(Пользовательские_сценарии!$O$5:$O$304,MATCH(E24,Пользовательские_сценарии!$A$5:$A$304,0)),0))</f>
        <v/>
      </c>
      <c r="R24" s="2"/>
      <c r="S24" s="2"/>
      <c r="T24" s="4" t="str">
        <f t="shared" si="0"/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tr">
        <f>IF(A25="","",IFERROR(INDEX(Пользовательские_сценарии!$O$5:$O$304,MATCH(E25,Пользовательские_сценарии!$A$5:$A$304,0)),0))</f>
        <v/>
      </c>
      <c r="R25" s="2"/>
      <c r="S25" s="2"/>
      <c r="T25" s="4" t="str">
        <f t="shared" si="0"/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tr">
        <f>IF(A26="","",IFERROR(INDEX(Пользовательские_сценарии!$O$5:$O$304,MATCH(E26,Пользовательские_сценарии!$A$5:$A$304,0)),0))</f>
        <v/>
      </c>
      <c r="R26" s="2"/>
      <c r="S26" s="2"/>
      <c r="T26" s="4" t="str">
        <f t="shared" si="0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tr">
        <f>IF(A27="","",IFERROR(INDEX(Пользовательские_сценарии!$O$5:$O$304,MATCH(E27,Пользовательские_сценарии!$A$5:$A$304,0)),0))</f>
        <v/>
      </c>
      <c r="R27" s="2"/>
      <c r="S27" s="2"/>
      <c r="T27" s="4" t="str">
        <f t="shared" si="0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tr">
        <f>IF(A28="","",IFERROR(INDEX(Пользовательские_сценарии!$O$5:$O$304,MATCH(E28,Пользовательские_сценарии!$A$5:$A$304,0)),0))</f>
        <v/>
      </c>
      <c r="R28" s="2"/>
      <c r="S28" s="2"/>
      <c r="T28" s="4" t="str">
        <f t="shared" si="0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tr">
        <f>IF(A29="","",IFERROR(INDEX(Пользовательские_сценарии!$O$5:$O$304,MATCH(E29,Пользовательские_сценарии!$A$5:$A$304,0)),0))</f>
        <v/>
      </c>
      <c r="R29" s="2"/>
      <c r="S29" s="2"/>
      <c r="T29" s="4" t="str">
        <f t="shared" si="0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tr">
        <f>IF(A30="","",IFERROR(INDEX(Пользовательские_сценарии!$O$5:$O$304,MATCH(E30,Пользовательские_сценарии!$A$5:$A$304,0)),0))</f>
        <v/>
      </c>
      <c r="R30" s="2"/>
      <c r="S30" s="2"/>
      <c r="T30" s="4" t="str">
        <f t="shared" si="0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tr">
        <f>IF(A31="","",IFERROR(INDEX(Пользовательские_сценарии!$O$5:$O$304,MATCH(E31,Пользовательские_сценарии!$A$5:$A$304,0)),0))</f>
        <v/>
      </c>
      <c r="R31" s="2"/>
      <c r="S31" s="2"/>
      <c r="T31" s="4" t="str">
        <f t="shared" si="0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tr">
        <f>IF(A32="","",IFERROR(INDEX(Пользовательские_сценарии!$O$5:$O$304,MATCH(E32,Пользовательские_сценарии!$A$5:$A$304,0)),0))</f>
        <v/>
      </c>
      <c r="R32" s="2"/>
      <c r="S32" s="2"/>
      <c r="T32" s="4" t="str">
        <f t="shared" si="0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tr">
        <f>IF(A33="","",IFERROR(INDEX(Пользовательские_сценарии!$O$5:$O$304,MATCH(E33,Пользовательские_сценарии!$A$5:$A$304,0)),0))</f>
        <v/>
      </c>
      <c r="R33" s="2"/>
      <c r="S33" s="2"/>
      <c r="T33" s="4" t="str">
        <f t="shared" si="0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tr">
        <f>IF(A34="","",IFERROR(INDEX(Пользовательские_сценарии!$O$5:$O$304,MATCH(E34,Пользовательские_сценарии!$A$5:$A$304,0)),0))</f>
        <v/>
      </c>
      <c r="R34" s="2"/>
      <c r="S34" s="2"/>
      <c r="T34" s="4" t="str">
        <f t="shared" si="0"/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tr">
        <f>IF(A35="","",IFERROR(INDEX(Пользовательские_сценарии!$O$5:$O$304,MATCH(E35,Пользовательские_сценарии!$A$5:$A$304,0)),0))</f>
        <v/>
      </c>
      <c r="R35" s="2"/>
      <c r="S35" s="2"/>
      <c r="T35" s="4" t="str">
        <f t="shared" si="0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tr">
        <f>IF(A36="","",IFERROR(INDEX(Пользовательские_сценарии!$O$5:$O$304,MATCH(E36,Пользовательские_сценарии!$A$5:$A$304,0)),0))</f>
        <v/>
      </c>
      <c r="R36" s="2"/>
      <c r="S36" s="2"/>
      <c r="T36" s="4" t="str">
        <f t="shared" si="0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tr">
        <f>IF(A37="","",IFERROR(INDEX(Пользовательские_сценарии!$O$5:$O$304,MATCH(E37,Пользовательские_сценарии!$A$5:$A$304,0)),0))</f>
        <v/>
      </c>
      <c r="R37" s="2"/>
      <c r="S37" s="2"/>
      <c r="T37" s="4" t="str">
        <f t="shared" si="0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tr">
        <f>IF(A38="","",IFERROR(INDEX(Пользовательские_сценарии!$O$5:$O$304,MATCH(E38,Пользовательские_сценарии!$A$5:$A$304,0)),0))</f>
        <v/>
      </c>
      <c r="R38" s="2"/>
      <c r="S38" s="2"/>
      <c r="T38" s="4" t="str">
        <f t="shared" si="0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tr">
        <f>IF(A39="","",IFERROR(INDEX(Пользовательские_сценарии!$O$5:$O$304,MATCH(E39,Пользовательские_сценарии!$A$5:$A$304,0)),0))</f>
        <v/>
      </c>
      <c r="R39" s="2"/>
      <c r="S39" s="2"/>
      <c r="T39" s="4" t="str">
        <f t="shared" si="0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tr">
        <f>IF(A40="","",IFERROR(INDEX(Пользовательские_сценарии!$O$5:$O$304,MATCH(E40,Пользовательские_сценарии!$A$5:$A$304,0)),0))</f>
        <v/>
      </c>
      <c r="R40" s="2"/>
      <c r="S40" s="2"/>
      <c r="T40" s="4" t="str">
        <f t="shared" si="0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tr">
        <f>IF(A41="","",IFERROR(INDEX(Пользовательские_сценарии!$O$5:$O$304,MATCH(E41,Пользовательские_сценарии!$A$5:$A$304,0)),0))</f>
        <v/>
      </c>
      <c r="R41" s="2"/>
      <c r="S41" s="2"/>
      <c r="T41" s="4" t="str">
        <f t="shared" si="0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tr">
        <f>IF(A42="","",IFERROR(INDEX(Пользовательские_сценарии!$O$5:$O$304,MATCH(E42,Пользовательские_сценарии!$A$5:$A$304,0)),0))</f>
        <v/>
      </c>
      <c r="R42" s="2"/>
      <c r="S42" s="2"/>
      <c r="T42" s="4" t="str">
        <f t="shared" si="0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tr">
        <f>IF(A43="","",IFERROR(INDEX(Пользовательские_сценарии!$O$5:$O$304,MATCH(E43,Пользовательские_сценарии!$A$5:$A$304,0)),0))</f>
        <v/>
      </c>
      <c r="R43" s="2"/>
      <c r="S43" s="2"/>
      <c r="T43" s="4" t="str">
        <f t="shared" si="0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tr">
        <f>IF(A44="","",IFERROR(INDEX(Пользовательские_сценарии!$O$5:$O$304,MATCH(E44,Пользовательские_сценарии!$A$5:$A$304,0)),0))</f>
        <v/>
      </c>
      <c r="R44" s="2"/>
      <c r="S44" s="2"/>
      <c r="T44" s="4" t="str">
        <f t="shared" si="0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tr">
        <f>IF(A45="","",IFERROR(INDEX(Пользовательские_сценарии!$O$5:$O$304,MATCH(E45,Пользовательские_сценарии!$A$5:$A$304,0)),0))</f>
        <v/>
      </c>
      <c r="R45" s="2"/>
      <c r="S45" s="2"/>
      <c r="T45" s="4" t="str">
        <f t="shared" si="0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tr">
        <f>IF(A46="","",IFERROR(INDEX(Пользовательские_сценарии!$O$5:$O$304,MATCH(E46,Пользовательские_сценарии!$A$5:$A$304,0)),0))</f>
        <v/>
      </c>
      <c r="R46" s="2"/>
      <c r="S46" s="2"/>
      <c r="T46" s="4" t="str">
        <f t="shared" si="0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tr">
        <f>IF(A47="","",IFERROR(INDEX(Пользовательские_сценарии!$O$5:$O$304,MATCH(E47,Пользовательские_сценарии!$A$5:$A$304,0)),0))</f>
        <v/>
      </c>
      <c r="R47" s="2"/>
      <c r="S47" s="2"/>
      <c r="T47" s="4" t="str">
        <f t="shared" si="0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tr">
        <f>IF(A48="","",IFERROR(INDEX(Пользовательские_сценарии!$O$5:$O$304,MATCH(E48,Пользовательские_сценарии!$A$5:$A$304,0)),0))</f>
        <v/>
      </c>
      <c r="R48" s="2"/>
      <c r="S48" s="2"/>
      <c r="T48" s="4" t="str">
        <f t="shared" si="0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tr">
        <f>IF(A49="","",IFERROR(INDEX(Пользовательские_сценарии!$O$5:$O$304,MATCH(E49,Пользовательские_сценарии!$A$5:$A$304,0)),0))</f>
        <v/>
      </c>
      <c r="R49" s="2"/>
      <c r="S49" s="2"/>
      <c r="T49" s="4" t="str">
        <f t="shared" si="0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tr">
        <f>IF(A50="","",IFERROR(INDEX(Пользовательские_сценарии!$O$5:$O$304,MATCH(E50,Пользовательские_сценарии!$A$5:$A$304,0)),0))</f>
        <v/>
      </c>
      <c r="R50" s="2"/>
      <c r="S50" s="2"/>
      <c r="T50" s="4" t="str">
        <f t="shared" si="0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tr">
        <f>IF(A51="","",IFERROR(INDEX(Пользовательские_сценарии!$O$5:$O$304,MATCH(E51,Пользовательские_сценарии!$A$5:$A$304,0)),0))</f>
        <v/>
      </c>
      <c r="R51" s="2"/>
      <c r="S51" s="2"/>
      <c r="T51" s="4" t="str">
        <f t="shared" si="0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tr">
        <f>IF(A52="","",IFERROR(INDEX(Пользовательские_сценарии!$O$5:$O$304,MATCH(E52,Пользовательские_сценарии!$A$5:$A$304,0)),0))</f>
        <v/>
      </c>
      <c r="R52" s="2"/>
      <c r="S52" s="2"/>
      <c r="T52" s="4" t="str">
        <f t="shared" si="0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 t="str">
        <f>IF(A53="","",IFERROR(INDEX(Пользовательские_сценарии!$O$5:$O$304,MATCH(E53,Пользовательские_сценарии!$A$5:$A$304,0)),0))</f>
        <v/>
      </c>
      <c r="R53" s="2"/>
      <c r="S53" s="2"/>
      <c r="T53" s="4" t="str">
        <f t="shared" si="0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str">
        <f>IF(A54="","",IFERROR(INDEX(Пользовательские_сценарии!$O$5:$O$304,MATCH(E54,Пользовательские_сценарии!$A$5:$A$304,0)),0))</f>
        <v/>
      </c>
      <c r="R54" s="2"/>
      <c r="S54" s="2"/>
      <c r="T54" s="4" t="str">
        <f t="shared" si="0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 t="str">
        <f>IF(A55="","",IFERROR(INDEX(Пользовательские_сценарии!$O$5:$O$304,MATCH(E55,Пользовательские_сценарии!$A$5:$A$304,0)),0))</f>
        <v/>
      </c>
      <c r="R55" s="2"/>
      <c r="S55" s="2"/>
      <c r="T55" s="4" t="str">
        <f t="shared" si="0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tr">
        <f>IF(A56="","",IFERROR(INDEX(Пользовательские_сценарии!$O$5:$O$304,MATCH(E56,Пользовательские_сценарии!$A$5:$A$304,0)),0))</f>
        <v/>
      </c>
      <c r="R56" s="2"/>
      <c r="S56" s="2"/>
      <c r="T56" s="4" t="str">
        <f t="shared" si="0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tr">
        <f>IF(A57="","",IFERROR(INDEX(Пользовательские_сценарии!$O$5:$O$304,MATCH(E57,Пользовательские_сценарии!$A$5:$A$304,0)),0))</f>
        <v/>
      </c>
      <c r="R57" s="2"/>
      <c r="S57" s="2"/>
      <c r="T57" s="4" t="str">
        <f t="shared" si="0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tr">
        <f>IF(A58="","",IFERROR(INDEX(Пользовательские_сценарии!$O$5:$O$304,MATCH(E58,Пользовательские_сценарии!$A$5:$A$304,0)),0))</f>
        <v/>
      </c>
      <c r="R58" s="2"/>
      <c r="S58" s="2"/>
      <c r="T58" s="4" t="str">
        <f t="shared" si="0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 t="str">
        <f>IF(A59="","",IFERROR(INDEX(Пользовательские_сценарии!$O$5:$O$304,MATCH(E59,Пользовательские_сценарии!$A$5:$A$304,0)),0))</f>
        <v/>
      </c>
      <c r="R59" s="2"/>
      <c r="S59" s="2"/>
      <c r="T59" s="4" t="str">
        <f t="shared" si="0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tr">
        <f>IF(A60="","",IFERROR(INDEX(Пользовательские_сценарии!$O$5:$O$304,MATCH(E60,Пользовательские_сценарии!$A$5:$A$304,0)),0))</f>
        <v/>
      </c>
      <c r="R60" s="2"/>
      <c r="S60" s="2"/>
      <c r="T60" s="4" t="str">
        <f t="shared" si="0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tr">
        <f>IF(A61="","",IFERROR(INDEX(Пользовательские_сценарии!$O$5:$O$304,MATCH(E61,Пользовательские_сценарии!$A$5:$A$304,0)),0))</f>
        <v/>
      </c>
      <c r="R61" s="2"/>
      <c r="S61" s="2"/>
      <c r="T61" s="4" t="str">
        <f t="shared" si="0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tr">
        <f>IF(A62="","",IFERROR(INDEX(Пользовательские_сценарии!$O$5:$O$304,MATCH(E62,Пользовательские_сценарии!$A$5:$A$304,0)),0))</f>
        <v/>
      </c>
      <c r="R62" s="2"/>
      <c r="S62" s="2"/>
      <c r="T62" s="4" t="str">
        <f t="shared" si="0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 t="str">
        <f>IF(A63="","",IFERROR(INDEX(Пользовательские_сценарии!$O$5:$O$304,MATCH(E63,Пользовательские_сценарии!$A$5:$A$304,0)),0))</f>
        <v/>
      </c>
      <c r="R63" s="2"/>
      <c r="S63" s="2"/>
      <c r="T63" s="4" t="str">
        <f t="shared" si="0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tr">
        <f>IF(A64="","",IFERROR(INDEX(Пользовательские_сценарии!$O$5:$O$304,MATCH(E64,Пользовательские_сценарии!$A$5:$A$304,0)),0))</f>
        <v/>
      </c>
      <c r="R64" s="2"/>
      <c r="S64" s="2"/>
      <c r="T64" s="4" t="str">
        <f t="shared" si="0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tr">
        <f>IF(A65="","",IFERROR(INDEX(Пользовательские_сценарии!$O$5:$O$304,MATCH(E65,Пользовательские_сценарии!$A$5:$A$304,0)),0))</f>
        <v/>
      </c>
      <c r="R65" s="2"/>
      <c r="S65" s="2"/>
      <c r="T65" s="4" t="str">
        <f t="shared" si="0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 t="str">
        <f>IF(A66="","",IFERROR(INDEX(Пользовательские_сценарии!$O$5:$O$304,MATCH(E66,Пользовательские_сценарии!$A$5:$A$304,0)),0))</f>
        <v/>
      </c>
      <c r="R66" s="2"/>
      <c r="S66" s="2"/>
      <c r="T66" s="4" t="str">
        <f t="shared" si="0"/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 t="str">
        <f>IF(A67="","",IFERROR(INDEX(Пользовательские_сценарии!$O$5:$O$304,MATCH(E67,Пользовательские_сценарии!$A$5:$A$304,0)),0))</f>
        <v/>
      </c>
      <c r="R67" s="2"/>
      <c r="S67" s="2"/>
      <c r="T67" s="4" t="str">
        <f t="shared" si="0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tr">
        <f>IF(A68="","",IFERROR(INDEX(Пользовательские_сценарии!$O$5:$O$304,MATCH(E68,Пользовательские_сценарии!$A$5:$A$304,0)),0))</f>
        <v/>
      </c>
      <c r="R68" s="2"/>
      <c r="S68" s="2"/>
      <c r="T68" s="4" t="str">
        <f t="shared" si="0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 t="str">
        <f>IF(A69="","",IFERROR(INDEX(Пользовательские_сценарии!$O$5:$O$304,MATCH(E69,Пользовательские_сценарии!$A$5:$A$304,0)),0))</f>
        <v/>
      </c>
      <c r="R69" s="2"/>
      <c r="S69" s="2"/>
      <c r="T69" s="4" t="str">
        <f t="shared" ref="T69:T132" si="1">IF(A69="","",ROUND(COUNTA(D69:P69)/13,2))</f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tr">
        <f>IF(A70="","",IFERROR(INDEX(Пользовательские_сценарии!$O$5:$O$304,MATCH(E70,Пользовательские_сценарии!$A$5:$A$304,0)),0))</f>
        <v/>
      </c>
      <c r="R70" s="2"/>
      <c r="S70" s="2"/>
      <c r="T70" s="4" t="str">
        <f t="shared" si="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tr">
        <f>IF(A71="","",IFERROR(INDEX(Пользовательские_сценарии!$O$5:$O$304,MATCH(E71,Пользовательские_сценарии!$A$5:$A$304,0)),0))</f>
        <v/>
      </c>
      <c r="R71" s="2"/>
      <c r="S71" s="2"/>
      <c r="T71" s="4" t="str">
        <f t="shared" si="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 t="str">
        <f>IF(A72="","",IFERROR(INDEX(Пользовательские_сценарии!$O$5:$O$304,MATCH(E72,Пользовательские_сценарии!$A$5:$A$304,0)),0))</f>
        <v/>
      </c>
      <c r="R72" s="2"/>
      <c r="S72" s="2"/>
      <c r="T72" s="4" t="str">
        <f t="shared" si="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tr">
        <f>IF(A73="","",IFERROR(INDEX(Пользовательские_сценарии!$O$5:$O$304,MATCH(E73,Пользовательские_сценарии!$A$5:$A$304,0)),0))</f>
        <v/>
      </c>
      <c r="R73" s="2"/>
      <c r="S73" s="2"/>
      <c r="T73" s="4" t="str">
        <f t="shared" si="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 t="str">
        <f>IF(A74="","",IFERROR(INDEX(Пользовательские_сценарии!$O$5:$O$304,MATCH(E74,Пользовательские_сценарии!$A$5:$A$304,0)),0))</f>
        <v/>
      </c>
      <c r="R74" s="2"/>
      <c r="S74" s="2"/>
      <c r="T74" s="4" t="str">
        <f t="shared" si="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tr">
        <f>IF(A75="","",IFERROR(INDEX(Пользовательские_сценарии!$O$5:$O$304,MATCH(E75,Пользовательские_сценарии!$A$5:$A$304,0)),0))</f>
        <v/>
      </c>
      <c r="R75" s="2"/>
      <c r="S75" s="2"/>
      <c r="T75" s="4" t="str">
        <f t="shared" si="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tr">
        <f>IF(A76="","",IFERROR(INDEX(Пользовательские_сценарии!$O$5:$O$304,MATCH(E76,Пользовательские_сценарии!$A$5:$A$304,0)),0))</f>
        <v/>
      </c>
      <c r="R76" s="2"/>
      <c r="S76" s="2"/>
      <c r="T76" s="4" t="str">
        <f t="shared" si="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tr">
        <f>IF(A77="","",IFERROR(INDEX(Пользовательские_сценарии!$O$5:$O$304,MATCH(E77,Пользовательские_сценарии!$A$5:$A$304,0)),0))</f>
        <v/>
      </c>
      <c r="R77" s="2"/>
      <c r="S77" s="2"/>
      <c r="T77" s="4" t="str">
        <f t="shared" si="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tr">
        <f>IF(A78="","",IFERROR(INDEX(Пользовательские_сценарии!$O$5:$O$304,MATCH(E78,Пользовательские_сценарии!$A$5:$A$304,0)),0))</f>
        <v/>
      </c>
      <c r="R78" s="2"/>
      <c r="S78" s="2"/>
      <c r="T78" s="4" t="str">
        <f t="shared" si="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 t="str">
        <f>IF(A79="","",IFERROR(INDEX(Пользовательские_сценарии!$O$5:$O$304,MATCH(E79,Пользовательские_сценарии!$A$5:$A$304,0)),0))</f>
        <v/>
      </c>
      <c r="R79" s="2"/>
      <c r="S79" s="2"/>
      <c r="T79" s="4" t="str">
        <f t="shared" si="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tr">
        <f>IF(A80="","",IFERROR(INDEX(Пользовательские_сценарии!$O$5:$O$304,MATCH(E80,Пользовательские_сценарии!$A$5:$A$304,0)),0))</f>
        <v/>
      </c>
      <c r="R80" s="2"/>
      <c r="S80" s="2"/>
      <c r="T80" s="4" t="str">
        <f t="shared" si="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tr">
        <f>IF(A81="","",IFERROR(INDEX(Пользовательские_сценарии!$O$5:$O$304,MATCH(E81,Пользовательские_сценарии!$A$5:$A$304,0)),0))</f>
        <v/>
      </c>
      <c r="R81" s="2"/>
      <c r="S81" s="2"/>
      <c r="T81" s="4" t="str">
        <f t="shared" si="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tr">
        <f>IF(A82="","",IFERROR(INDEX(Пользовательские_сценарии!$O$5:$O$304,MATCH(E82,Пользовательские_сценарии!$A$5:$A$304,0)),0))</f>
        <v/>
      </c>
      <c r="R82" s="2"/>
      <c r="S82" s="2"/>
      <c r="T82" s="4" t="str">
        <f t="shared" si="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 t="str">
        <f>IF(A83="","",IFERROR(INDEX(Пользовательские_сценарии!$O$5:$O$304,MATCH(E83,Пользовательские_сценарии!$A$5:$A$304,0)),0))</f>
        <v/>
      </c>
      <c r="R83" s="2"/>
      <c r="S83" s="2"/>
      <c r="T83" s="4" t="str">
        <f t="shared" si="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tr">
        <f>IF(A84="","",IFERROR(INDEX(Пользовательские_сценарии!$O$5:$O$304,MATCH(E84,Пользовательские_сценарии!$A$5:$A$304,0)),0))</f>
        <v/>
      </c>
      <c r="R84" s="2"/>
      <c r="S84" s="2"/>
      <c r="T84" s="4" t="str">
        <f t="shared" si="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 t="str">
        <f>IF(A85="","",IFERROR(INDEX(Пользовательские_сценарии!$O$5:$O$304,MATCH(E85,Пользовательские_сценарии!$A$5:$A$304,0)),0))</f>
        <v/>
      </c>
      <c r="R85" s="2"/>
      <c r="S85" s="2"/>
      <c r="T85" s="4" t="str">
        <f t="shared" si="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tr">
        <f>IF(A86="","",IFERROR(INDEX(Пользовательские_сценарии!$O$5:$O$304,MATCH(E86,Пользовательские_сценарии!$A$5:$A$304,0)),0))</f>
        <v/>
      </c>
      <c r="R86" s="2"/>
      <c r="S86" s="2"/>
      <c r="T86" s="4" t="str">
        <f t="shared" si="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tr">
        <f>IF(A87="","",IFERROR(INDEX(Пользовательские_сценарии!$O$5:$O$304,MATCH(E87,Пользовательские_сценарии!$A$5:$A$304,0)),0))</f>
        <v/>
      </c>
      <c r="R87" s="2"/>
      <c r="S87" s="2"/>
      <c r="T87" s="4" t="str">
        <f t="shared" si="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tr">
        <f>IF(A88="","",IFERROR(INDEX(Пользовательские_сценарии!$O$5:$O$304,MATCH(E88,Пользовательские_сценарии!$A$5:$A$304,0)),0))</f>
        <v/>
      </c>
      <c r="R88" s="2"/>
      <c r="S88" s="2"/>
      <c r="T88" s="4" t="str">
        <f t="shared" si="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tr">
        <f>IF(A89="","",IFERROR(INDEX(Пользовательские_сценарии!$O$5:$O$304,MATCH(E89,Пользовательские_сценарии!$A$5:$A$304,0)),0))</f>
        <v/>
      </c>
      <c r="R89" s="2"/>
      <c r="S89" s="2"/>
      <c r="T89" s="4" t="str">
        <f t="shared" si="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tr">
        <f>IF(A90="","",IFERROR(INDEX(Пользовательские_сценарии!$O$5:$O$304,MATCH(E90,Пользовательские_сценарии!$A$5:$A$304,0)),0))</f>
        <v/>
      </c>
      <c r="R90" s="2"/>
      <c r="S90" s="2"/>
      <c r="T90" s="4" t="str">
        <f t="shared" si="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tr">
        <f>IF(A91="","",IFERROR(INDEX(Пользовательские_сценарии!$O$5:$O$304,MATCH(E91,Пользовательские_сценарии!$A$5:$A$304,0)),0))</f>
        <v/>
      </c>
      <c r="R91" s="2"/>
      <c r="S91" s="2"/>
      <c r="T91" s="4" t="str">
        <f t="shared" si="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tr">
        <f>IF(A92="","",IFERROR(INDEX(Пользовательские_сценарии!$O$5:$O$304,MATCH(E92,Пользовательские_сценарии!$A$5:$A$304,0)),0))</f>
        <v/>
      </c>
      <c r="R92" s="2"/>
      <c r="S92" s="2"/>
      <c r="T92" s="4" t="str">
        <f t="shared" si="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tr">
        <f>IF(A93="","",IFERROR(INDEX(Пользовательские_сценарии!$O$5:$O$304,MATCH(E93,Пользовательские_сценарии!$A$5:$A$304,0)),0))</f>
        <v/>
      </c>
      <c r="R93" s="2"/>
      <c r="S93" s="2"/>
      <c r="T93" s="4" t="str">
        <f t="shared" si="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tr">
        <f>IF(A94="","",IFERROR(INDEX(Пользовательские_сценарии!$O$5:$O$304,MATCH(E94,Пользовательские_сценарии!$A$5:$A$304,0)),0))</f>
        <v/>
      </c>
      <c r="R94" s="2"/>
      <c r="S94" s="2"/>
      <c r="T94" s="4" t="str">
        <f t="shared" si="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 t="str">
        <f>IF(A95="","",IFERROR(INDEX(Пользовательские_сценарии!$O$5:$O$304,MATCH(E95,Пользовательские_сценарии!$A$5:$A$304,0)),0))</f>
        <v/>
      </c>
      <c r="R95" s="2"/>
      <c r="S95" s="2"/>
      <c r="T95" s="4" t="str">
        <f t="shared" si="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 t="str">
        <f>IF(A96="","",IFERROR(INDEX(Пользовательские_сценарии!$O$5:$O$304,MATCH(E96,Пользовательские_сценарии!$A$5:$A$304,0)),0))</f>
        <v/>
      </c>
      <c r="R96" s="2"/>
      <c r="S96" s="2"/>
      <c r="T96" s="4" t="str">
        <f t="shared" si="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 t="str">
        <f>IF(A97="","",IFERROR(INDEX(Пользовательские_сценарии!$O$5:$O$304,MATCH(E97,Пользовательские_сценарии!$A$5:$A$304,0)),0))</f>
        <v/>
      </c>
      <c r="R97" s="2"/>
      <c r="S97" s="2"/>
      <c r="T97" s="4" t="str">
        <f t="shared" si="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 t="str">
        <f>IF(A98="","",IFERROR(INDEX(Пользовательские_сценарии!$O$5:$O$304,MATCH(E98,Пользовательские_сценарии!$A$5:$A$304,0)),0))</f>
        <v/>
      </c>
      <c r="R98" s="2"/>
      <c r="S98" s="2"/>
      <c r="T98" s="4" t="str">
        <f t="shared" si="1"/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tr">
        <f>IF(A99="","",IFERROR(INDEX(Пользовательские_сценарии!$O$5:$O$304,MATCH(E99,Пользовательские_сценарии!$A$5:$A$304,0)),0))</f>
        <v/>
      </c>
      <c r="R99" s="2"/>
      <c r="S99" s="2"/>
      <c r="T99" s="4" t="str">
        <f t="shared" si="1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tr">
        <f>IF(A100="","",IFERROR(INDEX(Пользовательские_сценарии!$O$5:$O$304,MATCH(E100,Пользовательские_сценарии!$A$5:$A$304,0)),0))</f>
        <v/>
      </c>
      <c r="R100" s="2"/>
      <c r="S100" s="2"/>
      <c r="T100" s="4" t="str">
        <f t="shared" si="1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tr">
        <f>IF(A101="","",IFERROR(INDEX(Пользовательские_сценарии!$O$5:$O$304,MATCH(E101,Пользовательские_сценарии!$A$5:$A$304,0)),0))</f>
        <v/>
      </c>
      <c r="R101" s="2"/>
      <c r="S101" s="2"/>
      <c r="T101" s="4" t="str">
        <f t="shared" si="1"/>
        <v/>
      </c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tr">
        <f>IF(A102="","",IFERROR(INDEX(Пользовательские_сценарии!$O$5:$O$304,MATCH(E102,Пользовательские_сценарии!$A$5:$A$304,0)),0))</f>
        <v/>
      </c>
      <c r="R102" s="2"/>
      <c r="S102" s="2"/>
      <c r="T102" s="4" t="str">
        <f t="shared" si="1"/>
        <v/>
      </c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tr">
        <f>IF(A103="","",IFERROR(INDEX(Пользовательские_сценарии!$O$5:$O$304,MATCH(E103,Пользовательские_сценарии!$A$5:$A$304,0)),0))</f>
        <v/>
      </c>
      <c r="R103" s="2"/>
      <c r="S103" s="2"/>
      <c r="T103" s="4" t="str">
        <f t="shared" si="1"/>
        <v/>
      </c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tr">
        <f>IF(A104="","",IFERROR(INDEX(Пользовательские_сценарии!$O$5:$O$304,MATCH(E104,Пользовательские_сценарии!$A$5:$A$304,0)),0))</f>
        <v/>
      </c>
      <c r="R104" s="2"/>
      <c r="S104" s="2"/>
      <c r="T104" s="4" t="str">
        <f t="shared" si="1"/>
        <v/>
      </c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tr">
        <f>IF(A105="","",IFERROR(INDEX(Пользовательские_сценарии!$O$5:$O$304,MATCH(E105,Пользовательские_сценарии!$A$5:$A$304,0)),0))</f>
        <v/>
      </c>
      <c r="R105" s="2"/>
      <c r="S105" s="2"/>
      <c r="T105" s="4" t="str">
        <f t="shared" si="1"/>
        <v/>
      </c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tr">
        <f>IF(A106="","",IFERROR(INDEX(Пользовательские_сценарии!$O$5:$O$304,MATCH(E106,Пользовательские_сценарии!$A$5:$A$304,0)),0))</f>
        <v/>
      </c>
      <c r="R106" s="2"/>
      <c r="S106" s="2"/>
      <c r="T106" s="4" t="str">
        <f t="shared" si="1"/>
        <v/>
      </c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 t="str">
        <f>IF(A107="","",IFERROR(INDEX(Пользовательские_сценарии!$O$5:$O$304,MATCH(E107,Пользовательские_сценарии!$A$5:$A$304,0)),0))</f>
        <v/>
      </c>
      <c r="R107" s="2"/>
      <c r="S107" s="2"/>
      <c r="T107" s="4" t="str">
        <f t="shared" si="1"/>
        <v/>
      </c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 t="str">
        <f>IF(A108="","",IFERROR(INDEX(Пользовательские_сценарии!$O$5:$O$304,MATCH(E108,Пользовательские_сценарии!$A$5:$A$304,0)),0))</f>
        <v/>
      </c>
      <c r="R108" s="2"/>
      <c r="S108" s="2"/>
      <c r="T108" s="4" t="str">
        <f t="shared" si="1"/>
        <v/>
      </c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tr">
        <f>IF(A109="","",IFERROR(INDEX(Пользовательские_сценарии!$O$5:$O$304,MATCH(E109,Пользовательские_сценарии!$A$5:$A$304,0)),0))</f>
        <v/>
      </c>
      <c r="R109" s="2"/>
      <c r="S109" s="2"/>
      <c r="T109" s="4" t="str">
        <f t="shared" si="1"/>
        <v/>
      </c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tr">
        <f>IF(A110="","",IFERROR(INDEX(Пользовательские_сценарии!$O$5:$O$304,MATCH(E110,Пользовательские_сценарии!$A$5:$A$304,0)),0))</f>
        <v/>
      </c>
      <c r="R110" s="2"/>
      <c r="S110" s="2"/>
      <c r="T110" s="4" t="str">
        <f t="shared" si="1"/>
        <v/>
      </c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tr">
        <f>IF(A111="","",IFERROR(INDEX(Пользовательские_сценарии!$O$5:$O$304,MATCH(E111,Пользовательские_сценарии!$A$5:$A$304,0)),0))</f>
        <v/>
      </c>
      <c r="R111" s="2"/>
      <c r="S111" s="2"/>
      <c r="T111" s="4" t="str">
        <f t="shared" si="1"/>
        <v/>
      </c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tr">
        <f>IF(A112="","",IFERROR(INDEX(Пользовательские_сценарии!$O$5:$O$304,MATCH(E112,Пользовательские_сценарии!$A$5:$A$304,0)),0))</f>
        <v/>
      </c>
      <c r="R112" s="2"/>
      <c r="S112" s="2"/>
      <c r="T112" s="4" t="str">
        <f t="shared" si="1"/>
        <v/>
      </c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tr">
        <f>IF(A113="","",IFERROR(INDEX(Пользовательские_сценарии!$O$5:$O$304,MATCH(E113,Пользовательские_сценарии!$A$5:$A$304,0)),0))</f>
        <v/>
      </c>
      <c r="R113" s="2"/>
      <c r="S113" s="2"/>
      <c r="T113" s="4" t="str">
        <f t="shared" si="1"/>
        <v/>
      </c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 t="str">
        <f>IF(A114="","",IFERROR(INDEX(Пользовательские_сценарии!$O$5:$O$304,MATCH(E114,Пользовательские_сценарии!$A$5:$A$304,0)),0))</f>
        <v/>
      </c>
      <c r="R114" s="2"/>
      <c r="S114" s="2"/>
      <c r="T114" s="4" t="str">
        <f t="shared" si="1"/>
        <v/>
      </c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tr">
        <f>IF(A115="","",IFERROR(INDEX(Пользовательские_сценарии!$O$5:$O$304,MATCH(E115,Пользовательские_сценарии!$A$5:$A$304,0)),0))</f>
        <v/>
      </c>
      <c r="R115" s="2"/>
      <c r="S115" s="2"/>
      <c r="T115" s="4" t="str">
        <f t="shared" si="1"/>
        <v/>
      </c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str">
        <f>IF(A116="","",IFERROR(INDEX(Пользовательские_сценарии!$O$5:$O$304,MATCH(E116,Пользовательские_сценарии!$A$5:$A$304,0)),0))</f>
        <v/>
      </c>
      <c r="R116" s="2"/>
      <c r="S116" s="2"/>
      <c r="T116" s="4" t="str">
        <f t="shared" si="1"/>
        <v/>
      </c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tr">
        <f>IF(A117="","",IFERROR(INDEX(Пользовательские_сценарии!$O$5:$O$304,MATCH(E117,Пользовательские_сценарии!$A$5:$A$304,0)),0))</f>
        <v/>
      </c>
      <c r="R117" s="2"/>
      <c r="S117" s="2"/>
      <c r="T117" s="4" t="str">
        <f t="shared" si="1"/>
        <v/>
      </c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tr">
        <f>IF(A118="","",IFERROR(INDEX(Пользовательские_сценарии!$O$5:$O$304,MATCH(E118,Пользовательские_сценарии!$A$5:$A$304,0)),0))</f>
        <v/>
      </c>
      <c r="R118" s="2"/>
      <c r="S118" s="2"/>
      <c r="T118" s="4" t="str">
        <f t="shared" si="1"/>
        <v/>
      </c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tr">
        <f>IF(A119="","",IFERROR(INDEX(Пользовательские_сценарии!$O$5:$O$304,MATCH(E119,Пользовательские_сценарии!$A$5:$A$304,0)),0))</f>
        <v/>
      </c>
      <c r="R119" s="2"/>
      <c r="S119" s="2"/>
      <c r="T119" s="4" t="str">
        <f t="shared" si="1"/>
        <v/>
      </c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tr">
        <f>IF(A120="","",IFERROR(INDEX(Пользовательские_сценарии!$O$5:$O$304,MATCH(E120,Пользовательские_сценарии!$A$5:$A$304,0)),0))</f>
        <v/>
      </c>
      <c r="R120" s="2"/>
      <c r="S120" s="2"/>
      <c r="T120" s="4" t="str">
        <f t="shared" si="1"/>
        <v/>
      </c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tr">
        <f>IF(A121="","",IFERROR(INDEX(Пользовательские_сценарии!$O$5:$O$304,MATCH(E121,Пользовательские_сценарии!$A$5:$A$304,0)),0))</f>
        <v/>
      </c>
      <c r="R121" s="2"/>
      <c r="S121" s="2"/>
      <c r="T121" s="4" t="str">
        <f t="shared" si="1"/>
        <v/>
      </c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tr">
        <f>IF(A122="","",IFERROR(INDEX(Пользовательские_сценарии!$O$5:$O$304,MATCH(E122,Пользовательские_сценарии!$A$5:$A$304,0)),0))</f>
        <v/>
      </c>
      <c r="R122" s="2"/>
      <c r="S122" s="2"/>
      <c r="T122" s="4" t="str">
        <f t="shared" si="1"/>
        <v/>
      </c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 t="str">
        <f>IF(A123="","",IFERROR(INDEX(Пользовательские_сценарии!$O$5:$O$304,MATCH(E123,Пользовательские_сценарии!$A$5:$A$304,0)),0))</f>
        <v/>
      </c>
      <c r="R123" s="2"/>
      <c r="S123" s="2"/>
      <c r="T123" s="4" t="str">
        <f t="shared" si="1"/>
        <v/>
      </c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tr">
        <f>IF(A124="","",IFERROR(INDEX(Пользовательские_сценарии!$O$5:$O$304,MATCH(E124,Пользовательские_сценарии!$A$5:$A$304,0)),0))</f>
        <v/>
      </c>
      <c r="R124" s="2"/>
      <c r="S124" s="2"/>
      <c r="T124" s="4" t="str">
        <f t="shared" si="1"/>
        <v/>
      </c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 t="str">
        <f>IF(A125="","",IFERROR(INDEX(Пользовательские_сценарии!$O$5:$O$304,MATCH(E125,Пользовательские_сценарии!$A$5:$A$304,0)),0))</f>
        <v/>
      </c>
      <c r="R125" s="2"/>
      <c r="S125" s="2"/>
      <c r="T125" s="4" t="str">
        <f t="shared" si="1"/>
        <v/>
      </c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tr">
        <f>IF(A126="","",IFERROR(INDEX(Пользовательские_сценарии!$O$5:$O$304,MATCH(E126,Пользовательские_сценарии!$A$5:$A$304,0)),0))</f>
        <v/>
      </c>
      <c r="R126" s="2"/>
      <c r="S126" s="2"/>
      <c r="T126" s="4" t="str">
        <f t="shared" si="1"/>
        <v/>
      </c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tr">
        <f>IF(A127="","",IFERROR(INDEX(Пользовательские_сценарии!$O$5:$O$304,MATCH(E127,Пользовательские_сценарии!$A$5:$A$304,0)),0))</f>
        <v/>
      </c>
      <c r="R127" s="2"/>
      <c r="S127" s="2"/>
      <c r="T127" s="4" t="str">
        <f t="shared" si="1"/>
        <v/>
      </c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tr">
        <f>IF(A128="","",IFERROR(INDEX(Пользовательские_сценарии!$O$5:$O$304,MATCH(E128,Пользовательские_сценарии!$A$5:$A$304,0)),0))</f>
        <v/>
      </c>
      <c r="R128" s="2"/>
      <c r="S128" s="2"/>
      <c r="T128" s="4" t="str">
        <f t="shared" si="1"/>
        <v/>
      </c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tr">
        <f>IF(A129="","",IFERROR(INDEX(Пользовательские_сценарии!$O$5:$O$304,MATCH(E129,Пользовательские_сценарии!$A$5:$A$304,0)),0))</f>
        <v/>
      </c>
      <c r="R129" s="2"/>
      <c r="S129" s="2"/>
      <c r="T129" s="4" t="str">
        <f t="shared" si="1"/>
        <v/>
      </c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tr">
        <f>IF(A130="","",IFERROR(INDEX(Пользовательские_сценарии!$O$5:$O$304,MATCH(E130,Пользовательские_сценарии!$A$5:$A$304,0)),0))</f>
        <v/>
      </c>
      <c r="R130" s="2"/>
      <c r="S130" s="2"/>
      <c r="T130" s="4" t="str">
        <f t="shared" si="1"/>
        <v/>
      </c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 t="str">
        <f>IF(A131="","",IFERROR(INDEX(Пользовательские_сценарии!$O$5:$O$304,MATCH(E131,Пользовательские_сценарии!$A$5:$A$304,0)),0))</f>
        <v/>
      </c>
      <c r="R131" s="2"/>
      <c r="S131" s="2"/>
      <c r="T131" s="4" t="str">
        <f t="shared" si="1"/>
        <v/>
      </c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tr">
        <f>IF(A132="","",IFERROR(INDEX(Пользовательские_сценарии!$O$5:$O$304,MATCH(E132,Пользовательские_сценарии!$A$5:$A$304,0)),0))</f>
        <v/>
      </c>
      <c r="R132" s="2"/>
      <c r="S132" s="2"/>
      <c r="T132" s="4" t="str">
        <f t="shared" si="1"/>
        <v/>
      </c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tr">
        <f>IF(A133="","",IFERROR(INDEX(Пользовательские_сценарии!$O$5:$O$304,MATCH(E133,Пользовательские_сценарии!$A$5:$A$304,0)),0))</f>
        <v/>
      </c>
      <c r="R133" s="2"/>
      <c r="S133" s="2"/>
      <c r="T133" s="4" t="str">
        <f t="shared" ref="T133:T196" si="2">IF(A133="","",ROUND(COUNTA(D133:P133)/13,2))</f>
        <v/>
      </c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str">
        <f>IF(A134="","",IFERROR(INDEX(Пользовательские_сценарии!$O$5:$O$304,MATCH(E134,Пользовательские_сценарии!$A$5:$A$304,0)),0))</f>
        <v/>
      </c>
      <c r="R134" s="2"/>
      <c r="S134" s="2"/>
      <c r="T134" s="4" t="str">
        <f t="shared" si="2"/>
        <v/>
      </c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 t="str">
        <f>IF(A135="","",IFERROR(INDEX(Пользовательские_сценарии!$O$5:$O$304,MATCH(E135,Пользовательские_сценарии!$A$5:$A$304,0)),0))</f>
        <v/>
      </c>
      <c r="R135" s="2"/>
      <c r="S135" s="2"/>
      <c r="T135" s="4" t="str">
        <f t="shared" si="2"/>
        <v/>
      </c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tr">
        <f>IF(A136="","",IFERROR(INDEX(Пользовательские_сценарии!$O$5:$O$304,MATCH(E136,Пользовательские_сценарии!$A$5:$A$304,0)),0))</f>
        <v/>
      </c>
      <c r="R136" s="2"/>
      <c r="S136" s="2"/>
      <c r="T136" s="4" t="str">
        <f t="shared" si="2"/>
        <v/>
      </c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tr">
        <f>IF(A137="","",IFERROR(INDEX(Пользовательские_сценарии!$O$5:$O$304,MATCH(E137,Пользовательские_сценарии!$A$5:$A$304,0)),0))</f>
        <v/>
      </c>
      <c r="R137" s="2"/>
      <c r="S137" s="2"/>
      <c r="T137" s="4" t="str">
        <f t="shared" si="2"/>
        <v/>
      </c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 t="str">
        <f>IF(A138="","",IFERROR(INDEX(Пользовательские_сценарии!$O$5:$O$304,MATCH(E138,Пользовательские_сценарии!$A$5:$A$304,0)),0))</f>
        <v/>
      </c>
      <c r="R138" s="2"/>
      <c r="S138" s="2"/>
      <c r="T138" s="4" t="str">
        <f t="shared" si="2"/>
        <v/>
      </c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tr">
        <f>IF(A139="","",IFERROR(INDEX(Пользовательские_сценарии!$O$5:$O$304,MATCH(E139,Пользовательские_сценарии!$A$5:$A$304,0)),0))</f>
        <v/>
      </c>
      <c r="R139" s="2"/>
      <c r="S139" s="2"/>
      <c r="T139" s="4" t="str">
        <f t="shared" si="2"/>
        <v/>
      </c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 t="str">
        <f>IF(A140="","",IFERROR(INDEX(Пользовательские_сценарии!$O$5:$O$304,MATCH(E140,Пользовательские_сценарии!$A$5:$A$304,0)),0))</f>
        <v/>
      </c>
      <c r="R140" s="2"/>
      <c r="S140" s="2"/>
      <c r="T140" s="4" t="str">
        <f t="shared" si="2"/>
        <v/>
      </c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 t="str">
        <f>IF(A141="","",IFERROR(INDEX(Пользовательские_сценарии!$O$5:$O$304,MATCH(E141,Пользовательские_сценарии!$A$5:$A$304,0)),0))</f>
        <v/>
      </c>
      <c r="R141" s="2"/>
      <c r="S141" s="2"/>
      <c r="T141" s="4" t="str">
        <f t="shared" si="2"/>
        <v/>
      </c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tr">
        <f>IF(A142="","",IFERROR(INDEX(Пользовательские_сценарии!$O$5:$O$304,MATCH(E142,Пользовательские_сценарии!$A$5:$A$304,0)),0))</f>
        <v/>
      </c>
      <c r="R142" s="2"/>
      <c r="S142" s="2"/>
      <c r="T142" s="4" t="str">
        <f t="shared" si="2"/>
        <v/>
      </c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tr">
        <f>IF(A143="","",IFERROR(INDEX(Пользовательские_сценарии!$O$5:$O$304,MATCH(E143,Пользовательские_сценарии!$A$5:$A$304,0)),0))</f>
        <v/>
      </c>
      <c r="R143" s="2"/>
      <c r="S143" s="2"/>
      <c r="T143" s="4" t="str">
        <f t="shared" si="2"/>
        <v/>
      </c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tr">
        <f>IF(A144="","",IFERROR(INDEX(Пользовательские_сценарии!$O$5:$O$304,MATCH(E144,Пользовательские_сценарии!$A$5:$A$304,0)),0))</f>
        <v/>
      </c>
      <c r="R144" s="2"/>
      <c r="S144" s="2"/>
      <c r="T144" s="4" t="str">
        <f t="shared" si="2"/>
        <v/>
      </c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tr">
        <f>IF(A145="","",IFERROR(INDEX(Пользовательские_сценарии!$O$5:$O$304,MATCH(E145,Пользовательские_сценарии!$A$5:$A$304,0)),0))</f>
        <v/>
      </c>
      <c r="R145" s="2"/>
      <c r="S145" s="2"/>
      <c r="T145" s="4" t="str">
        <f t="shared" si="2"/>
        <v/>
      </c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tr">
        <f>IF(A146="","",IFERROR(INDEX(Пользовательские_сценарии!$O$5:$O$304,MATCH(E146,Пользовательские_сценарии!$A$5:$A$304,0)),0))</f>
        <v/>
      </c>
      <c r="R146" s="2"/>
      <c r="S146" s="2"/>
      <c r="T146" s="4" t="str">
        <f t="shared" si="2"/>
        <v/>
      </c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tr">
        <f>IF(A147="","",IFERROR(INDEX(Пользовательские_сценарии!$O$5:$O$304,MATCH(E147,Пользовательские_сценарии!$A$5:$A$304,0)),0))</f>
        <v/>
      </c>
      <c r="R147" s="2"/>
      <c r="S147" s="2"/>
      <c r="T147" s="4" t="str">
        <f t="shared" si="2"/>
        <v/>
      </c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tr">
        <f>IF(A148="","",IFERROR(INDEX(Пользовательские_сценарии!$O$5:$O$304,MATCH(E148,Пользовательские_сценарии!$A$5:$A$304,0)),0))</f>
        <v/>
      </c>
      <c r="R148" s="2"/>
      <c r="S148" s="2"/>
      <c r="T148" s="4" t="str">
        <f t="shared" si="2"/>
        <v/>
      </c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tr">
        <f>IF(A149="","",IFERROR(INDEX(Пользовательские_сценарии!$O$5:$O$304,MATCH(E149,Пользовательские_сценарии!$A$5:$A$304,0)),0))</f>
        <v/>
      </c>
      <c r="R149" s="2"/>
      <c r="S149" s="2"/>
      <c r="T149" s="4" t="str">
        <f t="shared" si="2"/>
        <v/>
      </c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tr">
        <f>IF(A150="","",IFERROR(INDEX(Пользовательские_сценарии!$O$5:$O$304,MATCH(E150,Пользовательские_сценарии!$A$5:$A$304,0)),0))</f>
        <v/>
      </c>
      <c r="R150" s="2"/>
      <c r="S150" s="2"/>
      <c r="T150" s="4" t="str">
        <f t="shared" si="2"/>
        <v/>
      </c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tr">
        <f>IF(A151="","",IFERROR(INDEX(Пользовательские_сценарии!$O$5:$O$304,MATCH(E151,Пользовательские_сценарии!$A$5:$A$304,0)),0))</f>
        <v/>
      </c>
      <c r="R151" s="2"/>
      <c r="S151" s="2"/>
      <c r="T151" s="4" t="str">
        <f t="shared" si="2"/>
        <v/>
      </c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tr">
        <f>IF(A152="","",IFERROR(INDEX(Пользовательские_сценарии!$O$5:$O$304,MATCH(E152,Пользовательские_сценарии!$A$5:$A$304,0)),0))</f>
        <v/>
      </c>
      <c r="R152" s="2"/>
      <c r="S152" s="2"/>
      <c r="T152" s="4" t="str">
        <f t="shared" si="2"/>
        <v/>
      </c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tr">
        <f>IF(A153="","",IFERROR(INDEX(Пользовательские_сценарии!$O$5:$O$304,MATCH(E153,Пользовательские_сценарии!$A$5:$A$304,0)),0))</f>
        <v/>
      </c>
      <c r="R153" s="2"/>
      <c r="S153" s="2"/>
      <c r="T153" s="4" t="str">
        <f t="shared" si="2"/>
        <v/>
      </c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tr">
        <f>IF(A154="","",IFERROR(INDEX(Пользовательские_сценарии!$O$5:$O$304,MATCH(E154,Пользовательские_сценарии!$A$5:$A$304,0)),0))</f>
        <v/>
      </c>
      <c r="R154" s="2"/>
      <c r="S154" s="2"/>
      <c r="T154" s="4" t="str">
        <f t="shared" si="2"/>
        <v/>
      </c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tr">
        <f>IF(A155="","",IFERROR(INDEX(Пользовательские_сценарии!$O$5:$O$304,MATCH(E155,Пользовательские_сценарии!$A$5:$A$304,0)),0))</f>
        <v/>
      </c>
      <c r="R155" s="2"/>
      <c r="S155" s="2"/>
      <c r="T155" s="4" t="str">
        <f t="shared" si="2"/>
        <v/>
      </c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tr">
        <f>IF(A156="","",IFERROR(INDEX(Пользовательские_сценарии!$O$5:$O$304,MATCH(E156,Пользовательские_сценарии!$A$5:$A$304,0)),0))</f>
        <v/>
      </c>
      <c r="R156" s="2"/>
      <c r="S156" s="2"/>
      <c r="T156" s="4" t="str">
        <f t="shared" si="2"/>
        <v/>
      </c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tr">
        <f>IF(A157="","",IFERROR(INDEX(Пользовательские_сценарии!$O$5:$O$304,MATCH(E157,Пользовательские_сценарии!$A$5:$A$304,0)),0))</f>
        <v/>
      </c>
      <c r="R157" s="2"/>
      <c r="S157" s="2"/>
      <c r="T157" s="4" t="str">
        <f t="shared" si="2"/>
        <v/>
      </c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tr">
        <f>IF(A158="","",IFERROR(INDEX(Пользовательские_сценарии!$O$5:$O$304,MATCH(E158,Пользовательские_сценарии!$A$5:$A$304,0)),0))</f>
        <v/>
      </c>
      <c r="R158" s="2"/>
      <c r="S158" s="2"/>
      <c r="T158" s="4" t="str">
        <f t="shared" si="2"/>
        <v/>
      </c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tr">
        <f>IF(A159="","",IFERROR(INDEX(Пользовательские_сценарии!$O$5:$O$304,MATCH(E159,Пользовательские_сценарии!$A$5:$A$304,0)),0))</f>
        <v/>
      </c>
      <c r="R159" s="2"/>
      <c r="S159" s="2"/>
      <c r="T159" s="4" t="str">
        <f t="shared" si="2"/>
        <v/>
      </c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tr">
        <f>IF(A160="","",IFERROR(INDEX(Пользовательские_сценарии!$O$5:$O$304,MATCH(E160,Пользовательские_сценарии!$A$5:$A$304,0)),0))</f>
        <v/>
      </c>
      <c r="R160" s="2"/>
      <c r="S160" s="2"/>
      <c r="T160" s="4" t="str">
        <f t="shared" si="2"/>
        <v/>
      </c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tr">
        <f>IF(A161="","",IFERROR(INDEX(Пользовательские_сценарии!$O$5:$O$304,MATCH(E161,Пользовательские_сценарии!$A$5:$A$304,0)),0))</f>
        <v/>
      </c>
      <c r="R161" s="2"/>
      <c r="S161" s="2"/>
      <c r="T161" s="4" t="str">
        <f t="shared" si="2"/>
        <v/>
      </c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tr">
        <f>IF(A162="","",IFERROR(INDEX(Пользовательские_сценарии!$O$5:$O$304,MATCH(E162,Пользовательские_сценарии!$A$5:$A$304,0)),0))</f>
        <v/>
      </c>
      <c r="R162" s="2"/>
      <c r="S162" s="2"/>
      <c r="T162" s="4" t="str">
        <f t="shared" si="2"/>
        <v/>
      </c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tr">
        <f>IF(A163="","",IFERROR(INDEX(Пользовательские_сценарии!$O$5:$O$304,MATCH(E163,Пользовательские_сценарии!$A$5:$A$304,0)),0))</f>
        <v/>
      </c>
      <c r="R163" s="2"/>
      <c r="S163" s="2"/>
      <c r="T163" s="4" t="str">
        <f t="shared" si="2"/>
        <v/>
      </c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tr">
        <f>IF(A164="","",IFERROR(INDEX(Пользовательские_сценарии!$O$5:$O$304,MATCH(E164,Пользовательские_сценарии!$A$5:$A$304,0)),0))</f>
        <v/>
      </c>
      <c r="R164" s="2"/>
      <c r="S164" s="2"/>
      <c r="T164" s="4" t="str">
        <f t="shared" si="2"/>
        <v/>
      </c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tr">
        <f>IF(A165="","",IFERROR(INDEX(Пользовательские_сценарии!$O$5:$O$304,MATCH(E165,Пользовательские_сценарии!$A$5:$A$304,0)),0))</f>
        <v/>
      </c>
      <c r="R165" s="2"/>
      <c r="S165" s="2"/>
      <c r="T165" s="4" t="str">
        <f t="shared" si="2"/>
        <v/>
      </c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tr">
        <f>IF(A166="","",IFERROR(INDEX(Пользовательские_сценарии!$O$5:$O$304,MATCH(E166,Пользовательские_сценарии!$A$5:$A$304,0)),0))</f>
        <v/>
      </c>
      <c r="R166" s="2"/>
      <c r="S166" s="2"/>
      <c r="T166" s="4" t="str">
        <f t="shared" si="2"/>
        <v/>
      </c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tr">
        <f>IF(A167="","",IFERROR(INDEX(Пользовательские_сценарии!$O$5:$O$304,MATCH(E167,Пользовательские_сценарии!$A$5:$A$304,0)),0))</f>
        <v/>
      </c>
      <c r="R167" s="2"/>
      <c r="S167" s="2"/>
      <c r="T167" s="4" t="str">
        <f t="shared" si="2"/>
        <v/>
      </c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tr">
        <f>IF(A168="","",IFERROR(INDEX(Пользовательские_сценарии!$O$5:$O$304,MATCH(E168,Пользовательские_сценарии!$A$5:$A$304,0)),0))</f>
        <v/>
      </c>
      <c r="R168" s="2"/>
      <c r="S168" s="2"/>
      <c r="T168" s="4" t="str">
        <f t="shared" si="2"/>
        <v/>
      </c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tr">
        <f>IF(A169="","",IFERROR(INDEX(Пользовательские_сценарии!$O$5:$O$304,MATCH(E169,Пользовательские_сценарии!$A$5:$A$304,0)),0))</f>
        <v/>
      </c>
      <c r="R169" s="2"/>
      <c r="S169" s="2"/>
      <c r="T169" s="4" t="str">
        <f t="shared" si="2"/>
        <v/>
      </c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tr">
        <f>IF(A170="","",IFERROR(INDEX(Пользовательские_сценарии!$O$5:$O$304,MATCH(E170,Пользовательские_сценарии!$A$5:$A$304,0)),0))</f>
        <v/>
      </c>
      <c r="R170" s="2"/>
      <c r="S170" s="2"/>
      <c r="T170" s="4" t="str">
        <f t="shared" si="2"/>
        <v/>
      </c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tr">
        <f>IF(A171="","",IFERROR(INDEX(Пользовательские_сценарии!$O$5:$O$304,MATCH(E171,Пользовательские_сценарии!$A$5:$A$304,0)),0))</f>
        <v/>
      </c>
      <c r="R171" s="2"/>
      <c r="S171" s="2"/>
      <c r="T171" s="4" t="str">
        <f t="shared" si="2"/>
        <v/>
      </c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tr">
        <f>IF(A172="","",IFERROR(INDEX(Пользовательские_сценарии!$O$5:$O$304,MATCH(E172,Пользовательские_сценарии!$A$5:$A$304,0)),0))</f>
        <v/>
      </c>
      <c r="R172" s="2"/>
      <c r="S172" s="2"/>
      <c r="T172" s="4" t="str">
        <f t="shared" si="2"/>
        <v/>
      </c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tr">
        <f>IF(A173="","",IFERROR(INDEX(Пользовательские_сценарии!$O$5:$O$304,MATCH(E173,Пользовательские_сценарии!$A$5:$A$304,0)),0))</f>
        <v/>
      </c>
      <c r="R173" s="2"/>
      <c r="S173" s="2"/>
      <c r="T173" s="4" t="str">
        <f t="shared" si="2"/>
        <v/>
      </c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tr">
        <f>IF(A174="","",IFERROR(INDEX(Пользовательские_сценарии!$O$5:$O$304,MATCH(E174,Пользовательские_сценарии!$A$5:$A$304,0)),0))</f>
        <v/>
      </c>
      <c r="R174" s="2"/>
      <c r="S174" s="2"/>
      <c r="T174" s="4" t="str">
        <f t="shared" si="2"/>
        <v/>
      </c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tr">
        <f>IF(A175="","",IFERROR(INDEX(Пользовательские_сценарии!$O$5:$O$304,MATCH(E175,Пользовательские_сценарии!$A$5:$A$304,0)),0))</f>
        <v/>
      </c>
      <c r="R175" s="2"/>
      <c r="S175" s="2"/>
      <c r="T175" s="4" t="str">
        <f t="shared" si="2"/>
        <v/>
      </c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tr">
        <f>IF(A176="","",IFERROR(INDEX(Пользовательские_сценарии!$O$5:$O$304,MATCH(E176,Пользовательские_сценарии!$A$5:$A$304,0)),0))</f>
        <v/>
      </c>
      <c r="R176" s="2"/>
      <c r="S176" s="2"/>
      <c r="T176" s="4" t="str">
        <f t="shared" si="2"/>
        <v/>
      </c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tr">
        <f>IF(A177="","",IFERROR(INDEX(Пользовательские_сценарии!$O$5:$O$304,MATCH(E177,Пользовательские_сценарии!$A$5:$A$304,0)),0))</f>
        <v/>
      </c>
      <c r="R177" s="2"/>
      <c r="S177" s="2"/>
      <c r="T177" s="4" t="str">
        <f t="shared" si="2"/>
        <v/>
      </c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tr">
        <f>IF(A178="","",IFERROR(INDEX(Пользовательские_сценарии!$O$5:$O$304,MATCH(E178,Пользовательские_сценарии!$A$5:$A$304,0)),0))</f>
        <v/>
      </c>
      <c r="R178" s="2"/>
      <c r="S178" s="2"/>
      <c r="T178" s="4" t="str">
        <f t="shared" si="2"/>
        <v/>
      </c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tr">
        <f>IF(A179="","",IFERROR(INDEX(Пользовательские_сценарии!$O$5:$O$304,MATCH(E179,Пользовательские_сценарии!$A$5:$A$304,0)),0))</f>
        <v/>
      </c>
      <c r="R179" s="2"/>
      <c r="S179" s="2"/>
      <c r="T179" s="4" t="str">
        <f t="shared" si="2"/>
        <v/>
      </c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tr">
        <f>IF(A180="","",IFERROR(INDEX(Пользовательские_сценарии!$O$5:$O$304,MATCH(E180,Пользовательские_сценарии!$A$5:$A$304,0)),0))</f>
        <v/>
      </c>
      <c r="R180" s="2"/>
      <c r="S180" s="2"/>
      <c r="T180" s="4" t="str">
        <f t="shared" si="2"/>
        <v/>
      </c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tr">
        <f>IF(A181="","",IFERROR(INDEX(Пользовательские_сценарии!$O$5:$O$304,MATCH(E181,Пользовательские_сценарии!$A$5:$A$304,0)),0))</f>
        <v/>
      </c>
      <c r="R181" s="2"/>
      <c r="S181" s="2"/>
      <c r="T181" s="4" t="str">
        <f t="shared" si="2"/>
        <v/>
      </c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tr">
        <f>IF(A182="","",IFERROR(INDEX(Пользовательские_сценарии!$O$5:$O$304,MATCH(E182,Пользовательские_сценарии!$A$5:$A$304,0)),0))</f>
        <v/>
      </c>
      <c r="R182" s="2"/>
      <c r="S182" s="2"/>
      <c r="T182" s="4" t="str">
        <f t="shared" si="2"/>
        <v/>
      </c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tr">
        <f>IF(A183="","",IFERROR(INDEX(Пользовательские_сценарии!$O$5:$O$304,MATCH(E183,Пользовательские_сценарии!$A$5:$A$304,0)),0))</f>
        <v/>
      </c>
      <c r="R183" s="2"/>
      <c r="S183" s="2"/>
      <c r="T183" s="4" t="str">
        <f t="shared" si="2"/>
        <v/>
      </c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tr">
        <f>IF(A184="","",IFERROR(INDEX(Пользовательские_сценарии!$O$5:$O$304,MATCH(E184,Пользовательские_сценарии!$A$5:$A$304,0)),0))</f>
        <v/>
      </c>
      <c r="R184" s="2"/>
      <c r="S184" s="2"/>
      <c r="T184" s="4" t="str">
        <f t="shared" si="2"/>
        <v/>
      </c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 t="str">
        <f>IF(A185="","",IFERROR(INDEX(Пользовательские_сценарии!$O$5:$O$304,MATCH(E185,Пользовательские_сценарии!$A$5:$A$304,0)),0))</f>
        <v/>
      </c>
      <c r="R185" s="2"/>
      <c r="S185" s="2"/>
      <c r="T185" s="4" t="str">
        <f t="shared" si="2"/>
        <v/>
      </c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tr">
        <f>IF(A186="","",IFERROR(INDEX(Пользовательские_сценарии!$O$5:$O$304,MATCH(E186,Пользовательские_сценарии!$A$5:$A$304,0)),0))</f>
        <v/>
      </c>
      <c r="R186" s="2"/>
      <c r="S186" s="2"/>
      <c r="T186" s="4" t="str">
        <f t="shared" si="2"/>
        <v/>
      </c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tr">
        <f>IF(A187="","",IFERROR(INDEX(Пользовательские_сценарии!$O$5:$O$304,MATCH(E187,Пользовательские_сценарии!$A$5:$A$304,0)),0))</f>
        <v/>
      </c>
      <c r="R187" s="2"/>
      <c r="S187" s="2"/>
      <c r="T187" s="4" t="str">
        <f t="shared" si="2"/>
        <v/>
      </c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tr">
        <f>IF(A188="","",IFERROR(INDEX(Пользовательские_сценарии!$O$5:$O$304,MATCH(E188,Пользовательские_сценарии!$A$5:$A$304,0)),0))</f>
        <v/>
      </c>
      <c r="R188" s="2"/>
      <c r="S188" s="2"/>
      <c r="T188" s="4" t="str">
        <f t="shared" si="2"/>
        <v/>
      </c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tr">
        <f>IF(A189="","",IFERROR(INDEX(Пользовательские_сценарии!$O$5:$O$304,MATCH(E189,Пользовательские_сценарии!$A$5:$A$304,0)),0))</f>
        <v/>
      </c>
      <c r="R189" s="2"/>
      <c r="S189" s="2"/>
      <c r="T189" s="4" t="str">
        <f t="shared" si="2"/>
        <v/>
      </c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tr">
        <f>IF(A190="","",IFERROR(INDEX(Пользовательские_сценарии!$O$5:$O$304,MATCH(E190,Пользовательские_сценарии!$A$5:$A$304,0)),0))</f>
        <v/>
      </c>
      <c r="R190" s="2"/>
      <c r="S190" s="2"/>
      <c r="T190" s="4" t="str">
        <f t="shared" si="2"/>
        <v/>
      </c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tr">
        <f>IF(A191="","",IFERROR(INDEX(Пользовательские_сценарии!$O$5:$O$304,MATCH(E191,Пользовательские_сценарии!$A$5:$A$304,0)),0))</f>
        <v/>
      </c>
      <c r="R191" s="2"/>
      <c r="S191" s="2"/>
      <c r="T191" s="4" t="str">
        <f t="shared" si="2"/>
        <v/>
      </c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tr">
        <f>IF(A192="","",IFERROR(INDEX(Пользовательские_сценарии!$O$5:$O$304,MATCH(E192,Пользовательские_сценарии!$A$5:$A$304,0)),0))</f>
        <v/>
      </c>
      <c r="R192" s="2"/>
      <c r="S192" s="2"/>
      <c r="T192" s="4" t="str">
        <f t="shared" si="2"/>
        <v/>
      </c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tr">
        <f>IF(A193="","",IFERROR(INDEX(Пользовательские_сценарии!$O$5:$O$304,MATCH(E193,Пользовательские_сценарии!$A$5:$A$304,0)),0))</f>
        <v/>
      </c>
      <c r="R193" s="2"/>
      <c r="S193" s="2"/>
      <c r="T193" s="4" t="str">
        <f t="shared" si="2"/>
        <v/>
      </c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tr">
        <f>IF(A194="","",IFERROR(INDEX(Пользовательские_сценарии!$O$5:$O$304,MATCH(E194,Пользовательские_сценарии!$A$5:$A$304,0)),0))</f>
        <v/>
      </c>
      <c r="R194" s="2"/>
      <c r="S194" s="2"/>
      <c r="T194" s="4" t="str">
        <f t="shared" si="2"/>
        <v/>
      </c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tr">
        <f>IF(A195="","",IFERROR(INDEX(Пользовательские_сценарии!$O$5:$O$304,MATCH(E195,Пользовательские_сценарии!$A$5:$A$304,0)),0))</f>
        <v/>
      </c>
      <c r="R195" s="2"/>
      <c r="S195" s="2"/>
      <c r="T195" s="4" t="str">
        <f t="shared" si="2"/>
        <v/>
      </c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tr">
        <f>IF(A196="","",IFERROR(INDEX(Пользовательские_сценарии!$O$5:$O$304,MATCH(E196,Пользовательские_сценарии!$A$5:$A$304,0)),0))</f>
        <v/>
      </c>
      <c r="R196" s="2"/>
      <c r="S196" s="2"/>
      <c r="T196" s="4" t="str">
        <f t="shared" si="2"/>
        <v/>
      </c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tr">
        <f>IF(A197="","",IFERROR(INDEX(Пользовательские_сценарии!$O$5:$O$304,MATCH(E197,Пользовательские_сценарии!$A$5:$A$304,0)),0))</f>
        <v/>
      </c>
      <c r="R197" s="2"/>
      <c r="S197" s="2"/>
      <c r="T197" s="4" t="str">
        <f t="shared" ref="T197:T260" si="3">IF(A197="","",ROUND(COUNTA(D197:P197)/13,2))</f>
        <v/>
      </c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tr">
        <f>IF(A198="","",IFERROR(INDEX(Пользовательские_сценарии!$O$5:$O$304,MATCH(E198,Пользовательские_сценарии!$A$5:$A$304,0)),0))</f>
        <v/>
      </c>
      <c r="R198" s="2"/>
      <c r="S198" s="2"/>
      <c r="T198" s="4" t="str">
        <f t="shared" si="3"/>
        <v/>
      </c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tr">
        <f>IF(A199="","",IFERROR(INDEX(Пользовательские_сценарии!$O$5:$O$304,MATCH(E199,Пользовательские_сценарии!$A$5:$A$304,0)),0))</f>
        <v/>
      </c>
      <c r="R199" s="2"/>
      <c r="S199" s="2"/>
      <c r="T199" s="4" t="str">
        <f t="shared" si="3"/>
        <v/>
      </c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tr">
        <f>IF(A200="","",IFERROR(INDEX(Пользовательские_сценарии!$O$5:$O$304,MATCH(E200,Пользовательские_сценарии!$A$5:$A$304,0)),0))</f>
        <v/>
      </c>
      <c r="R200" s="2"/>
      <c r="S200" s="2"/>
      <c r="T200" s="4" t="str">
        <f t="shared" si="3"/>
        <v/>
      </c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tr">
        <f>IF(A201="","",IFERROR(INDEX(Пользовательские_сценарии!$O$5:$O$304,MATCH(E201,Пользовательские_сценарии!$A$5:$A$304,0)),0))</f>
        <v/>
      </c>
      <c r="R201" s="2"/>
      <c r="S201" s="2"/>
      <c r="T201" s="4" t="str">
        <f t="shared" si="3"/>
        <v/>
      </c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tr">
        <f>IF(A202="","",IFERROR(INDEX(Пользовательские_сценарии!$O$5:$O$304,MATCH(E202,Пользовательские_сценарии!$A$5:$A$304,0)),0))</f>
        <v/>
      </c>
      <c r="R202" s="2"/>
      <c r="S202" s="2"/>
      <c r="T202" s="4" t="str">
        <f t="shared" si="3"/>
        <v/>
      </c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tr">
        <f>IF(A203="","",IFERROR(INDEX(Пользовательские_сценарии!$O$5:$O$304,MATCH(E203,Пользовательские_сценарии!$A$5:$A$304,0)),0))</f>
        <v/>
      </c>
      <c r="R203" s="2"/>
      <c r="S203" s="2"/>
      <c r="T203" s="4" t="str">
        <f t="shared" si="3"/>
        <v/>
      </c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tr">
        <f>IF(A204="","",IFERROR(INDEX(Пользовательские_сценарии!$O$5:$O$304,MATCH(E204,Пользовательские_сценарии!$A$5:$A$304,0)),0))</f>
        <v/>
      </c>
      <c r="R204" s="2"/>
      <c r="S204" s="2"/>
      <c r="T204" s="4" t="str">
        <f t="shared" si="3"/>
        <v/>
      </c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tr">
        <f>IF(A205="","",IFERROR(INDEX(Пользовательские_сценарии!$O$5:$O$304,MATCH(E205,Пользовательские_сценарии!$A$5:$A$304,0)),0))</f>
        <v/>
      </c>
      <c r="R205" s="2"/>
      <c r="S205" s="2"/>
      <c r="T205" s="4" t="str">
        <f t="shared" si="3"/>
        <v/>
      </c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tr">
        <f>IF(A206="","",IFERROR(INDEX(Пользовательские_сценарии!$O$5:$O$304,MATCH(E206,Пользовательские_сценарии!$A$5:$A$304,0)),0))</f>
        <v/>
      </c>
      <c r="R206" s="2"/>
      <c r="S206" s="2"/>
      <c r="T206" s="4" t="str">
        <f t="shared" si="3"/>
        <v/>
      </c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tr">
        <f>IF(A207="","",IFERROR(INDEX(Пользовательские_сценарии!$O$5:$O$304,MATCH(E207,Пользовательские_сценарии!$A$5:$A$304,0)),0))</f>
        <v/>
      </c>
      <c r="R207" s="2"/>
      <c r="S207" s="2"/>
      <c r="T207" s="4" t="str">
        <f t="shared" si="3"/>
        <v/>
      </c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tr">
        <f>IF(A208="","",IFERROR(INDEX(Пользовательские_сценарии!$O$5:$O$304,MATCH(E208,Пользовательские_сценарии!$A$5:$A$304,0)),0))</f>
        <v/>
      </c>
      <c r="R208" s="2"/>
      <c r="S208" s="2"/>
      <c r="T208" s="4" t="str">
        <f t="shared" si="3"/>
        <v/>
      </c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tr">
        <f>IF(A209="","",IFERROR(INDEX(Пользовательские_сценарии!$O$5:$O$304,MATCH(E209,Пользовательские_сценарии!$A$5:$A$304,0)),0))</f>
        <v/>
      </c>
      <c r="R209" s="2"/>
      <c r="S209" s="2"/>
      <c r="T209" s="4" t="str">
        <f t="shared" si="3"/>
        <v/>
      </c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tr">
        <f>IF(A210="","",IFERROR(INDEX(Пользовательские_сценарии!$O$5:$O$304,MATCH(E210,Пользовательские_сценарии!$A$5:$A$304,0)),0))</f>
        <v/>
      </c>
      <c r="R210" s="2"/>
      <c r="S210" s="2"/>
      <c r="T210" s="4" t="str">
        <f t="shared" si="3"/>
        <v/>
      </c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tr">
        <f>IF(A211="","",IFERROR(INDEX(Пользовательские_сценарии!$O$5:$O$304,MATCH(E211,Пользовательские_сценарии!$A$5:$A$304,0)),0))</f>
        <v/>
      </c>
      <c r="R211" s="2"/>
      <c r="S211" s="2"/>
      <c r="T211" s="4" t="str">
        <f t="shared" si="3"/>
        <v/>
      </c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tr">
        <f>IF(A212="","",IFERROR(INDEX(Пользовательские_сценарии!$O$5:$O$304,MATCH(E212,Пользовательские_сценарии!$A$5:$A$304,0)),0))</f>
        <v/>
      </c>
      <c r="R212" s="2"/>
      <c r="S212" s="2"/>
      <c r="T212" s="4" t="str">
        <f t="shared" si="3"/>
        <v/>
      </c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tr">
        <f>IF(A213="","",IFERROR(INDEX(Пользовательские_сценарии!$O$5:$O$304,MATCH(E213,Пользовательские_сценарии!$A$5:$A$304,0)),0))</f>
        <v/>
      </c>
      <c r="R213" s="2"/>
      <c r="S213" s="2"/>
      <c r="T213" s="4" t="str">
        <f t="shared" si="3"/>
        <v/>
      </c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tr">
        <f>IF(A214="","",IFERROR(INDEX(Пользовательские_сценарии!$O$5:$O$304,MATCH(E214,Пользовательские_сценарии!$A$5:$A$304,0)),0))</f>
        <v/>
      </c>
      <c r="R214" s="2"/>
      <c r="S214" s="2"/>
      <c r="T214" s="4" t="str">
        <f t="shared" si="3"/>
        <v/>
      </c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tr">
        <f>IF(A215="","",IFERROR(INDEX(Пользовательские_сценарии!$O$5:$O$304,MATCH(E215,Пользовательские_сценарии!$A$5:$A$304,0)),0))</f>
        <v/>
      </c>
      <c r="R215" s="2"/>
      <c r="S215" s="2"/>
      <c r="T215" s="4" t="str">
        <f t="shared" si="3"/>
        <v/>
      </c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 t="str">
        <f>IF(A216="","",IFERROR(INDEX(Пользовательские_сценарии!$O$5:$O$304,MATCH(E216,Пользовательские_сценарии!$A$5:$A$304,0)),0))</f>
        <v/>
      </c>
      <c r="R216" s="2"/>
      <c r="S216" s="2"/>
      <c r="T216" s="4" t="str">
        <f t="shared" si="3"/>
        <v/>
      </c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tr">
        <f>IF(A217="","",IFERROR(INDEX(Пользовательские_сценарии!$O$5:$O$304,MATCH(E217,Пользовательские_сценарии!$A$5:$A$304,0)),0))</f>
        <v/>
      </c>
      <c r="R217" s="2"/>
      <c r="S217" s="2"/>
      <c r="T217" s="4" t="str">
        <f t="shared" si="3"/>
        <v/>
      </c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tr">
        <f>IF(A218="","",IFERROR(INDEX(Пользовательские_сценарии!$O$5:$O$304,MATCH(E218,Пользовательские_сценарии!$A$5:$A$304,0)),0))</f>
        <v/>
      </c>
      <c r="R218" s="2"/>
      <c r="S218" s="2"/>
      <c r="T218" s="4" t="str">
        <f t="shared" si="3"/>
        <v/>
      </c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tr">
        <f>IF(A219="","",IFERROR(INDEX(Пользовательские_сценарии!$O$5:$O$304,MATCH(E219,Пользовательские_сценарии!$A$5:$A$304,0)),0))</f>
        <v/>
      </c>
      <c r="R219" s="2"/>
      <c r="S219" s="2"/>
      <c r="T219" s="4" t="str">
        <f t="shared" si="3"/>
        <v/>
      </c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tr">
        <f>IF(A220="","",IFERROR(INDEX(Пользовательские_сценарии!$O$5:$O$304,MATCH(E220,Пользовательские_сценарии!$A$5:$A$304,0)),0))</f>
        <v/>
      </c>
      <c r="R220" s="2"/>
      <c r="S220" s="2"/>
      <c r="T220" s="4" t="str">
        <f t="shared" si="3"/>
        <v/>
      </c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tr">
        <f>IF(A221="","",IFERROR(INDEX(Пользовательские_сценарии!$O$5:$O$304,MATCH(E221,Пользовательские_сценарии!$A$5:$A$304,0)),0))</f>
        <v/>
      </c>
      <c r="R221" s="2"/>
      <c r="S221" s="2"/>
      <c r="T221" s="4" t="str">
        <f t="shared" si="3"/>
        <v/>
      </c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tr">
        <f>IF(A222="","",IFERROR(INDEX(Пользовательские_сценарии!$O$5:$O$304,MATCH(E222,Пользовательские_сценарии!$A$5:$A$304,0)),0))</f>
        <v/>
      </c>
      <c r="R222" s="2"/>
      <c r="S222" s="2"/>
      <c r="T222" s="4" t="str">
        <f t="shared" si="3"/>
        <v/>
      </c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tr">
        <f>IF(A223="","",IFERROR(INDEX(Пользовательские_сценарии!$O$5:$O$304,MATCH(E223,Пользовательские_сценарии!$A$5:$A$304,0)),0))</f>
        <v/>
      </c>
      <c r="R223" s="2"/>
      <c r="S223" s="2"/>
      <c r="T223" s="4" t="str">
        <f t="shared" si="3"/>
        <v/>
      </c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tr">
        <f>IF(A224="","",IFERROR(INDEX(Пользовательские_сценарии!$O$5:$O$304,MATCH(E224,Пользовательские_сценарии!$A$5:$A$304,0)),0))</f>
        <v/>
      </c>
      <c r="R224" s="2"/>
      <c r="S224" s="2"/>
      <c r="T224" s="4" t="str">
        <f t="shared" si="3"/>
        <v/>
      </c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tr">
        <f>IF(A225="","",IFERROR(INDEX(Пользовательские_сценарии!$O$5:$O$304,MATCH(E225,Пользовательские_сценарии!$A$5:$A$304,0)),0))</f>
        <v/>
      </c>
      <c r="R225" s="2"/>
      <c r="S225" s="2"/>
      <c r="T225" s="4" t="str">
        <f t="shared" si="3"/>
        <v/>
      </c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tr">
        <f>IF(A226="","",IFERROR(INDEX(Пользовательские_сценарии!$O$5:$O$304,MATCH(E226,Пользовательские_сценарии!$A$5:$A$304,0)),0))</f>
        <v/>
      </c>
      <c r="R226" s="2"/>
      <c r="S226" s="2"/>
      <c r="T226" s="4" t="str">
        <f t="shared" si="3"/>
        <v/>
      </c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tr">
        <f>IF(A227="","",IFERROR(INDEX(Пользовательские_сценарии!$O$5:$O$304,MATCH(E227,Пользовательские_сценарии!$A$5:$A$304,0)),0))</f>
        <v/>
      </c>
      <c r="R227" s="2"/>
      <c r="S227" s="2"/>
      <c r="T227" s="4" t="str">
        <f t="shared" si="3"/>
        <v/>
      </c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tr">
        <f>IF(A228="","",IFERROR(INDEX(Пользовательские_сценарии!$O$5:$O$304,MATCH(E228,Пользовательские_сценарии!$A$5:$A$304,0)),0))</f>
        <v/>
      </c>
      <c r="R228" s="2"/>
      <c r="S228" s="2"/>
      <c r="T228" s="4" t="str">
        <f t="shared" si="3"/>
        <v/>
      </c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tr">
        <f>IF(A229="","",IFERROR(INDEX(Пользовательские_сценарии!$O$5:$O$304,MATCH(E229,Пользовательские_сценарии!$A$5:$A$304,0)),0))</f>
        <v/>
      </c>
      <c r="R229" s="2"/>
      <c r="S229" s="2"/>
      <c r="T229" s="4" t="str">
        <f t="shared" si="3"/>
        <v/>
      </c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tr">
        <f>IF(A230="","",IFERROR(INDEX(Пользовательские_сценарии!$O$5:$O$304,MATCH(E230,Пользовательские_сценарии!$A$5:$A$304,0)),0))</f>
        <v/>
      </c>
      <c r="R230" s="2"/>
      <c r="S230" s="2"/>
      <c r="T230" s="4" t="str">
        <f t="shared" si="3"/>
        <v/>
      </c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tr">
        <f>IF(A231="","",IFERROR(INDEX(Пользовательские_сценарии!$O$5:$O$304,MATCH(E231,Пользовательские_сценарии!$A$5:$A$304,0)),0))</f>
        <v/>
      </c>
      <c r="R231" s="2"/>
      <c r="S231" s="2"/>
      <c r="T231" s="4" t="str">
        <f t="shared" si="3"/>
        <v/>
      </c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tr">
        <f>IF(A232="","",IFERROR(INDEX(Пользовательские_сценарии!$O$5:$O$304,MATCH(E232,Пользовательские_сценарии!$A$5:$A$304,0)),0))</f>
        <v/>
      </c>
      <c r="R232" s="2"/>
      <c r="S232" s="2"/>
      <c r="T232" s="4" t="str">
        <f t="shared" si="3"/>
        <v/>
      </c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tr">
        <f>IF(A233="","",IFERROR(INDEX(Пользовательские_сценарии!$O$5:$O$304,MATCH(E233,Пользовательские_сценарии!$A$5:$A$304,0)),0))</f>
        <v/>
      </c>
      <c r="R233" s="2"/>
      <c r="S233" s="2"/>
      <c r="T233" s="4" t="str">
        <f t="shared" si="3"/>
        <v/>
      </c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tr">
        <f>IF(A234="","",IFERROR(INDEX(Пользовательские_сценарии!$O$5:$O$304,MATCH(E234,Пользовательские_сценарии!$A$5:$A$304,0)),0))</f>
        <v/>
      </c>
      <c r="R234" s="2"/>
      <c r="S234" s="2"/>
      <c r="T234" s="4" t="str">
        <f t="shared" si="3"/>
        <v/>
      </c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tr">
        <f>IF(A235="","",IFERROR(INDEX(Пользовательские_сценарии!$O$5:$O$304,MATCH(E235,Пользовательские_сценарии!$A$5:$A$304,0)),0))</f>
        <v/>
      </c>
      <c r="R235" s="2"/>
      <c r="S235" s="2"/>
      <c r="T235" s="4" t="str">
        <f t="shared" si="3"/>
        <v/>
      </c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tr">
        <f>IF(A236="","",IFERROR(INDEX(Пользовательские_сценарии!$O$5:$O$304,MATCH(E236,Пользовательские_сценарии!$A$5:$A$304,0)),0))</f>
        <v/>
      </c>
      <c r="R236" s="2"/>
      <c r="S236" s="2"/>
      <c r="T236" s="4" t="str">
        <f t="shared" si="3"/>
        <v/>
      </c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 t="str">
        <f>IF(A237="","",IFERROR(INDEX(Пользовательские_сценарии!$O$5:$O$304,MATCH(E237,Пользовательские_сценарии!$A$5:$A$304,0)),0))</f>
        <v/>
      </c>
      <c r="R237" s="2"/>
      <c r="S237" s="2"/>
      <c r="T237" s="4" t="str">
        <f t="shared" si="3"/>
        <v/>
      </c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tr">
        <f>IF(A238="","",IFERROR(INDEX(Пользовательские_сценарии!$O$5:$O$304,MATCH(E238,Пользовательские_сценарии!$A$5:$A$304,0)),0))</f>
        <v/>
      </c>
      <c r="R238" s="2"/>
      <c r="S238" s="2"/>
      <c r="T238" s="4" t="str">
        <f t="shared" si="3"/>
        <v/>
      </c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tr">
        <f>IF(A239="","",IFERROR(INDEX(Пользовательские_сценарии!$O$5:$O$304,MATCH(E239,Пользовательские_сценарии!$A$5:$A$304,0)),0))</f>
        <v/>
      </c>
      <c r="R239" s="2"/>
      <c r="S239" s="2"/>
      <c r="T239" s="4" t="str">
        <f t="shared" si="3"/>
        <v/>
      </c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tr">
        <f>IF(A240="","",IFERROR(INDEX(Пользовательские_сценарии!$O$5:$O$304,MATCH(E240,Пользовательские_сценарии!$A$5:$A$304,0)),0))</f>
        <v/>
      </c>
      <c r="R240" s="2"/>
      <c r="S240" s="2"/>
      <c r="T240" s="4" t="str">
        <f t="shared" si="3"/>
        <v/>
      </c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tr">
        <f>IF(A241="","",IFERROR(INDEX(Пользовательские_сценарии!$O$5:$O$304,MATCH(E241,Пользовательские_сценарии!$A$5:$A$304,0)),0))</f>
        <v/>
      </c>
      <c r="R241" s="2"/>
      <c r="S241" s="2"/>
      <c r="T241" s="4" t="str">
        <f t="shared" si="3"/>
        <v/>
      </c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tr">
        <f>IF(A242="","",IFERROR(INDEX(Пользовательские_сценарии!$O$5:$O$304,MATCH(E242,Пользовательские_сценарии!$A$5:$A$304,0)),0))</f>
        <v/>
      </c>
      <c r="R242" s="2"/>
      <c r="S242" s="2"/>
      <c r="T242" s="4" t="str">
        <f t="shared" si="3"/>
        <v/>
      </c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tr">
        <f>IF(A243="","",IFERROR(INDEX(Пользовательские_сценарии!$O$5:$O$304,MATCH(E243,Пользовательские_сценарии!$A$5:$A$304,0)),0))</f>
        <v/>
      </c>
      <c r="R243" s="2"/>
      <c r="S243" s="2"/>
      <c r="T243" s="4" t="str">
        <f t="shared" si="3"/>
        <v/>
      </c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tr">
        <f>IF(A244="","",IFERROR(INDEX(Пользовательские_сценарии!$O$5:$O$304,MATCH(E244,Пользовательские_сценарии!$A$5:$A$304,0)),0))</f>
        <v/>
      </c>
      <c r="R244" s="2"/>
      <c r="S244" s="2"/>
      <c r="T244" s="4" t="str">
        <f t="shared" si="3"/>
        <v/>
      </c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 t="str">
        <f>IF(A245="","",IFERROR(INDEX(Пользовательские_сценарии!$O$5:$O$304,MATCH(E245,Пользовательские_сценарии!$A$5:$A$304,0)),0))</f>
        <v/>
      </c>
      <c r="R245" s="2"/>
      <c r="S245" s="2"/>
      <c r="T245" s="4" t="str">
        <f t="shared" si="3"/>
        <v/>
      </c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 t="str">
        <f>IF(A246="","",IFERROR(INDEX(Пользовательские_сценарии!$O$5:$O$304,MATCH(E246,Пользовательские_сценарии!$A$5:$A$304,0)),0))</f>
        <v/>
      </c>
      <c r="R246" s="2"/>
      <c r="S246" s="2"/>
      <c r="T246" s="4" t="str">
        <f t="shared" si="3"/>
        <v/>
      </c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 t="str">
        <f>IF(A247="","",IFERROR(INDEX(Пользовательские_сценарии!$O$5:$O$304,MATCH(E247,Пользовательские_сценарии!$A$5:$A$304,0)),0))</f>
        <v/>
      </c>
      <c r="R247" s="2"/>
      <c r="S247" s="2"/>
      <c r="T247" s="4" t="str">
        <f t="shared" si="3"/>
        <v/>
      </c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 t="str">
        <f>IF(A248="","",IFERROR(INDEX(Пользовательские_сценарии!$O$5:$O$304,MATCH(E248,Пользовательские_сценарии!$A$5:$A$304,0)),0))</f>
        <v/>
      </c>
      <c r="R248" s="2"/>
      <c r="S248" s="2"/>
      <c r="T248" s="4" t="str">
        <f t="shared" si="3"/>
        <v/>
      </c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 t="str">
        <f>IF(A249="","",IFERROR(INDEX(Пользовательские_сценарии!$O$5:$O$304,MATCH(E249,Пользовательские_сценарии!$A$5:$A$304,0)),0))</f>
        <v/>
      </c>
      <c r="R249" s="2"/>
      <c r="S249" s="2"/>
      <c r="T249" s="4" t="str">
        <f t="shared" si="3"/>
        <v/>
      </c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tr">
        <f>IF(A250="","",IFERROR(INDEX(Пользовательские_сценарии!$O$5:$O$304,MATCH(E250,Пользовательские_сценарии!$A$5:$A$304,0)),0))</f>
        <v/>
      </c>
      <c r="R250" s="2"/>
      <c r="S250" s="2"/>
      <c r="T250" s="4" t="str">
        <f t="shared" si="3"/>
        <v/>
      </c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 t="str">
        <f>IF(A251="","",IFERROR(INDEX(Пользовательские_сценарии!$O$5:$O$304,MATCH(E251,Пользовательские_сценарии!$A$5:$A$304,0)),0))</f>
        <v/>
      </c>
      <c r="R251" s="2"/>
      <c r="S251" s="2"/>
      <c r="T251" s="4" t="str">
        <f t="shared" si="3"/>
        <v/>
      </c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tr">
        <f>IF(A252="","",IFERROR(INDEX(Пользовательские_сценарии!$O$5:$O$304,MATCH(E252,Пользовательские_сценарии!$A$5:$A$304,0)),0))</f>
        <v/>
      </c>
      <c r="R252" s="2"/>
      <c r="S252" s="2"/>
      <c r="T252" s="4" t="str">
        <f t="shared" si="3"/>
        <v/>
      </c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tr">
        <f>IF(A253="","",IFERROR(INDEX(Пользовательские_сценарии!$O$5:$O$304,MATCH(E253,Пользовательские_сценарии!$A$5:$A$304,0)),0))</f>
        <v/>
      </c>
      <c r="R253" s="2"/>
      <c r="S253" s="2"/>
      <c r="T253" s="4" t="str">
        <f t="shared" si="3"/>
        <v/>
      </c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tr">
        <f>IF(A254="","",IFERROR(INDEX(Пользовательские_сценарии!$O$5:$O$304,MATCH(E254,Пользовательские_сценарии!$A$5:$A$304,0)),0))</f>
        <v/>
      </c>
      <c r="R254" s="2"/>
      <c r="S254" s="2"/>
      <c r="T254" s="4" t="str">
        <f t="shared" si="3"/>
        <v/>
      </c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tr">
        <f>IF(A255="","",IFERROR(INDEX(Пользовательские_сценарии!$O$5:$O$304,MATCH(E255,Пользовательские_сценарии!$A$5:$A$304,0)),0))</f>
        <v/>
      </c>
      <c r="R255" s="2"/>
      <c r="S255" s="2"/>
      <c r="T255" s="4" t="str">
        <f t="shared" si="3"/>
        <v/>
      </c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tr">
        <f>IF(A256="","",IFERROR(INDEX(Пользовательские_сценарии!$O$5:$O$304,MATCH(E256,Пользовательские_сценарии!$A$5:$A$304,0)),0))</f>
        <v/>
      </c>
      <c r="R256" s="2"/>
      <c r="S256" s="2"/>
      <c r="T256" s="4" t="str">
        <f t="shared" si="3"/>
        <v/>
      </c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tr">
        <f>IF(A257="","",IFERROR(INDEX(Пользовательские_сценарии!$O$5:$O$304,MATCH(E257,Пользовательские_сценарии!$A$5:$A$304,0)),0))</f>
        <v/>
      </c>
      <c r="R257" s="2"/>
      <c r="S257" s="2"/>
      <c r="T257" s="4" t="str">
        <f t="shared" si="3"/>
        <v/>
      </c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tr">
        <f>IF(A258="","",IFERROR(INDEX(Пользовательские_сценарии!$O$5:$O$304,MATCH(E258,Пользовательские_сценарии!$A$5:$A$304,0)),0))</f>
        <v/>
      </c>
      <c r="R258" s="2"/>
      <c r="S258" s="2"/>
      <c r="T258" s="4" t="str">
        <f t="shared" si="3"/>
        <v/>
      </c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tr">
        <f>IF(A259="","",IFERROR(INDEX(Пользовательские_сценарии!$O$5:$O$304,MATCH(E259,Пользовательские_сценарии!$A$5:$A$304,0)),0))</f>
        <v/>
      </c>
      <c r="R259" s="2"/>
      <c r="S259" s="2"/>
      <c r="T259" s="4" t="str">
        <f t="shared" si="3"/>
        <v/>
      </c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 t="str">
        <f>IF(A260="","",IFERROR(INDEX(Пользовательские_сценарии!$O$5:$O$304,MATCH(E260,Пользовательские_сценарии!$A$5:$A$304,0)),0))</f>
        <v/>
      </c>
      <c r="R260" s="2"/>
      <c r="S260" s="2"/>
      <c r="T260" s="4" t="str">
        <f t="shared" si="3"/>
        <v/>
      </c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 t="str">
        <f>IF(A261="","",IFERROR(INDEX(Пользовательские_сценарии!$O$5:$O$304,MATCH(E261,Пользовательские_сценарии!$A$5:$A$304,0)),0))</f>
        <v/>
      </c>
      <c r="R261" s="2"/>
      <c r="S261" s="2"/>
      <c r="T261" s="4" t="str">
        <f t="shared" ref="T261:T304" si="4">IF(A261="","",ROUND(COUNTA(D261:P261)/13,2))</f>
        <v/>
      </c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tr">
        <f>IF(A262="","",IFERROR(INDEX(Пользовательские_сценарии!$O$5:$O$304,MATCH(E262,Пользовательские_сценарии!$A$5:$A$304,0)),0))</f>
        <v/>
      </c>
      <c r="R262" s="2"/>
      <c r="S262" s="2"/>
      <c r="T262" s="4" t="str">
        <f t="shared" si="4"/>
        <v/>
      </c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tr">
        <f>IF(A263="","",IFERROR(INDEX(Пользовательские_сценарии!$O$5:$O$304,MATCH(E263,Пользовательские_сценарии!$A$5:$A$304,0)),0))</f>
        <v/>
      </c>
      <c r="R263" s="2"/>
      <c r="S263" s="2"/>
      <c r="T263" s="4" t="str">
        <f t="shared" si="4"/>
        <v/>
      </c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tr">
        <f>IF(A264="","",IFERROR(INDEX(Пользовательские_сценарии!$O$5:$O$304,MATCH(E264,Пользовательские_сценарии!$A$5:$A$304,0)),0))</f>
        <v/>
      </c>
      <c r="R264" s="2"/>
      <c r="S264" s="2"/>
      <c r="T264" s="4" t="str">
        <f t="shared" si="4"/>
        <v/>
      </c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tr">
        <f>IF(A265="","",IFERROR(INDEX(Пользовательские_сценарии!$O$5:$O$304,MATCH(E265,Пользовательские_сценарии!$A$5:$A$304,0)),0))</f>
        <v/>
      </c>
      <c r="R265" s="2"/>
      <c r="S265" s="2"/>
      <c r="T265" s="4" t="str">
        <f t="shared" si="4"/>
        <v/>
      </c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tr">
        <f>IF(A266="","",IFERROR(INDEX(Пользовательские_сценарии!$O$5:$O$304,MATCH(E266,Пользовательские_сценарии!$A$5:$A$304,0)),0))</f>
        <v/>
      </c>
      <c r="R266" s="2"/>
      <c r="S266" s="2"/>
      <c r="T266" s="4" t="str">
        <f t="shared" si="4"/>
        <v/>
      </c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 t="str">
        <f>IF(A267="","",IFERROR(INDEX(Пользовательские_сценарии!$O$5:$O$304,MATCH(E267,Пользовательские_сценарии!$A$5:$A$304,0)),0))</f>
        <v/>
      </c>
      <c r="R267" s="2"/>
      <c r="S267" s="2"/>
      <c r="T267" s="4" t="str">
        <f t="shared" si="4"/>
        <v/>
      </c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tr">
        <f>IF(A268="","",IFERROR(INDEX(Пользовательские_сценарии!$O$5:$O$304,MATCH(E268,Пользовательские_сценарии!$A$5:$A$304,0)),0))</f>
        <v/>
      </c>
      <c r="R268" s="2"/>
      <c r="S268" s="2"/>
      <c r="T268" s="4" t="str">
        <f t="shared" si="4"/>
        <v/>
      </c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 t="str">
        <f>IF(A269="","",IFERROR(INDEX(Пользовательские_сценарии!$O$5:$O$304,MATCH(E269,Пользовательские_сценарии!$A$5:$A$304,0)),0))</f>
        <v/>
      </c>
      <c r="R269" s="2"/>
      <c r="S269" s="2"/>
      <c r="T269" s="4" t="str">
        <f t="shared" si="4"/>
        <v/>
      </c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 t="str">
        <f>IF(A270="","",IFERROR(INDEX(Пользовательские_сценарии!$O$5:$O$304,MATCH(E270,Пользовательские_сценарии!$A$5:$A$304,0)),0))</f>
        <v/>
      </c>
      <c r="R270" s="2"/>
      <c r="S270" s="2"/>
      <c r="T270" s="4" t="str">
        <f t="shared" si="4"/>
        <v/>
      </c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 t="str">
        <f>IF(A271="","",IFERROR(INDEX(Пользовательские_сценарии!$O$5:$O$304,MATCH(E271,Пользовательские_сценарии!$A$5:$A$304,0)),0))</f>
        <v/>
      </c>
      <c r="R271" s="2"/>
      <c r="S271" s="2"/>
      <c r="T271" s="4" t="str">
        <f t="shared" si="4"/>
        <v/>
      </c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 t="str">
        <f>IF(A272="","",IFERROR(INDEX(Пользовательские_сценарии!$O$5:$O$304,MATCH(E272,Пользовательские_сценарии!$A$5:$A$304,0)),0))</f>
        <v/>
      </c>
      <c r="R272" s="2"/>
      <c r="S272" s="2"/>
      <c r="T272" s="4" t="str">
        <f t="shared" si="4"/>
        <v/>
      </c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 t="str">
        <f>IF(A273="","",IFERROR(INDEX(Пользовательские_сценарии!$O$5:$O$304,MATCH(E273,Пользовательские_сценарии!$A$5:$A$304,0)),0))</f>
        <v/>
      </c>
      <c r="R273" s="2"/>
      <c r="S273" s="2"/>
      <c r="T273" s="4" t="str">
        <f t="shared" si="4"/>
        <v/>
      </c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tr">
        <f>IF(A274="","",IFERROR(INDEX(Пользовательские_сценарии!$O$5:$O$304,MATCH(E274,Пользовательские_сценарии!$A$5:$A$304,0)),0))</f>
        <v/>
      </c>
      <c r="R274" s="2"/>
      <c r="S274" s="2"/>
      <c r="T274" s="4" t="str">
        <f t="shared" si="4"/>
        <v/>
      </c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 t="str">
        <f>IF(A275="","",IFERROR(INDEX(Пользовательские_сценарии!$O$5:$O$304,MATCH(E275,Пользовательские_сценарии!$A$5:$A$304,0)),0))</f>
        <v/>
      </c>
      <c r="R275" s="2"/>
      <c r="S275" s="2"/>
      <c r="T275" s="4" t="str">
        <f t="shared" si="4"/>
        <v/>
      </c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 t="str">
        <f>IF(A276="","",IFERROR(INDEX(Пользовательские_сценарии!$O$5:$O$304,MATCH(E276,Пользовательские_сценарии!$A$5:$A$304,0)),0))</f>
        <v/>
      </c>
      <c r="R276" s="2"/>
      <c r="S276" s="2"/>
      <c r="T276" s="4" t="str">
        <f t="shared" si="4"/>
        <v/>
      </c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 t="str">
        <f>IF(A277="","",IFERROR(INDEX(Пользовательские_сценарии!$O$5:$O$304,MATCH(E277,Пользовательские_сценарии!$A$5:$A$304,0)),0))</f>
        <v/>
      </c>
      <c r="R277" s="2"/>
      <c r="S277" s="2"/>
      <c r="T277" s="4" t="str">
        <f t="shared" si="4"/>
        <v/>
      </c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 t="str">
        <f>IF(A278="","",IFERROR(INDEX(Пользовательские_сценарии!$O$5:$O$304,MATCH(E278,Пользовательские_сценарии!$A$5:$A$304,0)),0))</f>
        <v/>
      </c>
      <c r="R278" s="2"/>
      <c r="S278" s="2"/>
      <c r="T278" s="4" t="str">
        <f t="shared" si="4"/>
        <v/>
      </c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tr">
        <f>IF(A279="","",IFERROR(INDEX(Пользовательские_сценарии!$O$5:$O$304,MATCH(E279,Пользовательские_сценарии!$A$5:$A$304,0)),0))</f>
        <v/>
      </c>
      <c r="R279" s="2"/>
      <c r="S279" s="2"/>
      <c r="T279" s="4" t="str">
        <f t="shared" si="4"/>
        <v/>
      </c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tr">
        <f>IF(A280="","",IFERROR(INDEX(Пользовательские_сценарии!$O$5:$O$304,MATCH(E280,Пользовательские_сценарии!$A$5:$A$304,0)),0))</f>
        <v/>
      </c>
      <c r="R280" s="2"/>
      <c r="S280" s="2"/>
      <c r="T280" s="4" t="str">
        <f t="shared" si="4"/>
        <v/>
      </c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tr">
        <f>IF(A281="","",IFERROR(INDEX(Пользовательские_сценарии!$O$5:$O$304,MATCH(E281,Пользовательские_сценарии!$A$5:$A$304,0)),0))</f>
        <v/>
      </c>
      <c r="R281" s="2"/>
      <c r="S281" s="2"/>
      <c r="T281" s="4" t="str">
        <f t="shared" si="4"/>
        <v/>
      </c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tr">
        <f>IF(A282="","",IFERROR(INDEX(Пользовательские_сценарии!$O$5:$O$304,MATCH(E282,Пользовательские_сценарии!$A$5:$A$304,0)),0))</f>
        <v/>
      </c>
      <c r="R282" s="2"/>
      <c r="S282" s="2"/>
      <c r="T282" s="4" t="str">
        <f t="shared" si="4"/>
        <v/>
      </c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 t="str">
        <f>IF(A283="","",IFERROR(INDEX(Пользовательские_сценарии!$O$5:$O$304,MATCH(E283,Пользовательские_сценарии!$A$5:$A$304,0)),0))</f>
        <v/>
      </c>
      <c r="R283" s="2"/>
      <c r="S283" s="2"/>
      <c r="T283" s="4" t="str">
        <f t="shared" si="4"/>
        <v/>
      </c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tr">
        <f>IF(A284="","",IFERROR(INDEX(Пользовательские_сценарии!$O$5:$O$304,MATCH(E284,Пользовательские_сценарии!$A$5:$A$304,0)),0))</f>
        <v/>
      </c>
      <c r="R284" s="2"/>
      <c r="S284" s="2"/>
      <c r="T284" s="4" t="str">
        <f t="shared" si="4"/>
        <v/>
      </c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tr">
        <f>IF(A285="","",IFERROR(INDEX(Пользовательские_сценарии!$O$5:$O$304,MATCH(E285,Пользовательские_сценарии!$A$5:$A$304,0)),0))</f>
        <v/>
      </c>
      <c r="R285" s="2"/>
      <c r="S285" s="2"/>
      <c r="T285" s="4" t="str">
        <f t="shared" si="4"/>
        <v/>
      </c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tr">
        <f>IF(A286="","",IFERROR(INDEX(Пользовательские_сценарии!$O$5:$O$304,MATCH(E286,Пользовательские_сценарии!$A$5:$A$304,0)),0))</f>
        <v/>
      </c>
      <c r="R286" s="2"/>
      <c r="S286" s="2"/>
      <c r="T286" s="4" t="str">
        <f t="shared" si="4"/>
        <v/>
      </c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tr">
        <f>IF(A287="","",IFERROR(INDEX(Пользовательские_сценарии!$O$5:$O$304,MATCH(E287,Пользовательские_сценарии!$A$5:$A$304,0)),0))</f>
        <v/>
      </c>
      <c r="R287" s="2"/>
      <c r="S287" s="2"/>
      <c r="T287" s="4" t="str">
        <f t="shared" si="4"/>
        <v/>
      </c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 t="str">
        <f>IF(A288="","",IFERROR(INDEX(Пользовательские_сценарии!$O$5:$O$304,MATCH(E288,Пользовательские_сценарии!$A$5:$A$304,0)),0))</f>
        <v/>
      </c>
      <c r="R288" s="2"/>
      <c r="S288" s="2"/>
      <c r="T288" s="4" t="str">
        <f t="shared" si="4"/>
        <v/>
      </c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tr">
        <f>IF(A289="","",IFERROR(INDEX(Пользовательские_сценарии!$O$5:$O$304,MATCH(E289,Пользовательские_сценарии!$A$5:$A$304,0)),0))</f>
        <v/>
      </c>
      <c r="R289" s="2"/>
      <c r="S289" s="2"/>
      <c r="T289" s="4" t="str">
        <f t="shared" si="4"/>
        <v/>
      </c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tr">
        <f>IF(A290="","",IFERROR(INDEX(Пользовательские_сценарии!$O$5:$O$304,MATCH(E290,Пользовательские_сценарии!$A$5:$A$304,0)),0))</f>
        <v/>
      </c>
      <c r="R290" s="2"/>
      <c r="S290" s="2"/>
      <c r="T290" s="4" t="str">
        <f t="shared" si="4"/>
        <v/>
      </c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tr">
        <f>IF(A291="","",IFERROR(INDEX(Пользовательские_сценарии!$O$5:$O$304,MATCH(E291,Пользовательские_сценарии!$A$5:$A$304,0)),0))</f>
        <v/>
      </c>
      <c r="R291" s="2"/>
      <c r="S291" s="2"/>
      <c r="T291" s="4" t="str">
        <f t="shared" si="4"/>
        <v/>
      </c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tr">
        <f>IF(A292="","",IFERROR(INDEX(Пользовательские_сценарии!$O$5:$O$304,MATCH(E292,Пользовательские_сценарии!$A$5:$A$304,0)),0))</f>
        <v/>
      </c>
      <c r="R292" s="2"/>
      <c r="S292" s="2"/>
      <c r="T292" s="4" t="str">
        <f t="shared" si="4"/>
        <v/>
      </c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tr">
        <f>IF(A293="","",IFERROR(INDEX(Пользовательские_сценарии!$O$5:$O$304,MATCH(E293,Пользовательские_сценарии!$A$5:$A$304,0)),0))</f>
        <v/>
      </c>
      <c r="R293" s="2"/>
      <c r="S293" s="2"/>
      <c r="T293" s="4" t="str">
        <f t="shared" si="4"/>
        <v/>
      </c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tr">
        <f>IF(A294="","",IFERROR(INDEX(Пользовательские_сценарии!$O$5:$O$304,MATCH(E294,Пользовательские_сценарии!$A$5:$A$304,0)),0))</f>
        <v/>
      </c>
      <c r="R294" s="2"/>
      <c r="S294" s="2"/>
      <c r="T294" s="4" t="str">
        <f t="shared" si="4"/>
        <v/>
      </c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tr">
        <f>IF(A295="","",IFERROR(INDEX(Пользовательские_сценарии!$O$5:$O$304,MATCH(E295,Пользовательские_сценарии!$A$5:$A$304,0)),0))</f>
        <v/>
      </c>
      <c r="R295" s="2"/>
      <c r="S295" s="2"/>
      <c r="T295" s="4" t="str">
        <f t="shared" si="4"/>
        <v/>
      </c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tr">
        <f>IF(A296="","",IFERROR(INDEX(Пользовательские_сценарии!$O$5:$O$304,MATCH(E296,Пользовательские_сценарии!$A$5:$A$304,0)),0))</f>
        <v/>
      </c>
      <c r="R296" s="2"/>
      <c r="S296" s="2"/>
      <c r="T296" s="4" t="str">
        <f t="shared" si="4"/>
        <v/>
      </c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 t="str">
        <f>IF(A297="","",IFERROR(INDEX(Пользовательские_сценарии!$O$5:$O$304,MATCH(E297,Пользовательские_сценарии!$A$5:$A$304,0)),0))</f>
        <v/>
      </c>
      <c r="R297" s="2"/>
      <c r="S297" s="2"/>
      <c r="T297" s="4" t="str">
        <f t="shared" si="4"/>
        <v/>
      </c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tr">
        <f>IF(A298="","",IFERROR(INDEX(Пользовательские_сценарии!$O$5:$O$304,MATCH(E298,Пользовательские_сценарии!$A$5:$A$304,0)),0))</f>
        <v/>
      </c>
      <c r="R298" s="2"/>
      <c r="S298" s="2"/>
      <c r="T298" s="4" t="str">
        <f t="shared" si="4"/>
        <v/>
      </c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tr">
        <f>IF(A299="","",IFERROR(INDEX(Пользовательские_сценарии!$O$5:$O$304,MATCH(E299,Пользовательские_сценарии!$A$5:$A$304,0)),0))</f>
        <v/>
      </c>
      <c r="R299" s="2"/>
      <c r="S299" s="2"/>
      <c r="T299" s="4" t="str">
        <f t="shared" si="4"/>
        <v/>
      </c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tr">
        <f>IF(A300="","",IFERROR(INDEX(Пользовательские_сценарии!$O$5:$O$304,MATCH(E300,Пользовательские_сценарии!$A$5:$A$304,0)),0))</f>
        <v/>
      </c>
      <c r="R300" s="2"/>
      <c r="S300" s="2"/>
      <c r="T300" s="4" t="str">
        <f t="shared" si="4"/>
        <v/>
      </c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tr">
        <f>IF(A301="","",IFERROR(INDEX(Пользовательские_сценарии!$O$5:$O$304,MATCH(E301,Пользовательские_сценарии!$A$5:$A$304,0)),0))</f>
        <v/>
      </c>
      <c r="R301" s="2"/>
      <c r="S301" s="2"/>
      <c r="T301" s="4" t="str">
        <f t="shared" si="4"/>
        <v/>
      </c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tr">
        <f>IF(A302="","",IFERROR(INDEX(Пользовательские_сценарии!$O$5:$O$304,MATCH(E302,Пользовательские_сценарии!$A$5:$A$304,0)),0))</f>
        <v/>
      </c>
      <c r="R302" s="2"/>
      <c r="S302" s="2"/>
      <c r="T302" s="4" t="str">
        <f t="shared" si="4"/>
        <v/>
      </c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tr">
        <f>IF(A303="","",IFERROR(INDEX(Пользовательские_сценарии!$O$5:$O$304,MATCH(E303,Пользовательские_сценарии!$A$5:$A$304,0)),0))</f>
        <v/>
      </c>
      <c r="R303" s="2"/>
      <c r="S303" s="2"/>
      <c r="T303" s="4" t="str">
        <f t="shared" si="4"/>
        <v/>
      </c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tr">
        <f>IF(A304="","",IFERROR(INDEX(Пользовательские_сценарии!$O$5:$O$304,MATCH(E304,Пользовательские_сценарии!$A$5:$A$304,0)),0))</f>
        <v/>
      </c>
      <c r="R304" s="2"/>
      <c r="S304" s="2"/>
      <c r="T304" s="4" t="str">
        <f t="shared" si="4"/>
        <v/>
      </c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U1"/>
    <mergeCell ref="A2:U2"/>
  </mergeCells>
  <conditionalFormatting sqref="Q5:Q304">
    <cfRule type="dataBar" priority="1">
      <dataBar>
        <cfvo type="min"/>
        <cfvo type="max"/>
        <color rgb="FF2F6F7E"/>
      </dataBar>
    </cfRule>
  </conditionalFormatting>
  <conditionalFormatting sqref="T5:T30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5:Q304"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dataValidations count="7">
    <dataValidation type="list" sqref="B5:B304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304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304" xr:uid="{00000000-0002-0000-0400-000002000000}">
      <formula1>"Да,Нет,Частично"</formula1>
    </dataValidation>
    <dataValidation type="list" sqref="P5:P304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304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304" xr:uid="{00000000-0002-0000-0400-000005000000}">
      <formula1>"1,2,3,4,5"</formula1>
    </dataValidation>
    <dataValidation type="list" sqref="U5:U304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Q5:Q304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5"/>
  <sheetViews>
    <sheetView workbookViewId="0"/>
  </sheetViews>
  <sheetFormatPr defaultRowHeight="13.5"/>
  <cols>
    <col min="1" max="1" width="12" customWidth="1"/>
    <col min="2" max="2" width="14" customWidth="1"/>
    <col min="3" max="3" width="12" customWidth="1"/>
    <col min="4" max="4" width="20" customWidth="1"/>
    <col min="5" max="5" width="26" customWidth="1"/>
    <col min="6" max="6" width="12" customWidth="1"/>
    <col min="7" max="8" width="16" customWidth="1"/>
    <col min="9" max="9" width="44" customWidth="1"/>
  </cols>
  <sheetData>
    <row r="1" spans="1:21" ht="16.05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119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120</v>
      </c>
      <c r="B4" s="3" t="s">
        <v>70</v>
      </c>
      <c r="C4" s="3" t="s">
        <v>89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127</v>
      </c>
      <c r="B5" s="2" t="s">
        <v>52</v>
      </c>
      <c r="C5" s="2" t="s">
        <v>107</v>
      </c>
      <c r="D5" s="2" t="s">
        <v>128</v>
      </c>
      <c r="E5" s="2" t="s">
        <v>129</v>
      </c>
      <c r="F5" s="2">
        <v>1</v>
      </c>
      <c r="G5" s="2"/>
      <c r="H5" s="2" t="s">
        <v>114</v>
      </c>
      <c r="I5" s="2" t="s">
        <v>591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130</v>
      </c>
      <c r="B6" s="2" t="s">
        <v>52</v>
      </c>
      <c r="C6" s="2" t="s">
        <v>114</v>
      </c>
      <c r="D6" s="2" t="s">
        <v>128</v>
      </c>
      <c r="E6" s="2" t="s">
        <v>129</v>
      </c>
      <c r="F6" s="2">
        <v>2</v>
      </c>
      <c r="G6" s="2" t="s">
        <v>107</v>
      </c>
      <c r="H6" s="2" t="s">
        <v>494</v>
      </c>
      <c r="I6" s="2" t="s">
        <v>592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593</v>
      </c>
      <c r="B7" s="2" t="s">
        <v>52</v>
      </c>
      <c r="C7" s="2" t="s">
        <v>494</v>
      </c>
      <c r="D7" s="2" t="s">
        <v>128</v>
      </c>
      <c r="E7" s="2" t="s">
        <v>129</v>
      </c>
      <c r="F7" s="2">
        <v>3</v>
      </c>
      <c r="G7" s="2" t="s">
        <v>114</v>
      </c>
      <c r="H7" s="2" t="s">
        <v>501</v>
      </c>
      <c r="I7" s="2" t="s">
        <v>594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595</v>
      </c>
      <c r="B8" s="2" t="s">
        <v>52</v>
      </c>
      <c r="C8" s="2" t="s">
        <v>501</v>
      </c>
      <c r="D8" s="2" t="s">
        <v>128</v>
      </c>
      <c r="E8" s="2" t="s">
        <v>129</v>
      </c>
      <c r="F8" s="2">
        <v>4</v>
      </c>
      <c r="G8" s="2" t="s">
        <v>494</v>
      </c>
      <c r="H8" s="2" t="s">
        <v>519</v>
      </c>
      <c r="I8" s="2" t="s">
        <v>596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597</v>
      </c>
      <c r="B9" s="2" t="s">
        <v>85</v>
      </c>
      <c r="C9" s="2" t="s">
        <v>519</v>
      </c>
      <c r="D9" s="2" t="s">
        <v>128</v>
      </c>
      <c r="E9" s="2" t="s">
        <v>129</v>
      </c>
      <c r="F9" s="2">
        <v>1</v>
      </c>
      <c r="G9" s="2" t="s">
        <v>501</v>
      </c>
      <c r="H9" s="2" t="s">
        <v>559</v>
      </c>
      <c r="I9" s="2" t="s">
        <v>598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599</v>
      </c>
      <c r="B10" s="2" t="s">
        <v>85</v>
      </c>
      <c r="C10" s="2" t="s">
        <v>559</v>
      </c>
      <c r="D10" s="2" t="s">
        <v>128</v>
      </c>
      <c r="E10" s="2" t="s">
        <v>268</v>
      </c>
      <c r="F10" s="2">
        <v>2</v>
      </c>
      <c r="G10" s="2" t="s">
        <v>519</v>
      </c>
      <c r="H10" s="2"/>
      <c r="I10" s="2" t="s">
        <v>600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601</v>
      </c>
      <c r="B11" s="2" t="s">
        <v>48</v>
      </c>
      <c r="C11" s="2" t="s">
        <v>528</v>
      </c>
      <c r="D11" s="2" t="s">
        <v>128</v>
      </c>
      <c r="E11" s="2" t="s">
        <v>129</v>
      </c>
      <c r="F11" s="2">
        <v>1</v>
      </c>
      <c r="G11" s="2" t="s">
        <v>494</v>
      </c>
      <c r="H11" s="2" t="s">
        <v>537</v>
      </c>
      <c r="I11" s="2" t="s">
        <v>602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603</v>
      </c>
      <c r="B12" s="2" t="s">
        <v>48</v>
      </c>
      <c r="C12" s="2" t="s">
        <v>537</v>
      </c>
      <c r="D12" s="2" t="s">
        <v>128</v>
      </c>
      <c r="E12" s="2" t="s">
        <v>129</v>
      </c>
      <c r="F12" s="2">
        <v>2</v>
      </c>
      <c r="G12" s="2" t="s">
        <v>528</v>
      </c>
      <c r="H12" s="2" t="s">
        <v>510</v>
      </c>
      <c r="I12" s="2" t="s">
        <v>604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605</v>
      </c>
      <c r="B13" s="2" t="s">
        <v>48</v>
      </c>
      <c r="C13" s="2" t="s">
        <v>510</v>
      </c>
      <c r="D13" s="2" t="s">
        <v>128</v>
      </c>
      <c r="E13" s="2" t="s">
        <v>129</v>
      </c>
      <c r="F13" s="2">
        <v>3</v>
      </c>
      <c r="G13" s="2" t="s">
        <v>537</v>
      </c>
      <c r="H13" s="2"/>
      <c r="I13" s="2" t="s">
        <v>606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607</v>
      </c>
      <c r="B14" s="2" t="s">
        <v>436</v>
      </c>
      <c r="C14" s="2" t="s">
        <v>559</v>
      </c>
      <c r="D14" s="2" t="s">
        <v>128</v>
      </c>
      <c r="E14" s="2" t="s">
        <v>268</v>
      </c>
      <c r="F14" s="2">
        <v>1</v>
      </c>
      <c r="G14" s="2"/>
      <c r="H14" s="2" t="s">
        <v>528</v>
      </c>
      <c r="I14" s="2" t="s">
        <v>608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7">
      <c r="A15" s="2" t="s">
        <v>609</v>
      </c>
      <c r="B15" s="2" t="s">
        <v>436</v>
      </c>
      <c r="C15" s="2" t="s">
        <v>537</v>
      </c>
      <c r="D15" s="2" t="s">
        <v>128</v>
      </c>
      <c r="E15" s="2" t="s">
        <v>129</v>
      </c>
      <c r="F15" s="2">
        <v>2</v>
      </c>
      <c r="G15" s="2" t="s">
        <v>528</v>
      </c>
      <c r="H15" s="2"/>
      <c r="I15" s="2" t="s">
        <v>610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611</v>
      </c>
      <c r="B16" s="2" t="s">
        <v>442</v>
      </c>
      <c r="C16" s="2" t="s">
        <v>567</v>
      </c>
      <c r="D16" s="2" t="s">
        <v>128</v>
      </c>
      <c r="E16" s="2" t="s">
        <v>268</v>
      </c>
      <c r="F16" s="2">
        <v>1</v>
      </c>
      <c r="G16" s="2"/>
      <c r="H16" s="2" t="s">
        <v>494</v>
      </c>
      <c r="I16" s="2" t="s">
        <v>612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7">
      <c r="A17" s="2" t="s">
        <v>613</v>
      </c>
      <c r="B17" s="2" t="s">
        <v>447</v>
      </c>
      <c r="C17" s="2" t="s">
        <v>510</v>
      </c>
      <c r="D17" s="2" t="s">
        <v>128</v>
      </c>
      <c r="E17" s="2" t="s">
        <v>129</v>
      </c>
      <c r="F17" s="2">
        <v>1</v>
      </c>
      <c r="G17" s="2" t="s">
        <v>501</v>
      </c>
      <c r="H17" s="2"/>
      <c r="I17" s="2" t="s">
        <v>614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7">
      <c r="A18" s="2" t="s">
        <v>615</v>
      </c>
      <c r="B18" s="2" t="s">
        <v>453</v>
      </c>
      <c r="C18" s="2" t="s">
        <v>114</v>
      </c>
      <c r="D18" s="2" t="s">
        <v>128</v>
      </c>
      <c r="E18" s="2" t="s">
        <v>129</v>
      </c>
      <c r="F18" s="2">
        <v>1</v>
      </c>
      <c r="G18" s="2"/>
      <c r="H18" s="2" t="s">
        <v>494</v>
      </c>
      <c r="I18" s="2" t="s">
        <v>616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617</v>
      </c>
      <c r="B19" s="2" t="s">
        <v>465</v>
      </c>
      <c r="C19" s="2" t="s">
        <v>576</v>
      </c>
      <c r="D19" s="2" t="s">
        <v>128</v>
      </c>
      <c r="E19" s="2" t="s">
        <v>268</v>
      </c>
      <c r="F19" s="2">
        <v>1</v>
      </c>
      <c r="G19" s="2"/>
      <c r="H19" s="2" t="s">
        <v>537</v>
      </c>
      <c r="I19" s="2" t="s">
        <v>618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7">
      <c r="A20" s="2" t="s">
        <v>619</v>
      </c>
      <c r="B20" s="2" t="s">
        <v>471</v>
      </c>
      <c r="C20" s="2" t="s">
        <v>544</v>
      </c>
      <c r="D20" s="2" t="s">
        <v>620</v>
      </c>
      <c r="E20" s="2" t="s">
        <v>129</v>
      </c>
      <c r="F20" s="2">
        <v>1</v>
      </c>
      <c r="G20" s="2"/>
      <c r="H20" s="2" t="s">
        <v>552</v>
      </c>
      <c r="I20" s="2" t="s">
        <v>621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7">
      <c r="A21" s="2" t="s">
        <v>622</v>
      </c>
      <c r="B21" s="2" t="s">
        <v>471</v>
      </c>
      <c r="C21" s="2" t="s">
        <v>552</v>
      </c>
      <c r="D21" s="2" t="s">
        <v>128</v>
      </c>
      <c r="E21" s="2" t="s">
        <v>129</v>
      </c>
      <c r="F21" s="2">
        <v>2</v>
      </c>
      <c r="G21" s="2" t="s">
        <v>544</v>
      </c>
      <c r="H21" s="2"/>
      <c r="I21" s="2" t="s">
        <v>623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2">
    <dataValidation type="list" sqref="D5:D304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304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5"/>
  <sheetViews>
    <sheetView workbookViewId="0"/>
  </sheetViews>
  <sheetFormatPr defaultRowHeight="13.5"/>
  <cols>
    <col min="1" max="1" width="12" customWidth="1"/>
    <col min="2" max="3" width="14" customWidth="1"/>
    <col min="4" max="5" width="34" customWidth="1"/>
    <col min="6" max="6" width="12" customWidth="1"/>
    <col min="7" max="8" width="20" customWidth="1"/>
    <col min="9" max="9" width="14" customWidth="1"/>
    <col min="10" max="10" width="42" customWidth="1"/>
  </cols>
  <sheetData>
    <row r="1" spans="1:21" ht="16.05" customHeight="1">
      <c r="A1" s="6" t="s">
        <v>131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132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55</v>
      </c>
      <c r="G4" s="3" t="s">
        <v>71</v>
      </c>
      <c r="H4" s="3" t="s">
        <v>138</v>
      </c>
      <c r="I4" s="3" t="s">
        <v>139</v>
      </c>
      <c r="J4" s="3" t="s">
        <v>126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140</v>
      </c>
      <c r="B5" s="2" t="s">
        <v>107</v>
      </c>
      <c r="C5" s="2" t="s">
        <v>114</v>
      </c>
      <c r="D5" s="2" t="s">
        <v>624</v>
      </c>
      <c r="E5" s="2" t="s">
        <v>625</v>
      </c>
      <c r="F5" s="2" t="s">
        <v>47</v>
      </c>
      <c r="G5" s="2" t="s">
        <v>419</v>
      </c>
      <c r="H5" s="2" t="s">
        <v>141</v>
      </c>
      <c r="I5" s="2">
        <v>2</v>
      </c>
      <c r="J5" s="2" t="s">
        <v>626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627</v>
      </c>
      <c r="B6" s="2" t="s">
        <v>114</v>
      </c>
      <c r="C6" s="2" t="s">
        <v>494</v>
      </c>
      <c r="D6" s="2" t="s">
        <v>628</v>
      </c>
      <c r="E6" s="2" t="s">
        <v>629</v>
      </c>
      <c r="F6" s="2" t="s">
        <v>47</v>
      </c>
      <c r="G6" s="2" t="s">
        <v>419</v>
      </c>
      <c r="H6" s="2" t="s">
        <v>141</v>
      </c>
      <c r="I6" s="2">
        <v>2</v>
      </c>
      <c r="J6" s="2" t="s">
        <v>630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631</v>
      </c>
      <c r="B7" s="2" t="s">
        <v>494</v>
      </c>
      <c r="C7" s="2" t="s">
        <v>501</v>
      </c>
      <c r="D7" s="2" t="s">
        <v>632</v>
      </c>
      <c r="E7" s="2" t="s">
        <v>633</v>
      </c>
      <c r="F7" s="2" t="s">
        <v>47</v>
      </c>
      <c r="G7" s="2" t="s">
        <v>419</v>
      </c>
      <c r="H7" s="2" t="s">
        <v>141</v>
      </c>
      <c r="I7" s="2">
        <v>1</v>
      </c>
      <c r="J7" s="2" t="s">
        <v>634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635</v>
      </c>
      <c r="B8" s="2" t="s">
        <v>501</v>
      </c>
      <c r="C8" s="2" t="s">
        <v>519</v>
      </c>
      <c r="D8" s="2" t="s">
        <v>636</v>
      </c>
      <c r="E8" s="2" t="s">
        <v>637</v>
      </c>
      <c r="F8" s="2" t="s">
        <v>47</v>
      </c>
      <c r="G8" s="2" t="s">
        <v>86</v>
      </c>
      <c r="H8" s="2" t="s">
        <v>141</v>
      </c>
      <c r="I8" s="2">
        <v>3</v>
      </c>
      <c r="J8" s="2" t="s">
        <v>638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639</v>
      </c>
      <c r="B9" s="2" t="s">
        <v>494</v>
      </c>
      <c r="C9" s="2" t="s">
        <v>528</v>
      </c>
      <c r="D9" s="2" t="s">
        <v>640</v>
      </c>
      <c r="E9" s="2" t="s">
        <v>641</v>
      </c>
      <c r="F9" s="2" t="s">
        <v>51</v>
      </c>
      <c r="G9" s="2" t="s">
        <v>301</v>
      </c>
      <c r="H9" s="2" t="s">
        <v>141</v>
      </c>
      <c r="I9" s="2">
        <v>3</v>
      </c>
      <c r="J9" s="2" t="s">
        <v>642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643</v>
      </c>
      <c r="B10" s="2" t="s">
        <v>528</v>
      </c>
      <c r="C10" s="2" t="s">
        <v>537</v>
      </c>
      <c r="D10" s="2" t="s">
        <v>644</v>
      </c>
      <c r="E10" s="2" t="s">
        <v>645</v>
      </c>
      <c r="F10" s="2" t="s">
        <v>51</v>
      </c>
      <c r="G10" s="2" t="s">
        <v>301</v>
      </c>
      <c r="H10" s="2" t="s">
        <v>141</v>
      </c>
      <c r="I10" s="2">
        <v>2</v>
      </c>
      <c r="J10" s="2" t="s">
        <v>646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647</v>
      </c>
      <c r="B11" s="2" t="s">
        <v>537</v>
      </c>
      <c r="C11" s="2" t="s">
        <v>510</v>
      </c>
      <c r="D11" s="2" t="s">
        <v>648</v>
      </c>
      <c r="E11" s="2" t="s">
        <v>649</v>
      </c>
      <c r="F11" s="2" t="s">
        <v>51</v>
      </c>
      <c r="G11" s="2" t="s">
        <v>419</v>
      </c>
      <c r="H11" s="2" t="s">
        <v>141</v>
      </c>
      <c r="I11" s="2">
        <v>2</v>
      </c>
      <c r="J11" s="2" t="s">
        <v>650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651</v>
      </c>
      <c r="B12" s="2" t="s">
        <v>519</v>
      </c>
      <c r="C12" s="2" t="s">
        <v>559</v>
      </c>
      <c r="D12" s="2" t="s">
        <v>652</v>
      </c>
      <c r="E12" s="2" t="s">
        <v>653</v>
      </c>
      <c r="F12" s="2" t="s">
        <v>47</v>
      </c>
      <c r="G12" s="2" t="s">
        <v>116</v>
      </c>
      <c r="H12" s="2" t="s">
        <v>141</v>
      </c>
      <c r="I12" s="2">
        <v>1</v>
      </c>
      <c r="J12" s="2" t="s">
        <v>654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655</v>
      </c>
      <c r="B13" s="2" t="s">
        <v>107</v>
      </c>
      <c r="C13" s="2" t="s">
        <v>544</v>
      </c>
      <c r="D13" s="2" t="s">
        <v>656</v>
      </c>
      <c r="E13" s="2" t="s">
        <v>657</v>
      </c>
      <c r="F13" s="2" t="s">
        <v>401</v>
      </c>
      <c r="G13" s="2" t="s">
        <v>84</v>
      </c>
      <c r="H13" s="2" t="s">
        <v>658</v>
      </c>
      <c r="I13" s="2">
        <v>2</v>
      </c>
      <c r="J13" s="2" t="s">
        <v>659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660</v>
      </c>
      <c r="B14" s="2" t="s">
        <v>544</v>
      </c>
      <c r="C14" s="2" t="s">
        <v>552</v>
      </c>
      <c r="D14" s="2" t="s">
        <v>623</v>
      </c>
      <c r="E14" s="2" t="s">
        <v>661</v>
      </c>
      <c r="F14" s="2" t="s">
        <v>401</v>
      </c>
      <c r="G14" s="2" t="s">
        <v>306</v>
      </c>
      <c r="H14" s="2" t="s">
        <v>658</v>
      </c>
      <c r="I14" s="2">
        <v>3</v>
      </c>
      <c r="J14" s="2" t="s">
        <v>662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663</v>
      </c>
      <c r="B15" s="2" t="s">
        <v>559</v>
      </c>
      <c r="C15" s="2" t="s">
        <v>528</v>
      </c>
      <c r="D15" s="2" t="s">
        <v>664</v>
      </c>
      <c r="E15" s="2" t="s">
        <v>665</v>
      </c>
      <c r="F15" s="2" t="s">
        <v>47</v>
      </c>
      <c r="G15" s="2" t="s">
        <v>301</v>
      </c>
      <c r="H15" s="2" t="s">
        <v>141</v>
      </c>
      <c r="I15" s="2">
        <v>2</v>
      </c>
      <c r="J15" s="2" t="s">
        <v>666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667</v>
      </c>
      <c r="B16" s="2" t="s">
        <v>567</v>
      </c>
      <c r="C16" s="2" t="s">
        <v>494</v>
      </c>
      <c r="D16" s="2" t="s">
        <v>668</v>
      </c>
      <c r="E16" s="2" t="s">
        <v>669</v>
      </c>
      <c r="F16" s="2" t="s">
        <v>47</v>
      </c>
      <c r="G16" s="2" t="s">
        <v>419</v>
      </c>
      <c r="H16" s="2" t="s">
        <v>141</v>
      </c>
      <c r="I16" s="2">
        <v>3</v>
      </c>
      <c r="J16" s="2" t="s">
        <v>670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671</v>
      </c>
      <c r="B17" s="2" t="s">
        <v>576</v>
      </c>
      <c r="C17" s="2" t="s">
        <v>537</v>
      </c>
      <c r="D17" s="2" t="s">
        <v>672</v>
      </c>
      <c r="E17" s="2" t="s">
        <v>673</v>
      </c>
      <c r="F17" s="2" t="s">
        <v>413</v>
      </c>
      <c r="G17" s="2" t="s">
        <v>301</v>
      </c>
      <c r="H17" s="2" t="s">
        <v>141</v>
      </c>
      <c r="I17" s="2">
        <v>3</v>
      </c>
      <c r="J17" s="2" t="s">
        <v>674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3">
    <dataValidation type="list" sqref="G5:G204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204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204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05"/>
  <sheetViews>
    <sheetView workbookViewId="0"/>
  </sheetViews>
  <sheetFormatPr defaultRowHeight="13.5"/>
  <cols>
    <col min="1" max="2" width="12" customWidth="1"/>
    <col min="3" max="4" width="28" customWidth="1"/>
    <col min="5" max="5" width="24" customWidth="1"/>
    <col min="6" max="7" width="30" customWidth="1"/>
    <col min="8" max="8" width="22" customWidth="1"/>
    <col min="9" max="9" width="26" customWidth="1"/>
    <col min="10" max="10" width="36" customWidth="1"/>
    <col min="11" max="11" width="16" customWidth="1"/>
  </cols>
  <sheetData>
    <row r="1" spans="1:21" ht="16.05" customHeight="1">
      <c r="A1" s="6" t="s">
        <v>142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143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144</v>
      </c>
      <c r="B4" s="3" t="s">
        <v>89</v>
      </c>
      <c r="C4" s="3" t="s">
        <v>145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150</v>
      </c>
      <c r="I4" s="3" t="s">
        <v>151</v>
      </c>
      <c r="J4" s="3" t="s">
        <v>152</v>
      </c>
      <c r="K4" s="3" t="s">
        <v>153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154</v>
      </c>
      <c r="B5" s="2" t="s">
        <v>107</v>
      </c>
      <c r="C5" s="2" t="s">
        <v>675</v>
      </c>
      <c r="D5" s="2" t="s">
        <v>155</v>
      </c>
      <c r="E5" s="2" t="s">
        <v>676</v>
      </c>
      <c r="F5" s="2" t="s">
        <v>155</v>
      </c>
      <c r="G5" s="2" t="s">
        <v>156</v>
      </c>
      <c r="H5" s="2" t="s">
        <v>155</v>
      </c>
      <c r="I5" s="2" t="s">
        <v>677</v>
      </c>
      <c r="J5" s="2" t="s">
        <v>678</v>
      </c>
      <c r="K5" s="4">
        <f t="shared" ref="K5:K36" si="0"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157</v>
      </c>
      <c r="B6" s="2" t="s">
        <v>114</v>
      </c>
      <c r="C6" s="2" t="s">
        <v>679</v>
      </c>
      <c r="D6" s="2" t="s">
        <v>680</v>
      </c>
      <c r="E6" s="2" t="s">
        <v>681</v>
      </c>
      <c r="F6" s="2" t="s">
        <v>682</v>
      </c>
      <c r="G6" s="2" t="s">
        <v>683</v>
      </c>
      <c r="H6" s="2" t="s">
        <v>155</v>
      </c>
      <c r="I6" s="2" t="s">
        <v>684</v>
      </c>
      <c r="J6" s="2" t="s">
        <v>685</v>
      </c>
      <c r="K6" s="4">
        <f t="shared" si="0"/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686</v>
      </c>
      <c r="B7" s="2" t="s">
        <v>494</v>
      </c>
      <c r="C7" s="2" t="s">
        <v>687</v>
      </c>
      <c r="D7" s="2" t="s">
        <v>688</v>
      </c>
      <c r="E7" s="2" t="s">
        <v>681</v>
      </c>
      <c r="F7" s="2" t="s">
        <v>155</v>
      </c>
      <c r="G7" s="2" t="s">
        <v>689</v>
      </c>
      <c r="H7" s="2" t="s">
        <v>155</v>
      </c>
      <c r="I7" s="2" t="s">
        <v>690</v>
      </c>
      <c r="J7" s="2" t="s">
        <v>691</v>
      </c>
      <c r="K7" s="4">
        <f t="shared" si="0"/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692</v>
      </c>
      <c r="B8" s="2" t="s">
        <v>501</v>
      </c>
      <c r="C8" s="2" t="s">
        <v>693</v>
      </c>
      <c r="D8" s="2" t="s">
        <v>155</v>
      </c>
      <c r="E8" s="2" t="s">
        <v>694</v>
      </c>
      <c r="F8" s="2" t="s">
        <v>155</v>
      </c>
      <c r="G8" s="2" t="s">
        <v>695</v>
      </c>
      <c r="H8" s="2" t="s">
        <v>155</v>
      </c>
      <c r="I8" s="2" t="s">
        <v>696</v>
      </c>
      <c r="J8" s="2" t="s">
        <v>697</v>
      </c>
      <c r="K8" s="4">
        <f t="shared" si="0"/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698</v>
      </c>
      <c r="B9" s="2" t="s">
        <v>510</v>
      </c>
      <c r="C9" s="2" t="s">
        <v>699</v>
      </c>
      <c r="D9" s="2" t="s">
        <v>700</v>
      </c>
      <c r="E9" s="2" t="s">
        <v>701</v>
      </c>
      <c r="F9" s="2" t="s">
        <v>155</v>
      </c>
      <c r="G9" s="2" t="s">
        <v>702</v>
      </c>
      <c r="H9" s="2" t="s">
        <v>703</v>
      </c>
      <c r="I9" s="2" t="s">
        <v>704</v>
      </c>
      <c r="J9" s="2" t="s">
        <v>705</v>
      </c>
      <c r="K9" s="4">
        <f t="shared" si="0"/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706</v>
      </c>
      <c r="B10" s="2" t="s">
        <v>519</v>
      </c>
      <c r="C10" s="2" t="s">
        <v>707</v>
      </c>
      <c r="D10" s="2" t="s">
        <v>155</v>
      </c>
      <c r="E10" s="2" t="s">
        <v>708</v>
      </c>
      <c r="F10" s="2" t="s">
        <v>709</v>
      </c>
      <c r="G10" s="2" t="s">
        <v>683</v>
      </c>
      <c r="H10" s="2" t="s">
        <v>155</v>
      </c>
      <c r="I10" s="2" t="s">
        <v>653</v>
      </c>
      <c r="J10" s="2" t="s">
        <v>710</v>
      </c>
      <c r="K10" s="4">
        <f t="shared" si="0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711</v>
      </c>
      <c r="B11" s="2" t="s">
        <v>528</v>
      </c>
      <c r="C11" s="2" t="s">
        <v>712</v>
      </c>
      <c r="D11" s="2" t="s">
        <v>155</v>
      </c>
      <c r="E11" s="2" t="s">
        <v>676</v>
      </c>
      <c r="F11" s="2" t="s">
        <v>155</v>
      </c>
      <c r="G11" s="2" t="s">
        <v>713</v>
      </c>
      <c r="H11" s="2" t="s">
        <v>155</v>
      </c>
      <c r="I11" s="2" t="s">
        <v>714</v>
      </c>
      <c r="J11" s="2" t="s">
        <v>678</v>
      </c>
      <c r="K11" s="4">
        <f t="shared" si="0"/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715</v>
      </c>
      <c r="B12" s="2" t="s">
        <v>537</v>
      </c>
      <c r="C12" s="2" t="s">
        <v>716</v>
      </c>
      <c r="D12" s="2" t="s">
        <v>717</v>
      </c>
      <c r="E12" s="2" t="s">
        <v>718</v>
      </c>
      <c r="F12" s="2" t="s">
        <v>719</v>
      </c>
      <c r="G12" s="2" t="s">
        <v>720</v>
      </c>
      <c r="H12" s="2" t="s">
        <v>703</v>
      </c>
      <c r="I12" s="2" t="s">
        <v>648</v>
      </c>
      <c r="J12" s="2" t="s">
        <v>721</v>
      </c>
      <c r="K12" s="4">
        <f t="shared" si="0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722</v>
      </c>
      <c r="B13" s="2" t="s">
        <v>544</v>
      </c>
      <c r="C13" s="2" t="s">
        <v>723</v>
      </c>
      <c r="D13" s="2" t="s">
        <v>155</v>
      </c>
      <c r="E13" s="2" t="s">
        <v>676</v>
      </c>
      <c r="F13" s="2" t="s">
        <v>155</v>
      </c>
      <c r="G13" s="2" t="s">
        <v>724</v>
      </c>
      <c r="H13" s="2" t="s">
        <v>155</v>
      </c>
      <c r="I13" s="2" t="s">
        <v>155</v>
      </c>
      <c r="J13" s="2" t="s">
        <v>678</v>
      </c>
      <c r="K13" s="4">
        <f t="shared" si="0"/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725</v>
      </c>
      <c r="B14" s="2" t="s">
        <v>552</v>
      </c>
      <c r="C14" s="2" t="s">
        <v>726</v>
      </c>
      <c r="D14" s="2" t="s">
        <v>727</v>
      </c>
      <c r="E14" s="2" t="s">
        <v>728</v>
      </c>
      <c r="F14" s="2" t="s">
        <v>729</v>
      </c>
      <c r="G14" s="2" t="s">
        <v>730</v>
      </c>
      <c r="H14" s="2" t="s">
        <v>703</v>
      </c>
      <c r="I14" s="2" t="s">
        <v>731</v>
      </c>
      <c r="J14" s="2" t="s">
        <v>732</v>
      </c>
      <c r="K14" s="4">
        <f t="shared" si="0"/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733</v>
      </c>
      <c r="B15" s="2" t="s">
        <v>559</v>
      </c>
      <c r="C15" s="2" t="s">
        <v>734</v>
      </c>
      <c r="D15" s="2" t="s">
        <v>735</v>
      </c>
      <c r="E15" s="2" t="s">
        <v>676</v>
      </c>
      <c r="F15" s="2" t="s">
        <v>155</v>
      </c>
      <c r="G15" s="2" t="s">
        <v>736</v>
      </c>
      <c r="H15" s="2" t="s">
        <v>703</v>
      </c>
      <c r="I15" s="2" t="s">
        <v>737</v>
      </c>
      <c r="J15" s="2" t="s">
        <v>738</v>
      </c>
      <c r="K15" s="4">
        <f t="shared" si="0"/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739</v>
      </c>
      <c r="B16" s="2" t="s">
        <v>567</v>
      </c>
      <c r="C16" s="2" t="s">
        <v>740</v>
      </c>
      <c r="D16" s="2" t="s">
        <v>741</v>
      </c>
      <c r="E16" s="2" t="s">
        <v>681</v>
      </c>
      <c r="F16" s="2" t="s">
        <v>742</v>
      </c>
      <c r="G16" s="2" t="s">
        <v>743</v>
      </c>
      <c r="H16" s="2" t="s">
        <v>744</v>
      </c>
      <c r="I16" s="2" t="s">
        <v>745</v>
      </c>
      <c r="J16" s="2" t="s">
        <v>746</v>
      </c>
      <c r="K16" s="4">
        <f t="shared" si="0"/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7">
      <c r="A17" s="2" t="s">
        <v>747</v>
      </c>
      <c r="B17" s="2" t="s">
        <v>576</v>
      </c>
      <c r="C17" s="2" t="s">
        <v>748</v>
      </c>
      <c r="D17" s="2" t="s">
        <v>749</v>
      </c>
      <c r="E17" s="2" t="s">
        <v>708</v>
      </c>
      <c r="F17" s="2" t="s">
        <v>709</v>
      </c>
      <c r="G17" s="2" t="s">
        <v>750</v>
      </c>
      <c r="H17" s="2" t="s">
        <v>751</v>
      </c>
      <c r="I17" s="2" t="s">
        <v>752</v>
      </c>
      <c r="J17" s="2" t="s">
        <v>753</v>
      </c>
      <c r="K17" s="4">
        <f t="shared" si="0"/>
        <v>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754</v>
      </c>
      <c r="B18" s="2" t="s">
        <v>584</v>
      </c>
      <c r="C18" s="2" t="s">
        <v>755</v>
      </c>
      <c r="D18" s="2" t="s">
        <v>756</v>
      </c>
      <c r="E18" s="2" t="s">
        <v>757</v>
      </c>
      <c r="F18" s="2" t="s">
        <v>155</v>
      </c>
      <c r="G18" s="2" t="s">
        <v>724</v>
      </c>
      <c r="H18" s="2" t="s">
        <v>155</v>
      </c>
      <c r="I18" s="2" t="s">
        <v>155</v>
      </c>
      <c r="J18" s="2" t="s">
        <v>758</v>
      </c>
      <c r="K18" s="4">
        <f t="shared" si="0"/>
        <v>1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4" t="str">
        <f t="shared" si="0"/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4" t="str">
        <f t="shared" si="0"/>
        <v/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4" t="str">
        <f t="shared" si="0"/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4" t="str">
        <f t="shared" si="0"/>
        <v/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4" t="str">
        <f t="shared" si="0"/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4" t="str">
        <f t="shared" si="0"/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4" t="str">
        <f t="shared" si="0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4" t="str">
        <f t="shared" si="0"/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4" t="str">
        <f t="shared" si="0"/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4" t="str">
        <f t="shared" si="0"/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4" t="str">
        <f t="shared" si="0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4" t="str">
        <f t="shared" si="0"/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4" t="str">
        <f t="shared" si="0"/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4" t="str">
        <f t="shared" si="0"/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4" t="str">
        <f t="shared" si="0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4" t="str">
        <f t="shared" si="0"/>
        <v/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4" t="str">
        <f t="shared" si="0"/>
        <v/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4" t="str">
        <f t="shared" si="0"/>
        <v/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4" t="str">
        <f t="shared" ref="K37:K68" si="1">IF(A37="","",ROUND(COUNTA(C37:J37)/8,2))</f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4" t="str">
        <f t="shared" si="1"/>
        <v/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4" t="str">
        <f t="shared" si="1"/>
        <v/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4" t="str">
        <f t="shared" si="1"/>
        <v/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4" t="str">
        <f t="shared" si="1"/>
        <v/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4" t="str">
        <f t="shared" si="1"/>
        <v/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4" t="str">
        <f t="shared" si="1"/>
        <v/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4" t="str">
        <f t="shared" si="1"/>
        <v/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4" t="str">
        <f t="shared" si="1"/>
        <v/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4" t="str">
        <f t="shared" si="1"/>
        <v/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4" t="str">
        <f t="shared" si="1"/>
        <v/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4" t="str">
        <f t="shared" si="1"/>
        <v/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4" t="str">
        <f t="shared" si="1"/>
        <v/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4" t="str">
        <f t="shared" si="1"/>
        <v/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4" t="str">
        <f t="shared" si="1"/>
        <v/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4" t="str">
        <f t="shared" si="1"/>
        <v/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4" t="str">
        <f t="shared" si="1"/>
        <v/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4" t="str">
        <f t="shared" si="1"/>
        <v/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4" t="str">
        <f t="shared" si="1"/>
        <v/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4" t="str">
        <f t="shared" si="1"/>
        <v/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4" t="str">
        <f t="shared" si="1"/>
        <v/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4" t="str">
        <f t="shared" si="1"/>
        <v/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4" t="str">
        <f t="shared" si="1"/>
        <v/>
      </c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4" t="str">
        <f t="shared" si="1"/>
        <v/>
      </c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4" t="str">
        <f t="shared" si="1"/>
        <v/>
      </c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4" t="str">
        <f t="shared" si="1"/>
        <v/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4" t="str">
        <f t="shared" si="1"/>
        <v/>
      </c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4" t="str">
        <f t="shared" si="1"/>
        <v/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4" t="str">
        <f t="shared" si="1"/>
        <v/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4" t="str">
        <f t="shared" si="1"/>
        <v/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4" t="str">
        <f t="shared" si="1"/>
        <v/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4" t="str">
        <f t="shared" si="1"/>
        <v/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4" t="str">
        <f t="shared" ref="K69:K100" si="2">IF(A69="","",ROUND(COUNTA(C69:J69)/8,2))</f>
        <v/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4" t="str">
        <f t="shared" si="2"/>
        <v/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4" t="str">
        <f t="shared" si="2"/>
        <v/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4" t="str">
        <f t="shared" si="2"/>
        <v/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4" t="str">
        <f t="shared" si="2"/>
        <v/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4" t="str">
        <f t="shared" si="2"/>
        <v/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4" t="str">
        <f t="shared" si="2"/>
        <v/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4" t="str">
        <f t="shared" si="2"/>
        <v/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4" t="str">
        <f t="shared" si="2"/>
        <v/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4" t="str">
        <f t="shared" si="2"/>
        <v/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4" t="str">
        <f t="shared" si="2"/>
        <v/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4" t="str">
        <f t="shared" si="2"/>
        <v/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4" t="str">
        <f t="shared" si="2"/>
        <v/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4" t="str">
        <f t="shared" si="2"/>
        <v/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4" t="str">
        <f t="shared" si="2"/>
        <v/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4" t="str">
        <f t="shared" si="2"/>
        <v/>
      </c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4" t="str">
        <f t="shared" si="2"/>
        <v/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4" t="str">
        <f t="shared" si="2"/>
        <v/>
      </c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4" t="str">
        <f t="shared" si="2"/>
        <v/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4" t="str">
        <f t="shared" si="2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4" t="str">
        <f t="shared" si="2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4" t="str">
        <f t="shared" si="2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4" t="str">
        <f t="shared" si="2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4" t="str">
        <f t="shared" si="2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4" t="str">
        <f t="shared" si="2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4" t="str">
        <f t="shared" si="2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4" t="str">
        <f t="shared" si="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4" t="str">
        <f t="shared" si="2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4" t="str">
        <f t="shared" si="2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4" t="str">
        <f t="shared" si="2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4" t="str">
        <f t="shared" si="2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 t="str">
        <f t="shared" si="2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 t="str">
        <f t="shared" ref="K101:K132" si="3">IF(A101="","",ROUND(COUNTA(C101:J101)/8,2))</f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 t="str">
        <f t="shared" si="3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 t="str">
        <f t="shared" si="3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 t="str">
        <f t="shared" si="3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 t="str">
        <f t="shared" si="3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 t="str">
        <f t="shared" si="3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 t="str">
        <f t="shared" si="3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 t="str">
        <f t="shared" si="3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 t="str">
        <f t="shared" si="3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 t="str">
        <f t="shared" si="3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 t="str">
        <f t="shared" si="3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 t="str">
        <f t="shared" si="3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 t="str">
        <f t="shared" si="3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 t="str">
        <f t="shared" si="3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 t="str">
        <f t="shared" si="3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 t="str">
        <f t="shared" si="3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 t="str">
        <f t="shared" si="3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 t="str">
        <f t="shared" si="3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 t="str">
        <f t="shared" si="3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 t="str">
        <f t="shared" si="3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 t="str">
        <f t="shared" si="3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 t="str">
        <f t="shared" si="3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 t="str">
        <f t="shared" si="3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 t="str">
        <f t="shared" si="3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 t="str">
        <f t="shared" si="3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 t="str">
        <f t="shared" si="3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 t="str">
        <f t="shared" si="3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 t="str">
        <f t="shared" si="3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 t="str">
        <f t="shared" si="3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 t="str">
        <f t="shared" si="3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 t="str">
        <f t="shared" si="3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 t="str">
        <f t="shared" si="3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 t="str">
        <f t="shared" ref="K133:K164" si="4">IF(A133="","",ROUND(COUNTA(C133:J133)/8,2))</f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 t="str">
        <f t="shared" si="4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 t="str">
        <f t="shared" si="4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 t="str">
        <f t="shared" si="4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 t="str">
        <f t="shared" si="4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 t="str">
        <f t="shared" si="4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 t="str">
        <f t="shared" si="4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 t="str">
        <f t="shared" si="4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 t="str">
        <f t="shared" si="4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 t="str">
        <f t="shared" si="4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 t="str">
        <f t="shared" si="4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 t="str">
        <f t="shared" si="4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 t="str">
        <f t="shared" si="4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 t="str">
        <f t="shared" si="4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 t="str">
        <f t="shared" si="4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 t="str">
        <f t="shared" si="4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 t="str">
        <f t="shared" si="4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 t="str">
        <f t="shared" si="4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 t="str">
        <f t="shared" si="4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 t="str">
        <f t="shared" si="4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 t="str">
        <f t="shared" si="4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 t="str">
        <f t="shared" si="4"/>
        <v/>
      </c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 t="str">
        <f t="shared" si="4"/>
        <v/>
      </c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 t="str">
        <f t="shared" si="4"/>
        <v/>
      </c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 t="str">
        <f t="shared" si="4"/>
        <v/>
      </c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 t="str">
        <f t="shared" si="4"/>
        <v/>
      </c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 t="str">
        <f t="shared" si="4"/>
        <v/>
      </c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 t="str">
        <f t="shared" si="4"/>
        <v/>
      </c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" t="str">
        <f t="shared" si="4"/>
        <v/>
      </c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" t="str">
        <f t="shared" si="4"/>
        <v/>
      </c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" t="str">
        <f t="shared" si="4"/>
        <v/>
      </c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" t="str">
        <f t="shared" si="4"/>
        <v/>
      </c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" t="str">
        <f t="shared" ref="K165:K196" si="5">IF(A165="","",ROUND(COUNTA(C165:J165)/8,2))</f>
        <v/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" t="str">
        <f t="shared" si="5"/>
        <v/>
      </c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" t="str">
        <f t="shared" si="5"/>
        <v/>
      </c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" t="str">
        <f t="shared" si="5"/>
        <v/>
      </c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" t="str">
        <f t="shared" si="5"/>
        <v/>
      </c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" t="str">
        <f t="shared" si="5"/>
        <v/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" t="str">
        <f t="shared" si="5"/>
        <v/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" t="str">
        <f t="shared" si="5"/>
        <v/>
      </c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" t="str">
        <f t="shared" si="5"/>
        <v/>
      </c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" t="str">
        <f t="shared" si="5"/>
        <v/>
      </c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" t="str">
        <f t="shared" si="5"/>
        <v/>
      </c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 t="str">
        <f t="shared" si="5"/>
        <v/>
      </c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" t="str">
        <f t="shared" si="5"/>
        <v/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" t="str">
        <f t="shared" si="5"/>
        <v/>
      </c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" t="str">
        <f t="shared" si="5"/>
        <v/>
      </c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" t="str">
        <f t="shared" si="5"/>
        <v/>
      </c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" t="str">
        <f t="shared" si="5"/>
        <v/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" t="str">
        <f t="shared" si="5"/>
        <v/>
      </c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" t="str">
        <f t="shared" si="5"/>
        <v/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" t="str">
        <f t="shared" si="5"/>
        <v/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" t="str">
        <f t="shared" si="5"/>
        <v/>
      </c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" t="str">
        <f t="shared" si="5"/>
        <v/>
      </c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" t="str">
        <f t="shared" si="5"/>
        <v/>
      </c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" t="str">
        <f t="shared" si="5"/>
        <v/>
      </c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" t="str">
        <f t="shared" si="5"/>
        <v/>
      </c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" t="str">
        <f t="shared" si="5"/>
        <v/>
      </c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" t="str">
        <f t="shared" si="5"/>
        <v/>
      </c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" t="str">
        <f t="shared" si="5"/>
        <v/>
      </c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" t="str">
        <f t="shared" si="5"/>
        <v/>
      </c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" t="str">
        <f t="shared" si="5"/>
        <v/>
      </c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" t="str">
        <f t="shared" si="5"/>
        <v/>
      </c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" t="str">
        <f t="shared" si="5"/>
        <v/>
      </c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" t="str">
        <f t="shared" ref="K197:K228" si="6">IF(A197="","",ROUND(COUNTA(C197:J197)/8,2))</f>
        <v/>
      </c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" t="str">
        <f t="shared" si="6"/>
        <v/>
      </c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" t="str">
        <f t="shared" si="6"/>
        <v/>
      </c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" t="str">
        <f t="shared" si="6"/>
        <v/>
      </c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" t="str">
        <f t="shared" si="6"/>
        <v/>
      </c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" t="str">
        <f t="shared" si="6"/>
        <v/>
      </c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" t="str">
        <f t="shared" si="6"/>
        <v/>
      </c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" t="str">
        <f t="shared" si="6"/>
        <v/>
      </c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conditionalFormatting sqref="K5:K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05"/>
  <sheetViews>
    <sheetView workbookViewId="0"/>
  </sheetViews>
  <sheetFormatPr defaultRowHeight="13.5"/>
  <cols>
    <col min="1" max="1" width="12" customWidth="1"/>
    <col min="2" max="2" width="34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</cols>
  <sheetData>
    <row r="1" spans="1:21" ht="16.05" customHeight="1">
      <c r="A1" s="6" t="s">
        <v>158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159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160</v>
      </c>
      <c r="C4" s="3" t="s">
        <v>161</v>
      </c>
      <c r="D4" s="3" t="s">
        <v>122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107</v>
      </c>
      <c r="B5" s="2" t="s">
        <v>759</v>
      </c>
      <c r="C5" s="2" t="s">
        <v>760</v>
      </c>
      <c r="D5" s="2" t="s">
        <v>129</v>
      </c>
      <c r="E5" s="2" t="s">
        <v>168</v>
      </c>
      <c r="F5" s="2" t="s">
        <v>110</v>
      </c>
      <c r="G5" s="2" t="s">
        <v>169</v>
      </c>
      <c r="H5" s="2" t="s">
        <v>170</v>
      </c>
      <c r="I5" s="2" t="s">
        <v>761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114</v>
      </c>
      <c r="B6" s="2" t="s">
        <v>762</v>
      </c>
      <c r="C6" s="2" t="s">
        <v>763</v>
      </c>
      <c r="D6" s="2" t="s">
        <v>129</v>
      </c>
      <c r="E6" s="2" t="s">
        <v>764</v>
      </c>
      <c r="F6" s="2" t="s">
        <v>110</v>
      </c>
      <c r="G6" s="2" t="s">
        <v>169</v>
      </c>
      <c r="H6" s="2" t="s">
        <v>765</v>
      </c>
      <c r="I6" s="2" t="s">
        <v>761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494</v>
      </c>
      <c r="B7" s="2" t="s">
        <v>766</v>
      </c>
      <c r="C7" s="2" t="s">
        <v>767</v>
      </c>
      <c r="D7" s="2" t="s">
        <v>129</v>
      </c>
      <c r="E7" s="2" t="s">
        <v>768</v>
      </c>
      <c r="F7" s="2" t="s">
        <v>257</v>
      </c>
      <c r="G7" s="2" t="s">
        <v>769</v>
      </c>
      <c r="H7" s="2" t="s">
        <v>770</v>
      </c>
      <c r="I7" s="2" t="s">
        <v>771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501</v>
      </c>
      <c r="B8" s="2" t="s">
        <v>772</v>
      </c>
      <c r="C8" s="2" t="s">
        <v>767</v>
      </c>
      <c r="D8" s="2" t="s">
        <v>129</v>
      </c>
      <c r="E8" s="2" t="s">
        <v>768</v>
      </c>
      <c r="F8" s="2" t="s">
        <v>257</v>
      </c>
      <c r="G8" s="2" t="s">
        <v>769</v>
      </c>
      <c r="H8" s="2" t="s">
        <v>773</v>
      </c>
      <c r="I8" s="2" t="s">
        <v>771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510</v>
      </c>
      <c r="B9" s="2" t="s">
        <v>511</v>
      </c>
      <c r="C9" s="2" t="s">
        <v>767</v>
      </c>
      <c r="D9" s="2" t="s">
        <v>129</v>
      </c>
      <c r="E9" s="2" t="s">
        <v>768</v>
      </c>
      <c r="F9" s="2" t="s">
        <v>257</v>
      </c>
      <c r="G9" s="2" t="s">
        <v>774</v>
      </c>
      <c r="H9" s="2" t="s">
        <v>775</v>
      </c>
      <c r="I9" s="2" t="s">
        <v>771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528</v>
      </c>
      <c r="B10" s="2" t="s">
        <v>712</v>
      </c>
      <c r="C10" s="2" t="s">
        <v>776</v>
      </c>
      <c r="D10" s="2" t="s">
        <v>129</v>
      </c>
      <c r="E10" s="2" t="s">
        <v>777</v>
      </c>
      <c r="F10" s="2" t="s">
        <v>110</v>
      </c>
      <c r="G10" s="2" t="s">
        <v>169</v>
      </c>
      <c r="H10" s="2" t="s">
        <v>770</v>
      </c>
      <c r="I10" s="2" t="s">
        <v>761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544</v>
      </c>
      <c r="B11" s="2" t="s">
        <v>778</v>
      </c>
      <c r="C11" s="2" t="s">
        <v>779</v>
      </c>
      <c r="D11" s="2" t="s">
        <v>129</v>
      </c>
      <c r="E11" s="2" t="s">
        <v>780</v>
      </c>
      <c r="F11" s="2" t="s">
        <v>110</v>
      </c>
      <c r="G11" s="2" t="s">
        <v>169</v>
      </c>
      <c r="H11" s="2" t="s">
        <v>765</v>
      </c>
      <c r="I11" s="2" t="s">
        <v>781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584</v>
      </c>
      <c r="B12" s="2" t="s">
        <v>755</v>
      </c>
      <c r="C12" s="2" t="s">
        <v>782</v>
      </c>
      <c r="D12" s="2" t="s">
        <v>268</v>
      </c>
      <c r="E12" s="2" t="s">
        <v>783</v>
      </c>
      <c r="F12" s="2" t="s">
        <v>110</v>
      </c>
      <c r="G12" s="2" t="s">
        <v>169</v>
      </c>
      <c r="H12" s="2" t="s">
        <v>784</v>
      </c>
      <c r="I12" s="2" t="s">
        <v>761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1">
    <dataValidation type="list" sqref="D5:D204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05"/>
  <sheetViews>
    <sheetView workbookViewId="0"/>
  </sheetViews>
  <sheetFormatPr defaultRowHeight="13.5"/>
  <cols>
    <col min="1" max="1" width="12" customWidth="1"/>
    <col min="2" max="2" width="24" customWidth="1"/>
    <col min="3" max="3" width="18" customWidth="1"/>
    <col min="4" max="4" width="14" customWidth="1"/>
    <col min="5" max="5" width="12" customWidth="1"/>
    <col min="6" max="6" width="40" customWidth="1"/>
    <col min="7" max="7" width="32" customWidth="1"/>
    <col min="8" max="8" width="30" customWidth="1"/>
    <col min="9" max="9" width="42" customWidth="1"/>
    <col min="10" max="10" width="28" customWidth="1"/>
    <col min="11" max="11" width="30" customWidth="1"/>
    <col min="12" max="12" width="34" customWidth="1"/>
    <col min="13" max="13" width="30" customWidth="1"/>
    <col min="14" max="14" width="16" customWidth="1"/>
    <col min="15" max="15" width="22" customWidth="1"/>
  </cols>
  <sheetData>
    <row r="1" spans="1:21" ht="16.05" customHeight="1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16.05" customHeight="1">
      <c r="A2" s="7" t="s">
        <v>173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91</v>
      </c>
      <c r="C4" s="3" t="s">
        <v>90</v>
      </c>
      <c r="D4" s="3" t="s">
        <v>70</v>
      </c>
      <c r="E4" s="3" t="s">
        <v>55</v>
      </c>
      <c r="F4" s="3" t="s">
        <v>92</v>
      </c>
      <c r="G4" s="3" t="s">
        <v>174</v>
      </c>
      <c r="H4" s="3" t="s">
        <v>175</v>
      </c>
      <c r="I4" s="3" t="s">
        <v>176</v>
      </c>
      <c r="J4" s="3" t="s">
        <v>98</v>
      </c>
      <c r="K4" s="3" t="s">
        <v>177</v>
      </c>
      <c r="L4" s="3" t="s">
        <v>178</v>
      </c>
      <c r="M4" s="3" t="s">
        <v>179</v>
      </c>
      <c r="N4" s="3" t="s">
        <v>180</v>
      </c>
      <c r="O4" s="3" t="s">
        <v>181</v>
      </c>
      <c r="P4" s="2"/>
      <c r="Q4" s="2"/>
      <c r="R4" s="2"/>
      <c r="S4" s="2"/>
      <c r="T4" s="2"/>
      <c r="U4" s="2"/>
    </row>
    <row r="5" spans="1:21" ht="27">
      <c r="A5" s="2" t="s">
        <v>107</v>
      </c>
      <c r="B5" s="2" t="s">
        <v>477</v>
      </c>
      <c r="C5" s="2" t="s">
        <v>108</v>
      </c>
      <c r="D5" s="2" t="s">
        <v>52</v>
      </c>
      <c r="E5" s="2" t="s">
        <v>47</v>
      </c>
      <c r="F5" s="2" t="s">
        <v>478</v>
      </c>
      <c r="G5" s="2" t="s">
        <v>109</v>
      </c>
      <c r="H5" s="2" t="s">
        <v>479</v>
      </c>
      <c r="I5" s="2" t="s">
        <v>482</v>
      </c>
      <c r="J5" s="2" t="s">
        <v>483</v>
      </c>
      <c r="K5" s="2" t="s">
        <v>785</v>
      </c>
      <c r="L5" s="2" t="s">
        <v>786</v>
      </c>
      <c r="M5" s="2" t="s">
        <v>787</v>
      </c>
      <c r="N5" s="4">
        <f t="shared" ref="N5:N68" si="0">IF(A5="","",ROUND(COUNTA(B5:M5)/12,2))</f>
        <v>1</v>
      </c>
      <c r="O5" s="2" t="str">
        <f t="shared" ref="O5:O68" si="1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 ht="27">
      <c r="A6" s="2" t="s">
        <v>114</v>
      </c>
      <c r="B6" s="2" t="s">
        <v>487</v>
      </c>
      <c r="C6" s="2" t="s">
        <v>115</v>
      </c>
      <c r="D6" s="2" t="s">
        <v>52</v>
      </c>
      <c r="E6" s="2" t="s">
        <v>47</v>
      </c>
      <c r="F6" s="2" t="s">
        <v>488</v>
      </c>
      <c r="G6" s="2" t="s">
        <v>489</v>
      </c>
      <c r="H6" s="2" t="s">
        <v>490</v>
      </c>
      <c r="I6" s="2" t="s">
        <v>492</v>
      </c>
      <c r="J6" s="2" t="s">
        <v>483</v>
      </c>
      <c r="K6" s="2" t="s">
        <v>788</v>
      </c>
      <c r="L6" s="2" t="s">
        <v>789</v>
      </c>
      <c r="M6" s="2" t="s">
        <v>790</v>
      </c>
      <c r="N6" s="4">
        <f t="shared" si="0"/>
        <v>1</v>
      </c>
      <c r="O6" s="2" t="str">
        <f t="shared" si="1"/>
        <v>Готов к прототипу</v>
      </c>
      <c r="P6" s="2"/>
      <c r="Q6" s="2"/>
      <c r="R6" s="2"/>
      <c r="S6" s="2"/>
      <c r="T6" s="2"/>
      <c r="U6" s="2"/>
    </row>
    <row r="7" spans="1:21" ht="27">
      <c r="A7" s="2" t="s">
        <v>494</v>
      </c>
      <c r="B7" s="2" t="s">
        <v>495</v>
      </c>
      <c r="C7" s="2" t="s">
        <v>115</v>
      </c>
      <c r="D7" s="2" t="s">
        <v>52</v>
      </c>
      <c r="E7" s="2" t="s">
        <v>47</v>
      </c>
      <c r="F7" s="2" t="s">
        <v>496</v>
      </c>
      <c r="G7" s="2" t="s">
        <v>497</v>
      </c>
      <c r="H7" s="2" t="s">
        <v>498</v>
      </c>
      <c r="I7" s="2" t="s">
        <v>500</v>
      </c>
      <c r="J7" s="2" t="s">
        <v>483</v>
      </c>
      <c r="K7" s="2" t="s">
        <v>791</v>
      </c>
      <c r="L7" s="2" t="s">
        <v>792</v>
      </c>
      <c r="M7" s="2" t="s">
        <v>793</v>
      </c>
      <c r="N7" s="4">
        <f t="shared" si="0"/>
        <v>1</v>
      </c>
      <c r="O7" s="2" t="str">
        <f t="shared" si="1"/>
        <v>Готов к прототипу</v>
      </c>
      <c r="P7" s="2"/>
      <c r="Q7" s="2"/>
      <c r="R7" s="2"/>
      <c r="S7" s="2"/>
      <c r="T7" s="2"/>
      <c r="U7" s="2"/>
    </row>
    <row r="8" spans="1:21" ht="27">
      <c r="A8" s="2" t="s">
        <v>501</v>
      </c>
      <c r="B8" s="2" t="s">
        <v>502</v>
      </c>
      <c r="C8" s="2" t="s">
        <v>115</v>
      </c>
      <c r="D8" s="2" t="s">
        <v>52</v>
      </c>
      <c r="E8" s="2" t="s">
        <v>47</v>
      </c>
      <c r="F8" s="2" t="s">
        <v>503</v>
      </c>
      <c r="G8" s="2" t="s">
        <v>504</v>
      </c>
      <c r="H8" s="2" t="s">
        <v>505</v>
      </c>
      <c r="I8" s="2" t="s">
        <v>508</v>
      </c>
      <c r="J8" s="2" t="s">
        <v>483</v>
      </c>
      <c r="K8" s="2" t="s">
        <v>794</v>
      </c>
      <c r="L8" s="2" t="s">
        <v>795</v>
      </c>
      <c r="M8" s="2" t="s">
        <v>796</v>
      </c>
      <c r="N8" s="4">
        <f t="shared" si="0"/>
        <v>1</v>
      </c>
      <c r="O8" s="2" t="str">
        <f t="shared" si="1"/>
        <v>Готов к прототипу</v>
      </c>
      <c r="P8" s="2"/>
      <c r="Q8" s="2"/>
      <c r="R8" s="2"/>
      <c r="S8" s="2"/>
      <c r="T8" s="2"/>
      <c r="U8" s="2"/>
    </row>
    <row r="9" spans="1:21" ht="27">
      <c r="A9" s="2" t="s">
        <v>510</v>
      </c>
      <c r="B9" s="2" t="s">
        <v>511</v>
      </c>
      <c r="C9" s="2" t="s">
        <v>115</v>
      </c>
      <c r="D9" s="2" t="s">
        <v>447</v>
      </c>
      <c r="E9" s="2" t="s">
        <v>51</v>
      </c>
      <c r="F9" s="2" t="s">
        <v>512</v>
      </c>
      <c r="G9" s="2" t="s">
        <v>513</v>
      </c>
      <c r="H9" s="2" t="s">
        <v>514</v>
      </c>
      <c r="I9" s="2" t="s">
        <v>517</v>
      </c>
      <c r="J9" s="2" t="s">
        <v>483</v>
      </c>
      <c r="K9" s="2" t="s">
        <v>797</v>
      </c>
      <c r="L9" s="2" t="s">
        <v>798</v>
      </c>
      <c r="M9" s="2" t="s">
        <v>799</v>
      </c>
      <c r="N9" s="4">
        <f t="shared" si="0"/>
        <v>1</v>
      </c>
      <c r="O9" s="2" t="str">
        <f t="shared" si="1"/>
        <v>Готов к прототипу</v>
      </c>
      <c r="P9" s="2"/>
      <c r="Q9" s="2"/>
      <c r="R9" s="2"/>
      <c r="S9" s="2"/>
      <c r="T9" s="2"/>
      <c r="U9" s="2"/>
    </row>
    <row r="10" spans="1:21" ht="27">
      <c r="A10" s="2" t="s">
        <v>519</v>
      </c>
      <c r="B10" s="2" t="s">
        <v>520</v>
      </c>
      <c r="C10" s="2" t="s">
        <v>115</v>
      </c>
      <c r="D10" s="2" t="s">
        <v>85</v>
      </c>
      <c r="E10" s="2" t="s">
        <v>47</v>
      </c>
      <c r="F10" s="2" t="s">
        <v>521</v>
      </c>
      <c r="G10" s="2" t="s">
        <v>522</v>
      </c>
      <c r="H10" s="2" t="s">
        <v>523</v>
      </c>
      <c r="I10" s="2" t="s">
        <v>526</v>
      </c>
      <c r="J10" s="2" t="s">
        <v>483</v>
      </c>
      <c r="K10" s="2" t="s">
        <v>800</v>
      </c>
      <c r="L10" s="2" t="s">
        <v>801</v>
      </c>
      <c r="M10" s="2" t="s">
        <v>802</v>
      </c>
      <c r="N10" s="4">
        <f t="shared" si="0"/>
        <v>1</v>
      </c>
      <c r="O10" s="2" t="str">
        <f t="shared" si="1"/>
        <v>Готов к прототипу</v>
      </c>
      <c r="P10" s="2"/>
      <c r="Q10" s="2"/>
      <c r="R10" s="2"/>
      <c r="S10" s="2"/>
      <c r="T10" s="2"/>
      <c r="U10" s="2"/>
    </row>
    <row r="11" spans="1:21" ht="27">
      <c r="A11" s="2" t="s">
        <v>528</v>
      </c>
      <c r="B11" s="2" t="s">
        <v>529</v>
      </c>
      <c r="C11" s="2" t="s">
        <v>108</v>
      </c>
      <c r="D11" s="2" t="s">
        <v>48</v>
      </c>
      <c r="E11" s="2" t="s">
        <v>51</v>
      </c>
      <c r="F11" s="2" t="s">
        <v>530</v>
      </c>
      <c r="G11" s="2" t="s">
        <v>531</v>
      </c>
      <c r="H11" s="2" t="s">
        <v>532</v>
      </c>
      <c r="I11" s="2" t="s">
        <v>535</v>
      </c>
      <c r="J11" s="2" t="s">
        <v>483</v>
      </c>
      <c r="K11" s="2" t="s">
        <v>803</v>
      </c>
      <c r="L11" s="2" t="s">
        <v>804</v>
      </c>
      <c r="M11" s="2" t="s">
        <v>805</v>
      </c>
      <c r="N11" s="4">
        <f t="shared" si="0"/>
        <v>1</v>
      </c>
      <c r="O11" s="2" t="str">
        <f t="shared" si="1"/>
        <v>Готов к прототипу</v>
      </c>
      <c r="P11" s="2"/>
      <c r="Q11" s="2"/>
      <c r="R11" s="2"/>
      <c r="S11" s="2"/>
      <c r="T11" s="2"/>
      <c r="U11" s="2"/>
    </row>
    <row r="12" spans="1:21" ht="27">
      <c r="A12" s="2" t="s">
        <v>537</v>
      </c>
      <c r="B12" s="2" t="s">
        <v>301</v>
      </c>
      <c r="C12" s="2" t="s">
        <v>115</v>
      </c>
      <c r="D12" s="2" t="s">
        <v>48</v>
      </c>
      <c r="E12" s="2" t="s">
        <v>51</v>
      </c>
      <c r="F12" s="2" t="s">
        <v>538</v>
      </c>
      <c r="G12" s="2" t="s">
        <v>539</v>
      </c>
      <c r="H12" s="2" t="s">
        <v>540</v>
      </c>
      <c r="I12" s="2" t="s">
        <v>543</v>
      </c>
      <c r="J12" s="2" t="s">
        <v>483</v>
      </c>
      <c r="K12" s="2" t="s">
        <v>806</v>
      </c>
      <c r="L12" s="2" t="s">
        <v>807</v>
      </c>
      <c r="M12" s="2" t="s">
        <v>808</v>
      </c>
      <c r="N12" s="4">
        <f t="shared" si="0"/>
        <v>1</v>
      </c>
      <c r="O12" s="2" t="str">
        <f t="shared" si="1"/>
        <v>Готов к прототипу</v>
      </c>
      <c r="P12" s="2"/>
      <c r="Q12" s="2"/>
      <c r="R12" s="2"/>
      <c r="S12" s="2"/>
      <c r="T12" s="2"/>
      <c r="U12" s="2"/>
    </row>
    <row r="13" spans="1:21" ht="27">
      <c r="A13" s="2" t="s">
        <v>544</v>
      </c>
      <c r="B13" s="2" t="s">
        <v>545</v>
      </c>
      <c r="C13" s="2" t="s">
        <v>108</v>
      </c>
      <c r="D13" s="2" t="s">
        <v>471</v>
      </c>
      <c r="E13" s="2" t="s">
        <v>401</v>
      </c>
      <c r="F13" s="2" t="s">
        <v>546</v>
      </c>
      <c r="G13" s="2" t="s">
        <v>547</v>
      </c>
      <c r="H13" s="2" t="s">
        <v>548</v>
      </c>
      <c r="I13" s="2" t="s">
        <v>551</v>
      </c>
      <c r="J13" s="2" t="s">
        <v>483</v>
      </c>
      <c r="K13" s="2" t="s">
        <v>809</v>
      </c>
      <c r="L13" s="2" t="s">
        <v>810</v>
      </c>
      <c r="M13" s="2" t="s">
        <v>811</v>
      </c>
      <c r="N13" s="4">
        <f t="shared" si="0"/>
        <v>1</v>
      </c>
      <c r="O13" s="2" t="str">
        <f t="shared" si="1"/>
        <v>Готов к прототипу</v>
      </c>
      <c r="P13" s="2"/>
      <c r="Q13" s="2"/>
      <c r="R13" s="2"/>
      <c r="S13" s="2"/>
      <c r="T13" s="2"/>
      <c r="U13" s="2"/>
    </row>
    <row r="14" spans="1:21" ht="27">
      <c r="A14" s="2" t="s">
        <v>552</v>
      </c>
      <c r="B14" s="2" t="s">
        <v>553</v>
      </c>
      <c r="C14" s="2" t="s">
        <v>115</v>
      </c>
      <c r="D14" s="2" t="s">
        <v>471</v>
      </c>
      <c r="E14" s="2" t="s">
        <v>401</v>
      </c>
      <c r="F14" s="2" t="s">
        <v>554</v>
      </c>
      <c r="G14" s="2" t="s">
        <v>555</v>
      </c>
      <c r="H14" s="2" t="s">
        <v>556</v>
      </c>
      <c r="I14" s="2" t="s">
        <v>558</v>
      </c>
      <c r="J14" s="2" t="s">
        <v>483</v>
      </c>
      <c r="K14" s="2" t="s">
        <v>797</v>
      </c>
      <c r="L14" s="2" t="s">
        <v>812</v>
      </c>
      <c r="M14" s="2" t="s">
        <v>813</v>
      </c>
      <c r="N14" s="4">
        <f t="shared" si="0"/>
        <v>1</v>
      </c>
      <c r="O14" s="2" t="str">
        <f t="shared" si="1"/>
        <v>Готов к прототипу</v>
      </c>
      <c r="P14" s="2"/>
      <c r="Q14" s="2"/>
      <c r="R14" s="2"/>
      <c r="S14" s="2"/>
      <c r="T14" s="2"/>
      <c r="U14" s="2"/>
    </row>
    <row r="15" spans="1:21" ht="27">
      <c r="A15" s="2" t="s">
        <v>559</v>
      </c>
      <c r="B15" s="2" t="s">
        <v>560</v>
      </c>
      <c r="C15" s="2" t="s">
        <v>115</v>
      </c>
      <c r="D15" s="2" t="s">
        <v>436</v>
      </c>
      <c r="E15" s="2" t="s">
        <v>47</v>
      </c>
      <c r="F15" s="2" t="s">
        <v>561</v>
      </c>
      <c r="G15" s="2" t="s">
        <v>562</v>
      </c>
      <c r="H15" s="2" t="s">
        <v>563</v>
      </c>
      <c r="I15" s="2" t="s">
        <v>565</v>
      </c>
      <c r="J15" s="2" t="s">
        <v>483</v>
      </c>
      <c r="K15" s="2" t="s">
        <v>797</v>
      </c>
      <c r="L15" s="2" t="s">
        <v>814</v>
      </c>
      <c r="M15" s="2" t="s">
        <v>815</v>
      </c>
      <c r="N15" s="4">
        <f t="shared" si="0"/>
        <v>1</v>
      </c>
      <c r="O15" s="2" t="str">
        <f t="shared" si="1"/>
        <v>Готов к прототипу</v>
      </c>
      <c r="P15" s="2"/>
      <c r="Q15" s="2"/>
      <c r="R15" s="2"/>
      <c r="S15" s="2"/>
      <c r="T15" s="2"/>
      <c r="U15" s="2"/>
    </row>
    <row r="16" spans="1:21" ht="27">
      <c r="A16" s="2" t="s">
        <v>567</v>
      </c>
      <c r="B16" s="2" t="s">
        <v>568</v>
      </c>
      <c r="C16" s="2" t="s">
        <v>115</v>
      </c>
      <c r="D16" s="2" t="s">
        <v>442</v>
      </c>
      <c r="E16" s="2" t="s">
        <v>47</v>
      </c>
      <c r="F16" s="2" t="s">
        <v>569</v>
      </c>
      <c r="G16" s="2" t="s">
        <v>570</v>
      </c>
      <c r="H16" s="2" t="s">
        <v>571</v>
      </c>
      <c r="I16" s="2" t="s">
        <v>574</v>
      </c>
      <c r="J16" s="2" t="s">
        <v>483</v>
      </c>
      <c r="K16" s="2" t="s">
        <v>788</v>
      </c>
      <c r="L16" s="2" t="s">
        <v>816</v>
      </c>
      <c r="M16" s="2" t="s">
        <v>817</v>
      </c>
      <c r="N16" s="4">
        <f t="shared" si="0"/>
        <v>1</v>
      </c>
      <c r="O16" s="2" t="str">
        <f t="shared" si="1"/>
        <v>Готов к прототипу</v>
      </c>
      <c r="P16" s="2"/>
      <c r="Q16" s="2"/>
      <c r="R16" s="2"/>
      <c r="S16" s="2"/>
      <c r="T16" s="2"/>
      <c r="U16" s="2"/>
    </row>
    <row r="17" spans="1:21" ht="27">
      <c r="A17" s="2" t="s">
        <v>576</v>
      </c>
      <c r="B17" s="2" t="s">
        <v>577</v>
      </c>
      <c r="C17" s="2" t="s">
        <v>115</v>
      </c>
      <c r="D17" s="2" t="s">
        <v>465</v>
      </c>
      <c r="E17" s="2" t="s">
        <v>413</v>
      </c>
      <c r="F17" s="2" t="s">
        <v>578</v>
      </c>
      <c r="G17" s="2" t="s">
        <v>579</v>
      </c>
      <c r="H17" s="2" t="s">
        <v>580</v>
      </c>
      <c r="I17" s="2" t="s">
        <v>583</v>
      </c>
      <c r="J17" s="2" t="s">
        <v>483</v>
      </c>
      <c r="K17" s="2" t="s">
        <v>803</v>
      </c>
      <c r="L17" s="2" t="s">
        <v>818</v>
      </c>
      <c r="M17" s="2" t="s">
        <v>819</v>
      </c>
      <c r="N17" s="4">
        <f t="shared" si="0"/>
        <v>1</v>
      </c>
      <c r="O17" s="2" t="str">
        <f t="shared" si="1"/>
        <v>Готов к прототипу</v>
      </c>
      <c r="P17" s="2"/>
      <c r="Q17" s="2"/>
      <c r="R17" s="2"/>
      <c r="S17" s="2"/>
      <c r="T17" s="2"/>
      <c r="U17" s="2"/>
    </row>
    <row r="18" spans="1:21" ht="27">
      <c r="A18" s="2" t="s">
        <v>584</v>
      </c>
      <c r="B18" s="2" t="s">
        <v>585</v>
      </c>
      <c r="C18" s="2" t="s">
        <v>108</v>
      </c>
      <c r="D18" s="2" t="s">
        <v>52</v>
      </c>
      <c r="E18" s="2" t="s">
        <v>47</v>
      </c>
      <c r="F18" s="2" t="s">
        <v>586</v>
      </c>
      <c r="G18" s="2" t="s">
        <v>587</v>
      </c>
      <c r="H18" s="2" t="s">
        <v>588</v>
      </c>
      <c r="I18" s="2" t="s">
        <v>590</v>
      </c>
      <c r="J18" s="2" t="s">
        <v>483</v>
      </c>
      <c r="K18" s="2" t="s">
        <v>797</v>
      </c>
      <c r="L18" s="2" t="s">
        <v>820</v>
      </c>
      <c r="M18" s="2" t="s">
        <v>821</v>
      </c>
      <c r="N18" s="4">
        <f t="shared" si="0"/>
        <v>1</v>
      </c>
      <c r="O18" s="2" t="str">
        <f t="shared" si="1"/>
        <v>Готов к прототипу</v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 t="str">
        <f t="shared" ref="N69:N132" si="2">IF(A69="","",ROUND(COUNTA(B69:M69)/12,2))</f>
        <v/>
      </c>
      <c r="O69" s="2" t="str">
        <f t="shared" ref="O69:O132" si="3">IF(A69="","",IF(N69&gt;=0.85,"Готов к прототипу",IF(N69&gt;=0.6,"Требует доработки","Недостаточно данных")))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 t="str">
        <f t="shared" ref="N133:N196" si="4">IF(A133="","",ROUND(COUNTA(B133:M133)/12,2))</f>
        <v/>
      </c>
      <c r="O133" s="2" t="str">
        <f t="shared" ref="O133:O196" si="5">IF(A133="","",IF(N133&gt;=0.85,"Готов к прототипу",IF(N133&gt;=0.6,"Требует доработки","Недостаточно данных")))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 t="str">
        <f t="shared" ref="N197:N260" si="6">IF(A197="","",ROUND(COUNTA(B197:M197)/12,2))</f>
        <v/>
      </c>
      <c r="O197" s="2" t="str">
        <f t="shared" ref="O197:O260" si="7">IF(A197="","",IF(N197&gt;=0.85,"Готов к прототипу",IF(N197&gt;=0.6,"Требует доработки","Недостаточно данных")))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 t="str">
        <f t="shared" ref="N261:N324" si="8">IF(A261="","",ROUND(COUNTA(B261:M261)/12,2))</f>
        <v/>
      </c>
      <c r="O261" s="2" t="str">
        <f t="shared" ref="O261:O324" si="9">IF(A261="","",IF(N261&gt;=0.85,"Готов к прототипу",IF(N261&gt;=0.6,"Требует доработки","Недостаточно данных")))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05"/>
  <sheetViews>
    <sheetView workbookViewId="0"/>
  </sheetViews>
  <sheetFormatPr defaultRowHeight="13.5"/>
  <cols>
    <col min="1" max="1" width="12" customWidth="1"/>
    <col min="2" max="2" width="26" customWidth="1"/>
    <col min="3" max="7" width="16" customWidth="1"/>
    <col min="8" max="9" width="14" customWidth="1"/>
    <col min="10" max="10" width="24" customWidth="1"/>
    <col min="11" max="11" width="42" customWidth="1"/>
    <col min="12" max="12" width="26" customWidth="1"/>
  </cols>
  <sheetData>
    <row r="1" spans="1:21" ht="16.05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183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91</v>
      </c>
      <c r="C4" s="3" t="s">
        <v>93</v>
      </c>
      <c r="D4" s="3" t="s">
        <v>184</v>
      </c>
      <c r="E4" s="3" t="s">
        <v>185</v>
      </c>
      <c r="F4" s="3" t="s">
        <v>186</v>
      </c>
      <c r="G4" s="3" t="s">
        <v>187</v>
      </c>
      <c r="H4" s="3" t="s">
        <v>80</v>
      </c>
      <c r="I4" s="3" t="s">
        <v>188</v>
      </c>
      <c r="J4" s="3" t="s">
        <v>189</v>
      </c>
      <c r="K4" s="3" t="s">
        <v>190</v>
      </c>
      <c r="L4" s="3" t="s">
        <v>106</v>
      </c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107</v>
      </c>
      <c r="B5" s="2" t="s">
        <v>477</v>
      </c>
      <c r="C5" s="2" t="s">
        <v>52</v>
      </c>
      <c r="D5" s="2">
        <v>5</v>
      </c>
      <c r="E5" s="2">
        <v>5</v>
      </c>
      <c r="F5" s="2">
        <v>5</v>
      </c>
      <c r="G5" s="2">
        <v>5</v>
      </c>
      <c r="H5" s="2">
        <v>2</v>
      </c>
      <c r="I5" s="2">
        <f t="shared" ref="I5:I68" si="0">IF(A5="","",MAX(0,MIN(100,ROUND(((D5*0.3)+(E5*0.3)+(F5*0.15)+(G5*0.15)-(H5*0.1))*20,0))))</f>
        <v>86</v>
      </c>
      <c r="J5" s="2" t="str">
        <f t="shared" ref="J5:J68" si="1">IF(A5="","",IF(I5&gt;=80,"P1 — первая версия",IF(I5&gt;=60,"P2 — следующий выпуск",IF(I5&gt;=40,"P3 — можно отложить","Не включать"))))</f>
        <v>P1 — первая версия</v>
      </c>
      <c r="K5" s="2" t="s">
        <v>191</v>
      </c>
      <c r="L5" s="2" t="s">
        <v>822</v>
      </c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114</v>
      </c>
      <c r="B6" s="2" t="s">
        <v>487</v>
      </c>
      <c r="C6" s="2" t="s">
        <v>52</v>
      </c>
      <c r="D6" s="2">
        <v>5</v>
      </c>
      <c r="E6" s="2">
        <v>5</v>
      </c>
      <c r="F6" s="2">
        <v>5</v>
      </c>
      <c r="G6" s="2">
        <v>5</v>
      </c>
      <c r="H6" s="2">
        <v>2</v>
      </c>
      <c r="I6" s="2">
        <f t="shared" si="0"/>
        <v>86</v>
      </c>
      <c r="J6" s="2" t="str">
        <f t="shared" si="1"/>
        <v>P1 — первая версия</v>
      </c>
      <c r="K6" s="2" t="s">
        <v>823</v>
      </c>
      <c r="L6" s="2" t="s">
        <v>822</v>
      </c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494</v>
      </c>
      <c r="B7" s="2" t="s">
        <v>495</v>
      </c>
      <c r="C7" s="2" t="s">
        <v>52</v>
      </c>
      <c r="D7" s="2">
        <v>5</v>
      </c>
      <c r="E7" s="2">
        <v>5</v>
      </c>
      <c r="F7" s="2">
        <v>5</v>
      </c>
      <c r="G7" s="2">
        <v>5</v>
      </c>
      <c r="H7" s="2">
        <v>3</v>
      </c>
      <c r="I7" s="2">
        <f t="shared" si="0"/>
        <v>84</v>
      </c>
      <c r="J7" s="2" t="str">
        <f t="shared" si="1"/>
        <v>P1 — первая версия</v>
      </c>
      <c r="K7" s="2" t="s">
        <v>824</v>
      </c>
      <c r="L7" s="2" t="s">
        <v>822</v>
      </c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501</v>
      </c>
      <c r="B8" s="2" t="s">
        <v>502</v>
      </c>
      <c r="C8" s="2" t="s">
        <v>52</v>
      </c>
      <c r="D8" s="2">
        <v>5</v>
      </c>
      <c r="E8" s="2">
        <v>4</v>
      </c>
      <c r="F8" s="2">
        <v>4</v>
      </c>
      <c r="G8" s="2">
        <v>4</v>
      </c>
      <c r="H8" s="2">
        <v>3</v>
      </c>
      <c r="I8" s="2">
        <f t="shared" si="0"/>
        <v>72</v>
      </c>
      <c r="J8" s="2" t="str">
        <f t="shared" si="1"/>
        <v>P2 — следующий выпуск</v>
      </c>
      <c r="K8" s="2" t="s">
        <v>825</v>
      </c>
      <c r="L8" s="2" t="s">
        <v>822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510</v>
      </c>
      <c r="B9" s="2" t="s">
        <v>511</v>
      </c>
      <c r="C9" s="2" t="s">
        <v>447</v>
      </c>
      <c r="D9" s="2">
        <v>4</v>
      </c>
      <c r="E9" s="2">
        <v>5</v>
      </c>
      <c r="F9" s="2">
        <v>4</v>
      </c>
      <c r="G9" s="2">
        <v>4</v>
      </c>
      <c r="H9" s="2">
        <v>2</v>
      </c>
      <c r="I9" s="2">
        <f t="shared" si="0"/>
        <v>74</v>
      </c>
      <c r="J9" s="2" t="str">
        <f t="shared" si="1"/>
        <v>P2 — следующий выпуск</v>
      </c>
      <c r="K9" s="2" t="s">
        <v>826</v>
      </c>
      <c r="L9" s="2" t="s">
        <v>822</v>
      </c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519</v>
      </c>
      <c r="B10" s="2" t="s">
        <v>520</v>
      </c>
      <c r="C10" s="2" t="s">
        <v>85</v>
      </c>
      <c r="D10" s="2">
        <v>3</v>
      </c>
      <c r="E10" s="2">
        <v>5</v>
      </c>
      <c r="F10" s="2">
        <v>4</v>
      </c>
      <c r="G10" s="2">
        <v>4</v>
      </c>
      <c r="H10" s="2">
        <v>2</v>
      </c>
      <c r="I10" s="2">
        <f t="shared" si="0"/>
        <v>68</v>
      </c>
      <c r="J10" s="2" t="str">
        <f t="shared" si="1"/>
        <v>P2 — следующий выпуск</v>
      </c>
      <c r="K10" s="2" t="s">
        <v>827</v>
      </c>
      <c r="L10" s="2" t="s">
        <v>822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528</v>
      </c>
      <c r="B11" s="2" t="s">
        <v>529</v>
      </c>
      <c r="C11" s="2" t="s">
        <v>48</v>
      </c>
      <c r="D11" s="2">
        <v>4</v>
      </c>
      <c r="E11" s="2">
        <v>5</v>
      </c>
      <c r="F11" s="2">
        <v>4</v>
      </c>
      <c r="G11" s="2">
        <v>5</v>
      </c>
      <c r="H11" s="2">
        <v>1</v>
      </c>
      <c r="I11" s="2">
        <f t="shared" si="0"/>
        <v>79</v>
      </c>
      <c r="J11" s="2" t="str">
        <f t="shared" si="1"/>
        <v>P2 — следующий выпуск</v>
      </c>
      <c r="K11" s="2" t="s">
        <v>828</v>
      </c>
      <c r="L11" s="2" t="s">
        <v>822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537</v>
      </c>
      <c r="B12" s="2" t="s">
        <v>301</v>
      </c>
      <c r="C12" s="2" t="s">
        <v>48</v>
      </c>
      <c r="D12" s="2">
        <v>3</v>
      </c>
      <c r="E12" s="2">
        <v>5</v>
      </c>
      <c r="F12" s="2">
        <v>3</v>
      </c>
      <c r="G12" s="2">
        <v>5</v>
      </c>
      <c r="H12" s="2">
        <v>3</v>
      </c>
      <c r="I12" s="2">
        <f t="shared" si="0"/>
        <v>66</v>
      </c>
      <c r="J12" s="2" t="str">
        <f t="shared" si="1"/>
        <v>P2 — следующий выпуск</v>
      </c>
      <c r="K12" s="2" t="s">
        <v>829</v>
      </c>
      <c r="L12" s="2" t="s">
        <v>822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544</v>
      </c>
      <c r="B13" s="2" t="s">
        <v>545</v>
      </c>
      <c r="C13" s="2" t="s">
        <v>471</v>
      </c>
      <c r="D13" s="2">
        <v>4</v>
      </c>
      <c r="E13" s="2">
        <v>4</v>
      </c>
      <c r="F13" s="2">
        <v>3</v>
      </c>
      <c r="G13" s="2">
        <v>5</v>
      </c>
      <c r="H13" s="2">
        <v>1</v>
      </c>
      <c r="I13" s="2">
        <f t="shared" si="0"/>
        <v>70</v>
      </c>
      <c r="J13" s="2" t="str">
        <f t="shared" si="1"/>
        <v>P2 — следующий выпуск</v>
      </c>
      <c r="K13" s="2" t="s">
        <v>830</v>
      </c>
      <c r="L13" s="2" t="s">
        <v>822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27">
      <c r="A14" s="2" t="s">
        <v>552</v>
      </c>
      <c r="B14" s="2" t="s">
        <v>553</v>
      </c>
      <c r="C14" s="2" t="s">
        <v>471</v>
      </c>
      <c r="D14" s="2">
        <v>3</v>
      </c>
      <c r="E14" s="2">
        <v>3</v>
      </c>
      <c r="F14" s="2">
        <v>2</v>
      </c>
      <c r="G14" s="2">
        <v>4</v>
      </c>
      <c r="H14" s="2">
        <v>2</v>
      </c>
      <c r="I14" s="2">
        <f t="shared" si="0"/>
        <v>50</v>
      </c>
      <c r="J14" s="2" t="str">
        <f t="shared" si="1"/>
        <v>P3 — можно отложить</v>
      </c>
      <c r="K14" s="2" t="s">
        <v>831</v>
      </c>
      <c r="L14" s="2" t="s">
        <v>822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27">
      <c r="A15" s="2" t="s">
        <v>559</v>
      </c>
      <c r="B15" s="2" t="s">
        <v>560</v>
      </c>
      <c r="C15" s="2" t="s">
        <v>436</v>
      </c>
      <c r="D15" s="2">
        <v>3</v>
      </c>
      <c r="E15" s="2">
        <v>3</v>
      </c>
      <c r="F15" s="2">
        <v>4</v>
      </c>
      <c r="G15" s="2">
        <v>3</v>
      </c>
      <c r="H15" s="2">
        <v>2</v>
      </c>
      <c r="I15" s="2">
        <f t="shared" si="0"/>
        <v>53</v>
      </c>
      <c r="J15" s="2" t="str">
        <f t="shared" si="1"/>
        <v>P3 — можно отложить</v>
      </c>
      <c r="K15" s="2" t="s">
        <v>832</v>
      </c>
      <c r="L15" s="2" t="s">
        <v>277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ht="27">
      <c r="A16" s="2" t="s">
        <v>567</v>
      </c>
      <c r="B16" s="2" t="s">
        <v>568</v>
      </c>
      <c r="C16" s="2" t="s">
        <v>442</v>
      </c>
      <c r="D16" s="2">
        <v>5</v>
      </c>
      <c r="E16" s="2">
        <v>4</v>
      </c>
      <c r="F16" s="2">
        <v>4</v>
      </c>
      <c r="G16" s="2">
        <v>4</v>
      </c>
      <c r="H16" s="2">
        <v>5</v>
      </c>
      <c r="I16" s="2">
        <f t="shared" si="0"/>
        <v>68</v>
      </c>
      <c r="J16" s="2" t="str">
        <f t="shared" si="1"/>
        <v>P2 — следующий выпуск</v>
      </c>
      <c r="K16" s="2" t="s">
        <v>833</v>
      </c>
      <c r="L16" s="2" t="s">
        <v>277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576</v>
      </c>
      <c r="B17" s="2" t="s">
        <v>577</v>
      </c>
      <c r="C17" s="2" t="s">
        <v>465</v>
      </c>
      <c r="D17" s="2">
        <v>3</v>
      </c>
      <c r="E17" s="2">
        <v>5</v>
      </c>
      <c r="F17" s="2">
        <v>2</v>
      </c>
      <c r="G17" s="2">
        <v>3</v>
      </c>
      <c r="H17" s="2">
        <v>5</v>
      </c>
      <c r="I17" s="2">
        <f t="shared" si="0"/>
        <v>53</v>
      </c>
      <c r="J17" s="2" t="str">
        <f t="shared" si="1"/>
        <v>P3 — можно отложить</v>
      </c>
      <c r="K17" s="2" t="s">
        <v>834</v>
      </c>
      <c r="L17" s="2" t="s">
        <v>277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584</v>
      </c>
      <c r="B18" s="2" t="s">
        <v>585</v>
      </c>
      <c r="C18" s="2" t="s">
        <v>52</v>
      </c>
      <c r="D18" s="2">
        <v>3</v>
      </c>
      <c r="E18" s="2">
        <v>3</v>
      </c>
      <c r="F18" s="2">
        <v>4</v>
      </c>
      <c r="G18" s="2">
        <v>3</v>
      </c>
      <c r="H18" s="2">
        <v>2</v>
      </c>
      <c r="I18" s="2">
        <f t="shared" si="0"/>
        <v>53</v>
      </c>
      <c r="J18" s="2" t="str">
        <f t="shared" si="1"/>
        <v>P3 — можно отложить</v>
      </c>
      <c r="K18" s="2" t="s">
        <v>835</v>
      </c>
      <c r="L18" s="2" t="s">
        <v>822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 t="str">
        <f t="shared" si="0"/>
        <v/>
      </c>
      <c r="J19" s="2" t="str">
        <f t="shared" si="1"/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 t="str">
        <f t="shared" si="0"/>
        <v/>
      </c>
      <c r="J20" s="2" t="str">
        <f t="shared" si="1"/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 t="str">
        <f t="shared" si="0"/>
        <v/>
      </c>
      <c r="J21" s="2" t="str">
        <f t="shared" si="1"/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 t="str">
        <f t="shared" si="0"/>
        <v/>
      </c>
      <c r="J22" s="2" t="str">
        <f t="shared" si="1"/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 t="str">
        <f t="shared" si="0"/>
        <v/>
      </c>
      <c r="J23" s="2" t="str">
        <f t="shared" si="1"/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 t="str">
        <f t="shared" si="0"/>
        <v/>
      </c>
      <c r="J24" s="2" t="str">
        <f t="shared" si="1"/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 t="str">
        <f t="shared" si="0"/>
        <v/>
      </c>
      <c r="J25" s="2" t="str">
        <f t="shared" si="1"/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 t="str">
        <f t="shared" si="0"/>
        <v/>
      </c>
      <c r="J26" s="2" t="str">
        <f t="shared" si="1"/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 t="str">
        <f t="shared" si="0"/>
        <v/>
      </c>
      <c r="J27" s="2" t="str">
        <f t="shared" si="1"/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 t="str">
        <f t="shared" si="0"/>
        <v/>
      </c>
      <c r="J28" s="2" t="str">
        <f t="shared" si="1"/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 t="str">
        <f t="shared" si="0"/>
        <v/>
      </c>
      <c r="J29" s="2" t="str">
        <f t="shared" si="1"/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 t="str">
        <f t="shared" si="0"/>
        <v/>
      </c>
      <c r="J30" s="2" t="str">
        <f t="shared" si="1"/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 t="str">
        <f t="shared" si="0"/>
        <v/>
      </c>
      <c r="J31" s="2" t="str">
        <f t="shared" si="1"/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 t="str">
        <f t="shared" si="0"/>
        <v/>
      </c>
      <c r="J32" s="2" t="str">
        <f t="shared" si="1"/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 t="str">
        <f t="shared" si="0"/>
        <v/>
      </c>
      <c r="J33" s="2" t="str">
        <f t="shared" si="1"/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 t="str">
        <f t="shared" si="0"/>
        <v/>
      </c>
      <c r="J34" s="2" t="str">
        <f t="shared" si="1"/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 t="str">
        <f t="shared" si="0"/>
        <v/>
      </c>
      <c r="J35" s="2" t="str">
        <f t="shared" si="1"/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 t="str">
        <f t="shared" si="0"/>
        <v/>
      </c>
      <c r="J36" s="2" t="str">
        <f t="shared" si="1"/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 t="str">
        <f t="shared" si="0"/>
        <v/>
      </c>
      <c r="J37" s="2" t="str">
        <f t="shared" si="1"/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 t="str">
        <f t="shared" si="0"/>
        <v/>
      </c>
      <c r="J38" s="2" t="str">
        <f t="shared" si="1"/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 t="str">
        <f t="shared" si="0"/>
        <v/>
      </c>
      <c r="J39" s="2" t="str">
        <f t="shared" si="1"/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 t="str">
        <f t="shared" si="0"/>
        <v/>
      </c>
      <c r="J40" s="2" t="str">
        <f t="shared" si="1"/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 t="str">
        <f t="shared" si="0"/>
        <v/>
      </c>
      <c r="J41" s="2" t="str">
        <f t="shared" si="1"/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 t="str">
        <f t="shared" si="0"/>
        <v/>
      </c>
      <c r="J42" s="2" t="str">
        <f t="shared" si="1"/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 t="str">
        <f t="shared" si="0"/>
        <v/>
      </c>
      <c r="J43" s="2" t="str">
        <f t="shared" si="1"/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 t="str">
        <f t="shared" si="0"/>
        <v/>
      </c>
      <c r="J44" s="2" t="str">
        <f t="shared" si="1"/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 t="str">
        <f t="shared" si="0"/>
        <v/>
      </c>
      <c r="J45" s="2" t="str">
        <f t="shared" si="1"/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 t="str">
        <f t="shared" si="0"/>
        <v/>
      </c>
      <c r="J46" s="2" t="str">
        <f t="shared" si="1"/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 t="str">
        <f t="shared" si="0"/>
        <v/>
      </c>
      <c r="J47" s="2" t="str">
        <f t="shared" si="1"/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 t="str">
        <f t="shared" si="0"/>
        <v/>
      </c>
      <c r="J48" s="2" t="str">
        <f t="shared" si="1"/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 t="str">
        <f t="shared" si="0"/>
        <v/>
      </c>
      <c r="J49" s="2" t="str">
        <f t="shared" si="1"/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 t="str">
        <f t="shared" si="0"/>
        <v/>
      </c>
      <c r="J50" s="2" t="str">
        <f t="shared" si="1"/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 t="str">
        <f t="shared" si="0"/>
        <v/>
      </c>
      <c r="J51" s="2" t="str">
        <f t="shared" si="1"/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 t="str">
        <f t="shared" si="0"/>
        <v/>
      </c>
      <c r="J52" s="2" t="str">
        <f t="shared" si="1"/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 t="str">
        <f t="shared" si="0"/>
        <v/>
      </c>
      <c r="J53" s="2" t="str">
        <f t="shared" si="1"/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 t="str">
        <f t="shared" si="0"/>
        <v/>
      </c>
      <c r="J54" s="2" t="str">
        <f t="shared" si="1"/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 t="str">
        <f t="shared" si="0"/>
        <v/>
      </c>
      <c r="J55" s="2" t="str">
        <f t="shared" si="1"/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 t="str">
        <f t="shared" si="0"/>
        <v/>
      </c>
      <c r="J56" s="2" t="str">
        <f t="shared" si="1"/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 t="str">
        <f t="shared" si="0"/>
        <v/>
      </c>
      <c r="J57" s="2" t="str">
        <f t="shared" si="1"/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 t="str">
        <f t="shared" si="0"/>
        <v/>
      </c>
      <c r="J58" s="2" t="str">
        <f t="shared" si="1"/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 t="str">
        <f t="shared" si="0"/>
        <v/>
      </c>
      <c r="J59" s="2" t="str">
        <f t="shared" si="1"/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 t="str">
        <f t="shared" si="0"/>
        <v/>
      </c>
      <c r="J60" s="2" t="str">
        <f t="shared" si="1"/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 t="str">
        <f t="shared" si="0"/>
        <v/>
      </c>
      <c r="J61" s="2" t="str">
        <f t="shared" si="1"/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 t="str">
        <f t="shared" si="0"/>
        <v/>
      </c>
      <c r="J62" s="2" t="str">
        <f t="shared" si="1"/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 t="str">
        <f t="shared" si="0"/>
        <v/>
      </c>
      <c r="J63" s="2" t="str">
        <f t="shared" si="1"/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 t="str">
        <f t="shared" si="0"/>
        <v/>
      </c>
      <c r="J64" s="2" t="str">
        <f t="shared" si="1"/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 t="str">
        <f t="shared" si="0"/>
        <v/>
      </c>
      <c r="J65" s="2" t="str">
        <f t="shared" si="1"/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 t="str">
        <f t="shared" si="0"/>
        <v/>
      </c>
      <c r="J66" s="2" t="str">
        <f t="shared" si="1"/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 t="str">
        <f t="shared" si="0"/>
        <v/>
      </c>
      <c r="J67" s="2" t="str">
        <f t="shared" si="1"/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 t="str">
        <f t="shared" si="0"/>
        <v/>
      </c>
      <c r="J68" s="2" t="str">
        <f t="shared" si="1"/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 t="str">
        <f t="shared" ref="I69:I132" si="2">IF(A69="","",MAX(0,MIN(100,ROUND(((D69*0.3)+(E69*0.3)+(F69*0.15)+(G69*0.15)-(H69*0.1))*20,0))))</f>
        <v/>
      </c>
      <c r="J69" s="2" t="str">
        <f t="shared" ref="J69:J132" si="3">IF(A69="","",IF(I69&gt;=80,"P1 — первая версия",IF(I69&gt;=60,"P2 — следующий выпуск",IF(I69&gt;=40,"P3 — можно отложить","Не включать"))))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 t="str">
        <f t="shared" si="2"/>
        <v/>
      </c>
      <c r="J70" s="2" t="str">
        <f t="shared" si="3"/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 t="str">
        <f t="shared" si="2"/>
        <v/>
      </c>
      <c r="J71" s="2" t="str">
        <f t="shared" si="3"/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 t="str">
        <f t="shared" si="2"/>
        <v/>
      </c>
      <c r="J72" s="2" t="str">
        <f t="shared" si="3"/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 t="str">
        <f t="shared" si="2"/>
        <v/>
      </c>
      <c r="J73" s="2" t="str">
        <f t="shared" si="3"/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 t="str">
        <f t="shared" si="2"/>
        <v/>
      </c>
      <c r="J74" s="2" t="str">
        <f t="shared" si="3"/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 t="str">
        <f t="shared" si="2"/>
        <v/>
      </c>
      <c r="J75" s="2" t="str">
        <f t="shared" si="3"/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 t="str">
        <f t="shared" si="2"/>
        <v/>
      </c>
      <c r="J76" s="2" t="str">
        <f t="shared" si="3"/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 t="str">
        <f t="shared" si="2"/>
        <v/>
      </c>
      <c r="J77" s="2" t="str">
        <f t="shared" si="3"/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 t="str">
        <f t="shared" si="2"/>
        <v/>
      </c>
      <c r="J78" s="2" t="str">
        <f t="shared" si="3"/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 t="str">
        <f t="shared" si="2"/>
        <v/>
      </c>
      <c r="J79" s="2" t="str">
        <f t="shared" si="3"/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 t="str">
        <f t="shared" si="2"/>
        <v/>
      </c>
      <c r="J80" s="2" t="str">
        <f t="shared" si="3"/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 t="str">
        <f t="shared" si="2"/>
        <v/>
      </c>
      <c r="J81" s="2" t="str">
        <f t="shared" si="3"/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 t="str">
        <f t="shared" si="2"/>
        <v/>
      </c>
      <c r="J82" s="2" t="str">
        <f t="shared" si="3"/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 t="str">
        <f t="shared" si="2"/>
        <v/>
      </c>
      <c r="J83" s="2" t="str">
        <f t="shared" si="3"/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 t="str">
        <f t="shared" si="2"/>
        <v/>
      </c>
      <c r="J84" s="2" t="str">
        <f t="shared" si="3"/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 t="str">
        <f t="shared" si="2"/>
        <v/>
      </c>
      <c r="J85" s="2" t="str">
        <f t="shared" si="3"/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 t="str">
        <f t="shared" si="2"/>
        <v/>
      </c>
      <c r="J86" s="2" t="str">
        <f t="shared" si="3"/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 t="str">
        <f t="shared" si="2"/>
        <v/>
      </c>
      <c r="J87" s="2" t="str">
        <f t="shared" si="3"/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 t="str">
        <f t="shared" si="2"/>
        <v/>
      </c>
      <c r="J88" s="2" t="str">
        <f t="shared" si="3"/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 t="str">
        <f t="shared" si="2"/>
        <v/>
      </c>
      <c r="J89" s="2" t="str">
        <f t="shared" si="3"/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 t="str">
        <f t="shared" si="2"/>
        <v/>
      </c>
      <c r="J90" s="2" t="str">
        <f t="shared" si="3"/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 t="str">
        <f t="shared" si="2"/>
        <v/>
      </c>
      <c r="J91" s="2" t="str">
        <f t="shared" si="3"/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 t="str">
        <f t="shared" si="2"/>
        <v/>
      </c>
      <c r="J92" s="2" t="str">
        <f t="shared" si="3"/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 t="str">
        <f t="shared" si="2"/>
        <v/>
      </c>
      <c r="J93" s="2" t="str">
        <f t="shared" si="3"/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 t="str">
        <f t="shared" si="2"/>
        <v/>
      </c>
      <c r="J94" s="2" t="str">
        <f t="shared" si="3"/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 t="str">
        <f t="shared" si="2"/>
        <v/>
      </c>
      <c r="J95" s="2" t="str">
        <f t="shared" si="3"/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 t="str">
        <f t="shared" si="2"/>
        <v/>
      </c>
      <c r="J96" s="2" t="str">
        <f t="shared" si="3"/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 t="str">
        <f t="shared" si="2"/>
        <v/>
      </c>
      <c r="J97" s="2" t="str">
        <f t="shared" si="3"/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 t="str">
        <f t="shared" si="2"/>
        <v/>
      </c>
      <c r="J98" s="2" t="str">
        <f t="shared" si="3"/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 t="str">
        <f t="shared" si="2"/>
        <v/>
      </c>
      <c r="J99" s="2" t="str">
        <f t="shared" si="3"/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 t="str">
        <f t="shared" si="2"/>
        <v/>
      </c>
      <c r="J100" s="2" t="str">
        <f t="shared" si="3"/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 t="str">
        <f t="shared" si="2"/>
        <v/>
      </c>
      <c r="J101" s="2" t="str">
        <f t="shared" si="3"/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 t="str">
        <f t="shared" si="2"/>
        <v/>
      </c>
      <c r="J102" s="2" t="str">
        <f t="shared" si="3"/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 t="str">
        <f t="shared" si="2"/>
        <v/>
      </c>
      <c r="J103" s="2" t="str">
        <f t="shared" si="3"/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 t="str">
        <f t="shared" si="2"/>
        <v/>
      </c>
      <c r="J104" s="2" t="str">
        <f t="shared" si="3"/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 t="str">
        <f t="shared" si="2"/>
        <v/>
      </c>
      <c r="J105" s="2" t="str">
        <f t="shared" si="3"/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 t="str">
        <f t="shared" si="2"/>
        <v/>
      </c>
      <c r="J106" s="2" t="str">
        <f t="shared" si="3"/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 t="str">
        <f t="shared" si="2"/>
        <v/>
      </c>
      <c r="J107" s="2" t="str">
        <f t="shared" si="3"/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 t="str">
        <f t="shared" si="2"/>
        <v/>
      </c>
      <c r="J108" s="2" t="str">
        <f t="shared" si="3"/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 t="str">
        <f t="shared" si="2"/>
        <v/>
      </c>
      <c r="J109" s="2" t="str">
        <f t="shared" si="3"/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 t="str">
        <f t="shared" si="2"/>
        <v/>
      </c>
      <c r="J110" s="2" t="str">
        <f t="shared" si="3"/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 t="str">
        <f t="shared" si="2"/>
        <v/>
      </c>
      <c r="J111" s="2" t="str">
        <f t="shared" si="3"/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 t="str">
        <f t="shared" si="2"/>
        <v/>
      </c>
      <c r="J112" s="2" t="str">
        <f t="shared" si="3"/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 t="str">
        <f t="shared" si="2"/>
        <v/>
      </c>
      <c r="J113" s="2" t="str">
        <f t="shared" si="3"/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 t="str">
        <f t="shared" si="2"/>
        <v/>
      </c>
      <c r="J114" s="2" t="str">
        <f t="shared" si="3"/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 t="str">
        <f t="shared" si="2"/>
        <v/>
      </c>
      <c r="J115" s="2" t="str">
        <f t="shared" si="3"/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 t="str">
        <f t="shared" si="2"/>
        <v/>
      </c>
      <c r="J116" s="2" t="str">
        <f t="shared" si="3"/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 t="str">
        <f t="shared" si="2"/>
        <v/>
      </c>
      <c r="J117" s="2" t="str">
        <f t="shared" si="3"/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 t="str">
        <f t="shared" si="2"/>
        <v/>
      </c>
      <c r="J118" s="2" t="str">
        <f t="shared" si="3"/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 t="str">
        <f t="shared" si="2"/>
        <v/>
      </c>
      <c r="J119" s="2" t="str">
        <f t="shared" si="3"/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 t="str">
        <f t="shared" si="2"/>
        <v/>
      </c>
      <c r="J120" s="2" t="str">
        <f t="shared" si="3"/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 t="str">
        <f t="shared" si="2"/>
        <v/>
      </c>
      <c r="J121" s="2" t="str">
        <f t="shared" si="3"/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 t="str">
        <f t="shared" si="2"/>
        <v/>
      </c>
      <c r="J122" s="2" t="str">
        <f t="shared" si="3"/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 t="str">
        <f t="shared" si="2"/>
        <v/>
      </c>
      <c r="J123" s="2" t="str">
        <f t="shared" si="3"/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 t="str">
        <f t="shared" si="2"/>
        <v/>
      </c>
      <c r="J124" s="2" t="str">
        <f t="shared" si="3"/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 t="str">
        <f t="shared" si="2"/>
        <v/>
      </c>
      <c r="J125" s="2" t="str">
        <f t="shared" si="3"/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 t="str">
        <f t="shared" si="2"/>
        <v/>
      </c>
      <c r="J126" s="2" t="str">
        <f t="shared" si="3"/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 t="str">
        <f t="shared" si="2"/>
        <v/>
      </c>
      <c r="J127" s="2" t="str">
        <f t="shared" si="3"/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 t="str">
        <f t="shared" si="2"/>
        <v/>
      </c>
      <c r="J128" s="2" t="str">
        <f t="shared" si="3"/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 t="str">
        <f t="shared" si="2"/>
        <v/>
      </c>
      <c r="J129" s="2" t="str">
        <f t="shared" si="3"/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 t="str">
        <f t="shared" si="2"/>
        <v/>
      </c>
      <c r="J130" s="2" t="str">
        <f t="shared" si="3"/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 t="str">
        <f t="shared" si="2"/>
        <v/>
      </c>
      <c r="J131" s="2" t="str">
        <f t="shared" si="3"/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 t="str">
        <f t="shared" si="2"/>
        <v/>
      </c>
      <c r="J132" s="2" t="str">
        <f t="shared" si="3"/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 t="str">
        <f t="shared" ref="I133:I196" si="4">IF(A133="","",MAX(0,MIN(100,ROUND(((D133*0.3)+(E133*0.3)+(F133*0.15)+(G133*0.15)-(H133*0.1))*20,0))))</f>
        <v/>
      </c>
      <c r="J133" s="2" t="str">
        <f t="shared" ref="J133:J196" si="5">IF(A133="","",IF(I133&gt;=80,"P1 — первая версия",IF(I133&gt;=60,"P2 — следующий выпуск",IF(I133&gt;=40,"P3 — можно отложить","Не включать"))))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 t="str">
        <f t="shared" si="4"/>
        <v/>
      </c>
      <c r="J134" s="2" t="str">
        <f t="shared" si="5"/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 t="str">
        <f t="shared" si="4"/>
        <v/>
      </c>
      <c r="J135" s="2" t="str">
        <f t="shared" si="5"/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 t="str">
        <f t="shared" si="4"/>
        <v/>
      </c>
      <c r="J136" s="2" t="str">
        <f t="shared" si="5"/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 t="str">
        <f t="shared" si="4"/>
        <v/>
      </c>
      <c r="J137" s="2" t="str">
        <f t="shared" si="5"/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 t="str">
        <f t="shared" si="4"/>
        <v/>
      </c>
      <c r="J138" s="2" t="str">
        <f t="shared" si="5"/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 t="str">
        <f t="shared" si="4"/>
        <v/>
      </c>
      <c r="J139" s="2" t="str">
        <f t="shared" si="5"/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 t="str">
        <f t="shared" si="4"/>
        <v/>
      </c>
      <c r="J140" s="2" t="str">
        <f t="shared" si="5"/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 t="str">
        <f t="shared" si="4"/>
        <v/>
      </c>
      <c r="J141" s="2" t="str">
        <f t="shared" si="5"/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 t="str">
        <f t="shared" si="4"/>
        <v/>
      </c>
      <c r="J142" s="2" t="str">
        <f t="shared" si="5"/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 t="str">
        <f t="shared" si="4"/>
        <v/>
      </c>
      <c r="J143" s="2" t="str">
        <f t="shared" si="5"/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 t="str">
        <f t="shared" si="4"/>
        <v/>
      </c>
      <c r="J144" s="2" t="str">
        <f t="shared" si="5"/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 t="str">
        <f t="shared" si="4"/>
        <v/>
      </c>
      <c r="J145" s="2" t="str">
        <f t="shared" si="5"/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 t="str">
        <f t="shared" si="4"/>
        <v/>
      </c>
      <c r="J146" s="2" t="str">
        <f t="shared" si="5"/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 t="str">
        <f t="shared" si="4"/>
        <v/>
      </c>
      <c r="J147" s="2" t="str">
        <f t="shared" si="5"/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 t="str">
        <f t="shared" si="4"/>
        <v/>
      </c>
      <c r="J148" s="2" t="str">
        <f t="shared" si="5"/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 t="str">
        <f t="shared" si="4"/>
        <v/>
      </c>
      <c r="J149" s="2" t="str">
        <f t="shared" si="5"/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 t="str">
        <f t="shared" si="4"/>
        <v/>
      </c>
      <c r="J150" s="2" t="str">
        <f t="shared" si="5"/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 t="str">
        <f t="shared" si="4"/>
        <v/>
      </c>
      <c r="J151" s="2" t="str">
        <f t="shared" si="5"/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 t="str">
        <f t="shared" si="4"/>
        <v/>
      </c>
      <c r="J152" s="2" t="str">
        <f t="shared" si="5"/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 t="str">
        <f t="shared" si="4"/>
        <v/>
      </c>
      <c r="J153" s="2" t="str">
        <f t="shared" si="5"/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 t="str">
        <f t="shared" si="4"/>
        <v/>
      </c>
      <c r="J154" s="2" t="str">
        <f t="shared" si="5"/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 t="str">
        <f t="shared" si="4"/>
        <v/>
      </c>
      <c r="J155" s="2" t="str">
        <f t="shared" si="5"/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 t="str">
        <f t="shared" si="4"/>
        <v/>
      </c>
      <c r="J156" s="2" t="str">
        <f t="shared" si="5"/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 t="str">
        <f t="shared" si="4"/>
        <v/>
      </c>
      <c r="J157" s="2" t="str">
        <f t="shared" si="5"/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 t="str">
        <f t="shared" si="4"/>
        <v/>
      </c>
      <c r="J158" s="2" t="str">
        <f t="shared" si="5"/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 t="str">
        <f t="shared" si="4"/>
        <v/>
      </c>
      <c r="J159" s="2" t="str">
        <f t="shared" si="5"/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 t="str">
        <f t="shared" si="4"/>
        <v/>
      </c>
      <c r="J160" s="2" t="str">
        <f t="shared" si="5"/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 t="str">
        <f t="shared" si="4"/>
        <v/>
      </c>
      <c r="J161" s="2" t="str">
        <f t="shared" si="5"/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 t="str">
        <f t="shared" si="4"/>
        <v/>
      </c>
      <c r="J162" s="2" t="str">
        <f t="shared" si="5"/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 t="str">
        <f t="shared" si="4"/>
        <v/>
      </c>
      <c r="J163" s="2" t="str">
        <f t="shared" si="5"/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 t="str">
        <f t="shared" si="4"/>
        <v/>
      </c>
      <c r="J164" s="2" t="str">
        <f t="shared" si="5"/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 t="str">
        <f t="shared" si="4"/>
        <v/>
      </c>
      <c r="J165" s="2" t="str">
        <f t="shared" si="5"/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 t="str">
        <f t="shared" si="4"/>
        <v/>
      </c>
      <c r="J166" s="2" t="str">
        <f t="shared" si="5"/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 t="str">
        <f t="shared" si="4"/>
        <v/>
      </c>
      <c r="J167" s="2" t="str">
        <f t="shared" si="5"/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 t="str">
        <f t="shared" si="4"/>
        <v/>
      </c>
      <c r="J168" s="2" t="str">
        <f t="shared" si="5"/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 t="str">
        <f t="shared" si="4"/>
        <v/>
      </c>
      <c r="J169" s="2" t="str">
        <f t="shared" si="5"/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 t="str">
        <f t="shared" si="4"/>
        <v/>
      </c>
      <c r="J170" s="2" t="str">
        <f t="shared" si="5"/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 t="str">
        <f t="shared" si="4"/>
        <v/>
      </c>
      <c r="J171" s="2" t="str">
        <f t="shared" si="5"/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 t="str">
        <f t="shared" si="4"/>
        <v/>
      </c>
      <c r="J172" s="2" t="str">
        <f t="shared" si="5"/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 t="str">
        <f t="shared" si="4"/>
        <v/>
      </c>
      <c r="J173" s="2" t="str">
        <f t="shared" si="5"/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 t="str">
        <f t="shared" si="4"/>
        <v/>
      </c>
      <c r="J174" s="2" t="str">
        <f t="shared" si="5"/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 t="str">
        <f t="shared" si="4"/>
        <v/>
      </c>
      <c r="J175" s="2" t="str">
        <f t="shared" si="5"/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 t="str">
        <f t="shared" si="4"/>
        <v/>
      </c>
      <c r="J176" s="2" t="str">
        <f t="shared" si="5"/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 t="str">
        <f t="shared" si="4"/>
        <v/>
      </c>
      <c r="J177" s="2" t="str">
        <f t="shared" si="5"/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 t="str">
        <f t="shared" si="4"/>
        <v/>
      </c>
      <c r="J178" s="2" t="str">
        <f t="shared" si="5"/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 t="str">
        <f t="shared" si="4"/>
        <v/>
      </c>
      <c r="J179" s="2" t="str">
        <f t="shared" si="5"/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 t="str">
        <f t="shared" si="4"/>
        <v/>
      </c>
      <c r="J180" s="2" t="str">
        <f t="shared" si="5"/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 t="str">
        <f t="shared" si="4"/>
        <v/>
      </c>
      <c r="J181" s="2" t="str">
        <f t="shared" si="5"/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 t="str">
        <f t="shared" si="4"/>
        <v/>
      </c>
      <c r="J182" s="2" t="str">
        <f t="shared" si="5"/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 t="str">
        <f t="shared" si="4"/>
        <v/>
      </c>
      <c r="J183" s="2" t="str">
        <f t="shared" si="5"/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 t="str">
        <f t="shared" si="4"/>
        <v/>
      </c>
      <c r="J184" s="2" t="str">
        <f t="shared" si="5"/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 t="str">
        <f t="shared" si="4"/>
        <v/>
      </c>
      <c r="J185" s="2" t="str">
        <f t="shared" si="5"/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 t="str">
        <f t="shared" si="4"/>
        <v/>
      </c>
      <c r="J186" s="2" t="str">
        <f t="shared" si="5"/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 t="str">
        <f t="shared" si="4"/>
        <v/>
      </c>
      <c r="J187" s="2" t="str">
        <f t="shared" si="5"/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 t="str">
        <f t="shared" si="4"/>
        <v/>
      </c>
      <c r="J188" s="2" t="str">
        <f t="shared" si="5"/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 t="str">
        <f t="shared" si="4"/>
        <v/>
      </c>
      <c r="J189" s="2" t="str">
        <f t="shared" si="5"/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 t="str">
        <f t="shared" si="4"/>
        <v/>
      </c>
      <c r="J190" s="2" t="str">
        <f t="shared" si="5"/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 t="str">
        <f t="shared" si="4"/>
        <v/>
      </c>
      <c r="J191" s="2" t="str">
        <f t="shared" si="5"/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 t="str">
        <f t="shared" si="4"/>
        <v/>
      </c>
      <c r="J192" s="2" t="str">
        <f t="shared" si="5"/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 t="str">
        <f t="shared" si="4"/>
        <v/>
      </c>
      <c r="J193" s="2" t="str">
        <f t="shared" si="5"/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 t="str">
        <f t="shared" si="4"/>
        <v/>
      </c>
      <c r="J194" s="2" t="str">
        <f t="shared" si="5"/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 t="str">
        <f t="shared" si="4"/>
        <v/>
      </c>
      <c r="J195" s="2" t="str">
        <f t="shared" si="5"/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 t="str">
        <f t="shared" si="4"/>
        <v/>
      </c>
      <c r="J196" s="2" t="str">
        <f t="shared" si="5"/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 t="str">
        <f t="shared" ref="I197:I260" si="6">IF(A197="","",MAX(0,MIN(100,ROUND(((D197*0.3)+(E197*0.3)+(F197*0.15)+(G197*0.15)-(H197*0.1))*20,0))))</f>
        <v/>
      </c>
      <c r="J197" s="2" t="str">
        <f t="shared" ref="J197:J260" si="7">IF(A197="","",IF(I197&gt;=80,"P1 — первая версия",IF(I197&gt;=60,"P2 — следующий выпуск",IF(I197&gt;=40,"P3 — можно отложить","Не включать"))))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 t="str">
        <f t="shared" si="6"/>
        <v/>
      </c>
      <c r="J198" s="2" t="str">
        <f t="shared" si="7"/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 t="str">
        <f t="shared" si="6"/>
        <v/>
      </c>
      <c r="J199" s="2" t="str">
        <f t="shared" si="7"/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 t="str">
        <f t="shared" si="6"/>
        <v/>
      </c>
      <c r="J200" s="2" t="str">
        <f t="shared" si="7"/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 t="str">
        <f t="shared" si="6"/>
        <v/>
      </c>
      <c r="J201" s="2" t="str">
        <f t="shared" si="7"/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 t="str">
        <f t="shared" si="6"/>
        <v/>
      </c>
      <c r="J202" s="2" t="str">
        <f t="shared" si="7"/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 t="str">
        <f t="shared" si="6"/>
        <v/>
      </c>
      <c r="J203" s="2" t="str">
        <f t="shared" si="7"/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 t="str">
        <f t="shared" si="6"/>
        <v/>
      </c>
      <c r="J204" s="2" t="str">
        <f t="shared" si="7"/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 t="str">
        <f t="shared" si="6"/>
        <v/>
      </c>
      <c r="J205" s="2" t="str">
        <f t="shared" si="7"/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 t="str">
        <f t="shared" si="6"/>
        <v/>
      </c>
      <c r="J206" s="2" t="str">
        <f t="shared" si="7"/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 t="str">
        <f t="shared" si="6"/>
        <v/>
      </c>
      <c r="J207" s="2" t="str">
        <f t="shared" si="7"/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 t="str">
        <f t="shared" si="6"/>
        <v/>
      </c>
      <c r="J208" s="2" t="str">
        <f t="shared" si="7"/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 t="str">
        <f t="shared" si="6"/>
        <v/>
      </c>
      <c r="J209" s="2" t="str">
        <f t="shared" si="7"/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 t="str">
        <f t="shared" si="6"/>
        <v/>
      </c>
      <c r="J210" s="2" t="str">
        <f t="shared" si="7"/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 t="str">
        <f t="shared" si="6"/>
        <v/>
      </c>
      <c r="J211" s="2" t="str">
        <f t="shared" si="7"/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 t="str">
        <f t="shared" si="6"/>
        <v/>
      </c>
      <c r="J212" s="2" t="str">
        <f t="shared" si="7"/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 t="str">
        <f t="shared" si="6"/>
        <v/>
      </c>
      <c r="J213" s="2" t="str">
        <f t="shared" si="7"/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 t="str">
        <f t="shared" si="6"/>
        <v/>
      </c>
      <c r="J214" s="2" t="str">
        <f t="shared" si="7"/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 t="str">
        <f t="shared" si="6"/>
        <v/>
      </c>
      <c r="J215" s="2" t="str">
        <f t="shared" si="7"/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 t="str">
        <f t="shared" si="6"/>
        <v/>
      </c>
      <c r="J216" s="2" t="str">
        <f t="shared" si="7"/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 t="str">
        <f t="shared" si="6"/>
        <v/>
      </c>
      <c r="J217" s="2" t="str">
        <f t="shared" si="7"/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 t="str">
        <f t="shared" si="6"/>
        <v/>
      </c>
      <c r="J218" s="2" t="str">
        <f t="shared" si="7"/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 t="str">
        <f t="shared" si="6"/>
        <v/>
      </c>
      <c r="J219" s="2" t="str">
        <f t="shared" si="7"/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 t="str">
        <f t="shared" si="6"/>
        <v/>
      </c>
      <c r="J220" s="2" t="str">
        <f t="shared" si="7"/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 t="str">
        <f t="shared" si="6"/>
        <v/>
      </c>
      <c r="J221" s="2" t="str">
        <f t="shared" si="7"/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 t="str">
        <f t="shared" si="6"/>
        <v/>
      </c>
      <c r="J222" s="2" t="str">
        <f t="shared" si="7"/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 t="str">
        <f t="shared" si="6"/>
        <v/>
      </c>
      <c r="J223" s="2" t="str">
        <f t="shared" si="7"/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 t="str">
        <f t="shared" si="6"/>
        <v/>
      </c>
      <c r="J224" s="2" t="str">
        <f t="shared" si="7"/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 t="str">
        <f t="shared" si="6"/>
        <v/>
      </c>
      <c r="J225" s="2" t="str">
        <f t="shared" si="7"/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 t="str">
        <f t="shared" si="6"/>
        <v/>
      </c>
      <c r="J226" s="2" t="str">
        <f t="shared" si="7"/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 t="str">
        <f t="shared" si="6"/>
        <v/>
      </c>
      <c r="J227" s="2" t="str">
        <f t="shared" si="7"/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 t="str">
        <f t="shared" si="6"/>
        <v/>
      </c>
      <c r="J228" s="2" t="str">
        <f t="shared" si="7"/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 t="str">
        <f t="shared" si="6"/>
        <v/>
      </c>
      <c r="J229" s="2" t="str">
        <f t="shared" si="7"/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 t="str">
        <f t="shared" si="6"/>
        <v/>
      </c>
      <c r="J230" s="2" t="str">
        <f t="shared" si="7"/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 t="str">
        <f t="shared" si="6"/>
        <v/>
      </c>
      <c r="J231" s="2" t="str">
        <f t="shared" si="7"/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 t="str">
        <f t="shared" si="6"/>
        <v/>
      </c>
      <c r="J232" s="2" t="str">
        <f t="shared" si="7"/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 t="str">
        <f t="shared" si="6"/>
        <v/>
      </c>
      <c r="J233" s="2" t="str">
        <f t="shared" si="7"/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 t="str">
        <f t="shared" si="6"/>
        <v/>
      </c>
      <c r="J234" s="2" t="str">
        <f t="shared" si="7"/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 t="str">
        <f t="shared" si="6"/>
        <v/>
      </c>
      <c r="J235" s="2" t="str">
        <f t="shared" si="7"/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 t="str">
        <f t="shared" si="6"/>
        <v/>
      </c>
      <c r="J236" s="2" t="str">
        <f t="shared" si="7"/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 t="str">
        <f t="shared" si="6"/>
        <v/>
      </c>
      <c r="J237" s="2" t="str">
        <f t="shared" si="7"/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 t="str">
        <f t="shared" si="6"/>
        <v/>
      </c>
      <c r="J238" s="2" t="str">
        <f t="shared" si="7"/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 t="str">
        <f t="shared" si="6"/>
        <v/>
      </c>
      <c r="J239" s="2" t="str">
        <f t="shared" si="7"/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 t="str">
        <f t="shared" si="6"/>
        <v/>
      </c>
      <c r="J240" s="2" t="str">
        <f t="shared" si="7"/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 t="str">
        <f t="shared" si="6"/>
        <v/>
      </c>
      <c r="J241" s="2" t="str">
        <f t="shared" si="7"/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 t="str">
        <f t="shared" si="6"/>
        <v/>
      </c>
      <c r="J242" s="2" t="str">
        <f t="shared" si="7"/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 t="str">
        <f t="shared" si="6"/>
        <v/>
      </c>
      <c r="J243" s="2" t="str">
        <f t="shared" si="7"/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 t="str">
        <f t="shared" si="6"/>
        <v/>
      </c>
      <c r="J244" s="2" t="str">
        <f t="shared" si="7"/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 t="str">
        <f t="shared" si="6"/>
        <v/>
      </c>
      <c r="J245" s="2" t="str">
        <f t="shared" si="7"/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 t="str">
        <f t="shared" si="6"/>
        <v/>
      </c>
      <c r="J246" s="2" t="str">
        <f t="shared" si="7"/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 t="str">
        <f t="shared" si="6"/>
        <v/>
      </c>
      <c r="J247" s="2" t="str">
        <f t="shared" si="7"/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 t="str">
        <f t="shared" si="6"/>
        <v/>
      </c>
      <c r="J248" s="2" t="str">
        <f t="shared" si="7"/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 t="str">
        <f t="shared" si="6"/>
        <v/>
      </c>
      <c r="J249" s="2" t="str">
        <f t="shared" si="7"/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 t="str">
        <f t="shared" si="6"/>
        <v/>
      </c>
      <c r="J250" s="2" t="str">
        <f t="shared" si="7"/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 t="str">
        <f t="shared" si="6"/>
        <v/>
      </c>
      <c r="J251" s="2" t="str">
        <f t="shared" si="7"/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 t="str">
        <f t="shared" si="6"/>
        <v/>
      </c>
      <c r="J252" s="2" t="str">
        <f t="shared" si="7"/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 t="str">
        <f t="shared" si="6"/>
        <v/>
      </c>
      <c r="J253" s="2" t="str">
        <f t="shared" si="7"/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 t="str">
        <f t="shared" si="6"/>
        <v/>
      </c>
      <c r="J254" s="2" t="str">
        <f t="shared" si="7"/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 t="str">
        <f t="shared" si="6"/>
        <v/>
      </c>
      <c r="J255" s="2" t="str">
        <f t="shared" si="7"/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 t="str">
        <f t="shared" si="6"/>
        <v/>
      </c>
      <c r="J256" s="2" t="str">
        <f t="shared" si="7"/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 t="str">
        <f t="shared" si="6"/>
        <v/>
      </c>
      <c r="J257" s="2" t="str">
        <f t="shared" si="7"/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 t="str">
        <f t="shared" si="6"/>
        <v/>
      </c>
      <c r="J258" s="2" t="str">
        <f t="shared" si="7"/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 t="str">
        <f t="shared" si="6"/>
        <v/>
      </c>
      <c r="J259" s="2" t="str">
        <f t="shared" si="7"/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 t="str">
        <f t="shared" si="6"/>
        <v/>
      </c>
      <c r="J260" s="2" t="str">
        <f t="shared" si="7"/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 t="str">
        <f t="shared" ref="I261:I324" si="8">IF(A261="","",MAX(0,MIN(100,ROUND(((D261*0.3)+(E261*0.3)+(F261*0.15)+(G261*0.15)-(H261*0.1))*20,0))))</f>
        <v/>
      </c>
      <c r="J261" s="2" t="str">
        <f t="shared" ref="J261:J324" si="9">IF(A261="","",IF(I261&gt;=80,"P1 — первая версия",IF(I261&gt;=60,"P2 — следующий выпуск",IF(I261&gt;=40,"P3 — можно отложить","Не включать"))))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 t="str">
        <f t="shared" si="8"/>
        <v/>
      </c>
      <c r="J262" s="2" t="str">
        <f t="shared" si="9"/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 t="str">
        <f t="shared" si="8"/>
        <v/>
      </c>
      <c r="J263" s="2" t="str">
        <f t="shared" si="9"/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 t="str">
        <f t="shared" si="8"/>
        <v/>
      </c>
      <c r="J264" s="2" t="str">
        <f t="shared" si="9"/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 t="str">
        <f t="shared" si="8"/>
        <v/>
      </c>
      <c r="J265" s="2" t="str">
        <f t="shared" si="9"/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 t="str">
        <f t="shared" si="8"/>
        <v/>
      </c>
      <c r="J266" s="2" t="str">
        <f t="shared" si="9"/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 t="str">
        <f t="shared" si="8"/>
        <v/>
      </c>
      <c r="J267" s="2" t="str">
        <f t="shared" si="9"/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 t="str">
        <f t="shared" si="8"/>
        <v/>
      </c>
      <c r="J268" s="2" t="str">
        <f t="shared" si="9"/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 t="str">
        <f t="shared" si="8"/>
        <v/>
      </c>
      <c r="J269" s="2" t="str">
        <f t="shared" si="9"/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 t="str">
        <f t="shared" si="8"/>
        <v/>
      </c>
      <c r="J270" s="2" t="str">
        <f t="shared" si="9"/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 t="str">
        <f t="shared" si="8"/>
        <v/>
      </c>
      <c r="J271" s="2" t="str">
        <f t="shared" si="9"/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 t="str">
        <f t="shared" si="8"/>
        <v/>
      </c>
      <c r="J272" s="2" t="str">
        <f t="shared" si="9"/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 t="str">
        <f t="shared" si="8"/>
        <v/>
      </c>
      <c r="J273" s="2" t="str">
        <f t="shared" si="9"/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 t="str">
        <f t="shared" si="8"/>
        <v/>
      </c>
      <c r="J274" s="2" t="str">
        <f t="shared" si="9"/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 t="str">
        <f t="shared" si="8"/>
        <v/>
      </c>
      <c r="J275" s="2" t="str">
        <f t="shared" si="9"/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 t="str">
        <f t="shared" si="8"/>
        <v/>
      </c>
      <c r="J276" s="2" t="str">
        <f t="shared" si="9"/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 t="str">
        <f t="shared" si="8"/>
        <v/>
      </c>
      <c r="J277" s="2" t="str">
        <f t="shared" si="9"/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 t="str">
        <f t="shared" si="8"/>
        <v/>
      </c>
      <c r="J278" s="2" t="str">
        <f t="shared" si="9"/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 t="str">
        <f t="shared" si="8"/>
        <v/>
      </c>
      <c r="J279" s="2" t="str">
        <f t="shared" si="9"/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 t="str">
        <f t="shared" si="8"/>
        <v/>
      </c>
      <c r="J280" s="2" t="str">
        <f t="shared" si="9"/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 t="str">
        <f t="shared" si="8"/>
        <v/>
      </c>
      <c r="J281" s="2" t="str">
        <f t="shared" si="9"/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 t="str">
        <f t="shared" si="8"/>
        <v/>
      </c>
      <c r="J282" s="2" t="str">
        <f t="shared" si="9"/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 t="str">
        <f t="shared" si="8"/>
        <v/>
      </c>
      <c r="J283" s="2" t="str">
        <f t="shared" si="9"/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 t="str">
        <f t="shared" si="8"/>
        <v/>
      </c>
      <c r="J284" s="2" t="str">
        <f t="shared" si="9"/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 t="str">
        <f t="shared" si="8"/>
        <v/>
      </c>
      <c r="J285" s="2" t="str">
        <f t="shared" si="9"/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 t="str">
        <f t="shared" si="8"/>
        <v/>
      </c>
      <c r="J286" s="2" t="str">
        <f t="shared" si="9"/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 t="str">
        <f t="shared" si="8"/>
        <v/>
      </c>
      <c r="J287" s="2" t="str">
        <f t="shared" si="9"/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 t="str">
        <f t="shared" si="8"/>
        <v/>
      </c>
      <c r="J288" s="2" t="str">
        <f t="shared" si="9"/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 t="str">
        <f t="shared" si="8"/>
        <v/>
      </c>
      <c r="J289" s="2" t="str">
        <f t="shared" si="9"/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 t="str">
        <f t="shared" si="8"/>
        <v/>
      </c>
      <c r="J290" s="2" t="str">
        <f t="shared" si="9"/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 t="str">
        <f t="shared" si="8"/>
        <v/>
      </c>
      <c r="J291" s="2" t="str">
        <f t="shared" si="9"/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 t="str">
        <f t="shared" si="8"/>
        <v/>
      </c>
      <c r="J292" s="2" t="str">
        <f t="shared" si="9"/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 t="str">
        <f t="shared" si="8"/>
        <v/>
      </c>
      <c r="J293" s="2" t="str">
        <f t="shared" si="9"/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 t="str">
        <f t="shared" si="8"/>
        <v/>
      </c>
      <c r="J294" s="2" t="str">
        <f t="shared" si="9"/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 t="str">
        <f t="shared" si="8"/>
        <v/>
      </c>
      <c r="J295" s="2" t="str">
        <f t="shared" si="9"/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 t="str">
        <f t="shared" si="8"/>
        <v/>
      </c>
      <c r="J296" s="2" t="str">
        <f t="shared" si="9"/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 t="str">
        <f t="shared" si="8"/>
        <v/>
      </c>
      <c r="J297" s="2" t="str">
        <f t="shared" si="9"/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 t="str">
        <f t="shared" si="8"/>
        <v/>
      </c>
      <c r="J298" s="2" t="str">
        <f t="shared" si="9"/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 t="str">
        <f t="shared" si="8"/>
        <v/>
      </c>
      <c r="J299" s="2" t="str">
        <f t="shared" si="9"/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 t="str">
        <f t="shared" si="8"/>
        <v/>
      </c>
      <c r="J300" s="2" t="str">
        <f t="shared" si="9"/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 t="str">
        <f t="shared" si="8"/>
        <v/>
      </c>
      <c r="J301" s="2" t="str">
        <f t="shared" si="9"/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 t="str">
        <f t="shared" si="8"/>
        <v/>
      </c>
      <c r="J302" s="2" t="str">
        <f t="shared" si="9"/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 t="str">
        <f t="shared" si="8"/>
        <v/>
      </c>
      <c r="J303" s="2" t="str">
        <f t="shared" si="9"/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 t="str">
        <f t="shared" si="8"/>
        <v/>
      </c>
      <c r="J304" s="2" t="str">
        <f t="shared" si="9"/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L1"/>
    <mergeCell ref="A2:L2"/>
  </mergeCells>
  <conditionalFormatting sqref="I5:I304">
    <cfRule type="dataBar" priority="1">
      <dataBar>
        <cfvo type="min"/>
        <cfvo type="max"/>
        <color rgb="FF2F6F7E"/>
      </dataBar>
    </cfRule>
  </conditionalFormatting>
  <conditionalFormatting sqref="J5:J304">
    <cfRule type="expression" dxfId="3" priority="2">
      <formula>LEFT(J5,2)="P1"</formula>
    </cfRule>
  </conditionalFormatting>
  <conditionalFormatting sqref="I5:I304"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dataValidations count="2">
    <dataValidation type="list" sqref="D5:H304" xr:uid="{00000000-0002-0000-0A00-000000000000}">
      <formula1>"1,2,3,4,5"</formula1>
    </dataValidation>
    <dataValidation type="list" sqref="L5:L304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I5:I304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5"/>
  <sheetViews>
    <sheetView workbookViewId="0"/>
  </sheetViews>
  <sheetFormatPr defaultRowHeight="13.5"/>
  <cols>
    <col min="1" max="1" width="26" customWidth="1"/>
    <col min="2" max="2" width="48" customWidth="1"/>
    <col min="3" max="3" width="40" customWidth="1"/>
    <col min="4" max="4" width="16" customWidth="1"/>
    <col min="5" max="5" width="18" customWidth="1"/>
    <col min="6" max="6" width="55" customWidth="1"/>
  </cols>
  <sheetData>
    <row r="1" spans="1:21" ht="16.05" customHeight="1">
      <c r="A1" s="6" t="s">
        <v>192</v>
      </c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193</v>
      </c>
      <c r="B2" s="7"/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103</v>
      </c>
      <c r="F4" s="3" t="s">
        <v>198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199</v>
      </c>
      <c r="B5" s="2" t="s">
        <v>200</v>
      </c>
      <c r="C5" s="2" t="s">
        <v>201</v>
      </c>
      <c r="D5" s="4">
        <f>IFERROR(COUNTIF(Пользовательские_сценарии!$N$5:$N$304,"Покрыт")/SUMPRODUCT(--(Пользовательские_сценарии!$A$5:$A$304&lt;&gt;"")),0)</f>
        <v>0.8</v>
      </c>
      <c r="E5" s="2" t="str">
        <f>IF(D5&gt;=0.9,"Норма",IF(D5&gt;=0.7,"Требует проверки","Проблема"))</f>
        <v>Требует проверки</v>
      </c>
      <c r="F5" s="2" t="s">
        <v>202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203</v>
      </c>
      <c r="B6" s="2" t="s">
        <v>204</v>
      </c>
      <c r="C6" s="2" t="s">
        <v>205</v>
      </c>
      <c r="D6" s="2">
        <f>SUMPRODUCT(--(Страницы_и_экраны!$A$5:$A$304&lt;&gt;""),--(Страницы_и_экраны!$E$5:$E$304=""))</f>
        <v>0</v>
      </c>
      <c r="E6" s="2" t="str">
        <f>IF(D6=0,"Норма","Проблема")</f>
        <v>Норма</v>
      </c>
      <c r="F6" s="2" t="s">
        <v>206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207</v>
      </c>
      <c r="B7" s="2" t="s">
        <v>208</v>
      </c>
      <c r="C7" s="2" t="s">
        <v>209</v>
      </c>
      <c r="D7" s="4">
        <f>IFERROR(AVERAGE(Паспорт_экрана!$N$5:$N$304),0)</f>
        <v>1</v>
      </c>
      <c r="E7" s="2" t="str">
        <f>IF(D7&gt;=0.85,"Норма",IF(D7&gt;=0.6,"Требует проверки","Проблема"))</f>
        <v>Норма</v>
      </c>
      <c r="F7" s="2" t="s">
        <v>210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177</v>
      </c>
      <c r="B8" s="2" t="s">
        <v>211</v>
      </c>
      <c r="C8" s="2" t="s">
        <v>212</v>
      </c>
      <c r="D8" s="2">
        <f>SUMPRODUCT(--(Навигация_и_карта!$A$5:$A$204&lt;&gt;""))</f>
        <v>13</v>
      </c>
      <c r="E8" s="2" t="str">
        <f>IF(D8&gt;=SUMPRODUCT(--(Страницы_и_экраны!$A$5:$A$304&lt;&gt;""))-1,"Норма",IF(D8&gt;0,"Требует проверки","Проблема"))</f>
        <v>Норма</v>
      </c>
      <c r="F8" s="2" t="s">
        <v>213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214</v>
      </c>
      <c r="B9" s="2" t="s">
        <v>215</v>
      </c>
      <c r="C9" s="2" t="s">
        <v>216</v>
      </c>
      <c r="D9" s="4">
        <f>IFERROR(AVERAGE(Состояния_и_ошибки!$K$5:$K$204),0)</f>
        <v>1</v>
      </c>
      <c r="E9" s="2" t="str">
        <f>IF(D9&gt;=0.85,"Норма",IF(D9&gt;=0.6,"Требует проверки","Проблема"))</f>
        <v>Норма</v>
      </c>
      <c r="F9" s="2" t="s">
        <v>217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218</v>
      </c>
      <c r="B10" s="2" t="s">
        <v>219</v>
      </c>
      <c r="C10" s="2" t="s">
        <v>220</v>
      </c>
      <c r="D10" s="2">
        <f>SUMPRODUCT(--(Страницы_и_экраны!$A$5:$A$304&lt;&gt;""),--(Страницы_и_экраны!$P$5:$P$304&lt;&gt;""),--(Страницы_и_экраны!$P$5:$P$304&lt;&gt;"Не связана напрямую"))</f>
        <v>14</v>
      </c>
      <c r="E10" s="2" t="str">
        <f>IF(D10&gt;=1,"Норма","Требует проверки")</f>
        <v>Норма</v>
      </c>
      <c r="F10" s="2" t="s">
        <v>221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222</v>
      </c>
      <c r="B11" s="2" t="s">
        <v>223</v>
      </c>
      <c r="C11" s="2" t="s">
        <v>224</v>
      </c>
      <c r="D11" s="4">
        <f>IFERROR(SUMPRODUCT(--(Страницы_и_экраны!$A$5:$A$304&lt;&gt;""),--(Страницы_и_экраны!$J$5:$J$304&lt;&gt;""))/SUMPRODUCT(--(Страницы_и_экраны!$A$5:$A$304&lt;&gt;"")),0)</f>
        <v>1</v>
      </c>
      <c r="E11" s="2" t="str">
        <f>IF(D11&gt;=0.8,"Норма",IF(D11&gt;=0.6,"Требует проверки","Проблема"))</f>
        <v>Норма</v>
      </c>
      <c r="F11" s="2" t="s">
        <v>225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05"/>
  <sheetViews>
    <sheetView workbookViewId="0"/>
  </sheetViews>
  <sheetFormatPr defaultRowHeight="13.5"/>
  <cols>
    <col min="1" max="1" width="38" customWidth="1"/>
    <col min="2" max="2" width="18" customWidth="1"/>
    <col min="3" max="3" width="58" customWidth="1"/>
  </cols>
  <sheetData>
    <row r="1" spans="1:21" ht="16.05" customHeight="1">
      <c r="A1" s="6" t="s">
        <v>226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227</v>
      </c>
      <c r="B2" s="7"/>
      <c r="C2" s="7"/>
      <c r="D2" s="7"/>
      <c r="E2" s="7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228</v>
      </c>
      <c r="B4" s="3" t="s">
        <v>229</v>
      </c>
      <c r="C4" s="3" t="s">
        <v>230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3.9">
      <c r="A5" s="1" t="s">
        <v>231</v>
      </c>
      <c r="B5" s="4">
        <f>SUMPRODUCT(--(Пользовательские_сценарии!$A$5:$A$304&lt;&gt;""))</f>
        <v>10</v>
      </c>
      <c r="C5" s="2" t="s">
        <v>232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.75">
      <c r="A6" s="1" t="s">
        <v>233</v>
      </c>
      <c r="B6" s="4">
        <f>IFERROR(COUNTIF(Пользовательские_сценарии!$N$5:$N$304,"Покрыт")/SUMPRODUCT(--(Пользовательские_сценарии!$A$5:$A$304&lt;&gt;"")),0)</f>
        <v>0.8</v>
      </c>
      <c r="C6" s="2" t="s">
        <v>234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3.9">
      <c r="A7" s="1" t="s">
        <v>235</v>
      </c>
      <c r="B7" s="4">
        <f>SUMPRODUCT(--(Страницы_и_экраны!$A$5:$A$304&lt;&gt;""))</f>
        <v>14</v>
      </c>
      <c r="C7" s="2" t="s">
        <v>236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.75">
      <c r="A8" s="1" t="s">
        <v>237</v>
      </c>
      <c r="B8" s="4">
        <f>IFERROR(AVERAGE(Страницы_и_экраны!$T$5:$T$304),0)</f>
        <v>1</v>
      </c>
      <c r="C8" s="2" t="s">
        <v>238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3.9">
      <c r="A9" s="1" t="s">
        <v>209</v>
      </c>
      <c r="B9" s="2">
        <f>IFERROR(AVERAGE(Паспорт_экрана!$N$5:$N$304),0)</f>
        <v>1</v>
      </c>
      <c r="C9" s="2" t="s">
        <v>239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1" t="s">
        <v>216</v>
      </c>
      <c r="B10" s="2">
        <f>IFERROR(AVERAGE(Состояния_и_ошибки!$K$5:$K$204),0)</f>
        <v>1</v>
      </c>
      <c r="C10" s="2" t="s">
        <v>240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3.9">
      <c r="A11" s="1" t="s">
        <v>241</v>
      </c>
      <c r="B11" s="2">
        <f>COUNTIF(Приоритизация!$J$5:$J$304,"P1 — первая версия")</f>
        <v>3</v>
      </c>
      <c r="C11" s="2" t="s">
        <v>242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3.9">
      <c r="A12" s="1" t="s">
        <v>243</v>
      </c>
      <c r="B12" s="4">
        <f>ROUND(AVERAGE(B6,B8,B9,B10),2)</f>
        <v>0.95</v>
      </c>
      <c r="C12" s="2" t="s">
        <v>244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3.9">
      <c r="A14" s="3" t="s">
        <v>245</v>
      </c>
      <c r="B14" s="3" t="s">
        <v>246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199</v>
      </c>
      <c r="B15" s="4">
        <f>B6</f>
        <v>0.8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247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248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98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05"/>
  <sheetViews>
    <sheetView workbookViewId="0"/>
  </sheetViews>
  <sheetFormatPr defaultRowHeight="13.5"/>
  <cols>
    <col min="1" max="12" width="28" customWidth="1"/>
  </cols>
  <sheetData>
    <row r="1" spans="1:21" ht="16.05" customHeight="1">
      <c r="A1" s="6" t="s">
        <v>249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3.9">
      <c r="A3" s="5" t="s">
        <v>35</v>
      </c>
      <c r="B3" s="5" t="s">
        <v>71</v>
      </c>
      <c r="C3" s="5" t="s">
        <v>250</v>
      </c>
      <c r="D3" s="5" t="s">
        <v>121</v>
      </c>
      <c r="E3" s="5" t="s">
        <v>122</v>
      </c>
      <c r="F3" s="5" t="s">
        <v>103</v>
      </c>
      <c r="G3" s="5" t="s">
        <v>251</v>
      </c>
      <c r="H3" s="5" t="s">
        <v>106</v>
      </c>
      <c r="I3" s="5" t="s">
        <v>63</v>
      </c>
      <c r="J3" s="5" t="s">
        <v>252</v>
      </c>
      <c r="K3" s="5" t="s">
        <v>138</v>
      </c>
      <c r="L3" s="5" t="s">
        <v>253</v>
      </c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2" t="s">
        <v>254</v>
      </c>
      <c r="B4" s="2" t="s">
        <v>255</v>
      </c>
      <c r="C4" s="2" t="s">
        <v>108</v>
      </c>
      <c r="D4" s="2" t="s">
        <v>128</v>
      </c>
      <c r="E4" s="2" t="s">
        <v>129</v>
      </c>
      <c r="F4" s="2" t="s">
        <v>256</v>
      </c>
      <c r="G4" s="2" t="s">
        <v>257</v>
      </c>
      <c r="H4" s="2" t="s">
        <v>113</v>
      </c>
      <c r="I4" s="2" t="s">
        <v>66</v>
      </c>
      <c r="J4" s="2" t="s">
        <v>258</v>
      </c>
      <c r="K4" s="2" t="s">
        <v>141</v>
      </c>
      <c r="L4" s="2" t="s">
        <v>259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46</v>
      </c>
      <c r="B5" s="2" t="s">
        <v>84</v>
      </c>
      <c r="C5" s="2" t="s">
        <v>115</v>
      </c>
      <c r="D5" s="2" t="s">
        <v>260</v>
      </c>
      <c r="E5" s="2" t="s">
        <v>261</v>
      </c>
      <c r="F5" s="2" t="s">
        <v>112</v>
      </c>
      <c r="G5" s="2" t="s">
        <v>110</v>
      </c>
      <c r="H5" s="2" t="s">
        <v>262</v>
      </c>
      <c r="I5" s="2" t="s">
        <v>67</v>
      </c>
      <c r="J5" s="2" t="s">
        <v>111</v>
      </c>
      <c r="K5" s="2" t="s">
        <v>263</v>
      </c>
      <c r="L5" s="2" t="s">
        <v>264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50</v>
      </c>
      <c r="B6" s="2" t="s">
        <v>265</v>
      </c>
      <c r="C6" s="2" t="s">
        <v>266</v>
      </c>
      <c r="D6" s="2" t="s">
        <v>267</v>
      </c>
      <c r="E6" s="2" t="s">
        <v>268</v>
      </c>
      <c r="F6" s="2" t="s">
        <v>117</v>
      </c>
      <c r="G6" s="2" t="s">
        <v>269</v>
      </c>
      <c r="H6" s="2" t="s">
        <v>270</v>
      </c>
      <c r="I6" s="2" t="s">
        <v>271</v>
      </c>
      <c r="J6" s="2" t="s">
        <v>116</v>
      </c>
      <c r="K6" s="2" t="s">
        <v>272</v>
      </c>
      <c r="L6" s="2" t="s">
        <v>273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274</v>
      </c>
      <c r="B7" s="2" t="s">
        <v>86</v>
      </c>
      <c r="C7" s="2" t="s">
        <v>275</v>
      </c>
      <c r="D7" s="2" t="s">
        <v>276</v>
      </c>
      <c r="E7" s="2" t="s">
        <v>277</v>
      </c>
      <c r="F7" s="2" t="s">
        <v>278</v>
      </c>
      <c r="G7" s="2"/>
      <c r="H7" s="2" t="s">
        <v>279</v>
      </c>
      <c r="I7" s="2" t="s">
        <v>280</v>
      </c>
      <c r="J7" s="2" t="s">
        <v>281</v>
      </c>
      <c r="K7" s="2" t="s">
        <v>282</v>
      </c>
      <c r="L7" s="2" t="s">
        <v>283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167</v>
      </c>
      <c r="B8" s="2" t="s">
        <v>284</v>
      </c>
      <c r="C8" s="2" t="s">
        <v>171</v>
      </c>
      <c r="D8" s="2" t="s">
        <v>285</v>
      </c>
      <c r="E8" s="2" t="s">
        <v>286</v>
      </c>
      <c r="F8" s="2" t="s">
        <v>287</v>
      </c>
      <c r="G8" s="2"/>
      <c r="H8" s="2" t="s">
        <v>286</v>
      </c>
      <c r="I8" s="2" t="s">
        <v>288</v>
      </c>
      <c r="J8" s="2" t="s">
        <v>289</v>
      </c>
      <c r="K8" s="2" t="s">
        <v>290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291</v>
      </c>
      <c r="B9" s="2" t="s">
        <v>292</v>
      </c>
      <c r="C9" s="2" t="s">
        <v>293</v>
      </c>
      <c r="D9" s="2" t="s">
        <v>294</v>
      </c>
      <c r="E9" s="2"/>
      <c r="F9" s="2" t="s">
        <v>295</v>
      </c>
      <c r="G9" s="2"/>
      <c r="H9" s="2" t="s">
        <v>296</v>
      </c>
      <c r="I9" s="2" t="s">
        <v>297</v>
      </c>
      <c r="J9" s="2" t="s">
        <v>298</v>
      </c>
      <c r="K9" s="2" t="s">
        <v>299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300</v>
      </c>
      <c r="B10" s="2" t="s">
        <v>301</v>
      </c>
      <c r="C10" s="2" t="s">
        <v>302</v>
      </c>
      <c r="D10" s="2"/>
      <c r="E10" s="2"/>
      <c r="F10" s="2"/>
      <c r="G10" s="2"/>
      <c r="H10" s="2"/>
      <c r="I10" s="2" t="s">
        <v>303</v>
      </c>
      <c r="J10" s="2"/>
      <c r="K10" s="2" t="s">
        <v>304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305</v>
      </c>
      <c r="B11" s="2" t="s">
        <v>306</v>
      </c>
      <c r="C11" s="2"/>
      <c r="D11" s="2"/>
      <c r="E11" s="2"/>
      <c r="F11" s="2"/>
      <c r="G11" s="2"/>
      <c r="H11" s="2"/>
      <c r="I11" s="2" t="s">
        <v>307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308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309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2026-10-03T06:49:12Z</dcterms:modified>
</cp:coreProperties>
</file>