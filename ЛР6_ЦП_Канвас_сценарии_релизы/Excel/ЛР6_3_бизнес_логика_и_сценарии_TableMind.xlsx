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6_ЦП_Канвас_сценарии_релизы\Excel\"/>
    </mc:Choice>
  </mc:AlternateContent>
  <xr:revisionPtr revIDLastSave="0" documentId="13_ncr:1_{D49798CE-8EAA-41AC-B860-3C0F0298E0E1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Инструкция" sheetId="1" r:id="rId1"/>
    <sheet name="Банк анализа" sheetId="2" r:id="rId2"/>
    <sheet name="Бизнес-логика" sheetId="3" r:id="rId3"/>
    <sheet name="Роли и сегменты" sheetId="4" r:id="rId4"/>
    <sheet name="Пользовательские сценарии" sheetId="5" r:id="rId5"/>
    <sheet name="Карта сценариев" sheetId="6" r:id="rId6"/>
    <sheet name="Функциональные требования" sheetId="7" r:id="rId7"/>
    <sheet name="Приоритизация" sheetId="8" r:id="rId8"/>
    <sheet name="Связность" sheetId="9" r:id="rId9"/>
    <sheet name="Дашборд" sheetId="10" r:id="rId10"/>
    <sheet name="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" i="10" l="1"/>
  <c r="F22" i="10"/>
  <c r="H21" i="10"/>
  <c r="F21" i="10"/>
  <c r="H20" i="10"/>
  <c r="F20" i="10"/>
  <c r="H19" i="10"/>
  <c r="F19" i="10"/>
  <c r="H18" i="10"/>
  <c r="F18" i="10"/>
  <c r="H17" i="10"/>
  <c r="F17" i="10"/>
  <c r="I16" i="10"/>
  <c r="H16" i="10"/>
  <c r="F16" i="10"/>
  <c r="H15" i="10"/>
  <c r="F15" i="10"/>
  <c r="H14" i="10"/>
  <c r="F14" i="10"/>
  <c r="H13" i="10"/>
  <c r="F13" i="10"/>
  <c r="B11" i="10"/>
  <c r="B9" i="10"/>
  <c r="B8" i="10"/>
  <c r="B6" i="10"/>
  <c r="B5" i="10"/>
  <c r="B4" i="10"/>
  <c r="F11" i="9"/>
  <c r="G21" i="10" s="1"/>
  <c r="F9" i="9"/>
  <c r="G19" i="10" s="1"/>
  <c r="F8" i="9"/>
  <c r="G18" i="10" s="1"/>
  <c r="F7" i="9"/>
  <c r="G17" i="10" s="1"/>
  <c r="F6" i="9"/>
  <c r="H6" i="9" s="1"/>
  <c r="F5" i="9"/>
  <c r="G15" i="10" s="1"/>
  <c r="F4" i="9"/>
  <c r="H4" i="9" s="1"/>
  <c r="I14" i="10" s="1"/>
  <c r="F3" i="9"/>
  <c r="H3" i="9" s="1"/>
  <c r="K10" i="8"/>
  <c r="L10" i="8" s="1"/>
  <c r="K9" i="8"/>
  <c r="L9" i="8" s="1"/>
  <c r="K8" i="8"/>
  <c r="L8" i="8" s="1"/>
  <c r="K7" i="8"/>
  <c r="L7" i="8" s="1"/>
  <c r="K6" i="8"/>
  <c r="L6" i="8" s="1"/>
  <c r="K5" i="8"/>
  <c r="L5" i="8" s="1"/>
  <c r="K4" i="8"/>
  <c r="L4" i="8" s="1"/>
  <c r="K3" i="8"/>
  <c r="L3" i="8" s="1"/>
  <c r="M20" i="7"/>
  <c r="M19" i="7"/>
  <c r="N19" i="7" s="1"/>
  <c r="M18" i="7"/>
  <c r="M17" i="7"/>
  <c r="N17" i="7" s="1"/>
  <c r="M16" i="7"/>
  <c r="M15" i="7"/>
  <c r="M14" i="7"/>
  <c r="M13" i="7"/>
  <c r="N13" i="7" s="1"/>
  <c r="M12" i="7"/>
  <c r="M11" i="7"/>
  <c r="N11" i="7" s="1"/>
  <c r="M10" i="7"/>
  <c r="M9" i="7"/>
  <c r="M8" i="7"/>
  <c r="N8" i="7" s="1"/>
  <c r="M7" i="7"/>
  <c r="M6" i="7"/>
  <c r="N6" i="7" s="1"/>
  <c r="O6" i="7" s="1"/>
  <c r="M5" i="7"/>
  <c r="M4" i="7"/>
  <c r="M3" i="7"/>
  <c r="R12" i="5"/>
  <c r="S12" i="5" s="1"/>
  <c r="R11" i="5"/>
  <c r="S11" i="5" s="1"/>
  <c r="R10" i="5"/>
  <c r="S10" i="5" s="1"/>
  <c r="R9" i="5"/>
  <c r="S9" i="5" s="1"/>
  <c r="R8" i="5"/>
  <c r="S8" i="5" s="1"/>
  <c r="R7" i="5"/>
  <c r="S7" i="5" s="1"/>
  <c r="R6" i="5"/>
  <c r="S6" i="5" s="1"/>
  <c r="R5" i="5"/>
  <c r="S5" i="5" s="1"/>
  <c r="R4" i="5"/>
  <c r="S4" i="5" s="1"/>
  <c r="R3" i="5"/>
  <c r="S3" i="5" s="1"/>
  <c r="I7" i="4"/>
  <c r="I6" i="4"/>
  <c r="I5" i="4"/>
  <c r="I4" i="4"/>
  <c r="I3" i="4"/>
  <c r="L8" i="3"/>
  <c r="M8" i="3" s="1"/>
  <c r="L7" i="3"/>
  <c r="M7" i="3" s="1"/>
  <c r="L6" i="3"/>
  <c r="M6" i="3" s="1"/>
  <c r="L5" i="3"/>
  <c r="M5" i="3" s="1"/>
  <c r="L4" i="3"/>
  <c r="M4" i="3" s="1"/>
  <c r="L3" i="3"/>
  <c r="M3" i="3" s="1"/>
  <c r="J14" i="2"/>
  <c r="M14" i="2" s="1"/>
  <c r="J13" i="2"/>
  <c r="M13" i="2" s="1"/>
  <c r="J12" i="2"/>
  <c r="M12" i="2" s="1"/>
  <c r="J11" i="2"/>
  <c r="M11" i="2" s="1"/>
  <c r="J10" i="2"/>
  <c r="M10" i="2" s="1"/>
  <c r="J9" i="2"/>
  <c r="M9" i="2" s="1"/>
  <c r="J8" i="2"/>
  <c r="M8" i="2" s="1"/>
  <c r="J7" i="2"/>
  <c r="M7" i="2" s="1"/>
  <c r="J6" i="2"/>
  <c r="M6" i="2" s="1"/>
  <c r="J5" i="2"/>
  <c r="M5" i="2" s="1"/>
  <c r="J4" i="2"/>
  <c r="M4" i="2" s="1"/>
  <c r="J3" i="2"/>
  <c r="M3" i="2" s="1"/>
  <c r="G16" i="10" l="1"/>
  <c r="O19" i="7"/>
  <c r="N18" i="7"/>
  <c r="O18" i="7" s="1"/>
  <c r="O17" i="7"/>
  <c r="N15" i="7"/>
  <c r="O15" i="7" s="1"/>
  <c r="O13" i="7"/>
  <c r="O11" i="7"/>
  <c r="N10" i="7"/>
  <c r="O10" i="7" s="1"/>
  <c r="O8" i="7"/>
  <c r="N7" i="7"/>
  <c r="O7" i="7" s="1"/>
  <c r="H9" i="9"/>
  <c r="I19" i="10" s="1"/>
  <c r="H7" i="9"/>
  <c r="I17" i="10" s="1"/>
  <c r="H5" i="9"/>
  <c r="I15" i="10" s="1"/>
  <c r="G13" i="10"/>
  <c r="N14" i="7"/>
  <c r="O14" i="7" s="1"/>
  <c r="I7" i="10"/>
  <c r="I6" i="10"/>
  <c r="I8" i="10"/>
  <c r="I4" i="10"/>
  <c r="I5" i="10"/>
  <c r="G5" i="10"/>
  <c r="B7" i="10"/>
  <c r="I13" i="10"/>
  <c r="N20" i="7"/>
  <c r="O20" i="7" s="1"/>
  <c r="N12" i="7"/>
  <c r="O12" i="7" s="1"/>
  <c r="G7" i="10"/>
  <c r="H8" i="9"/>
  <c r="I18" i="10" s="1"/>
  <c r="N3" i="7"/>
  <c r="O3" i="7" s="1"/>
  <c r="N9" i="7"/>
  <c r="O9" i="7" s="1"/>
  <c r="H11" i="9"/>
  <c r="I21" i="10" s="1"/>
  <c r="N4" i="7"/>
  <c r="O4" i="7" s="1"/>
  <c r="N16" i="7"/>
  <c r="O16" i="7" s="1"/>
  <c r="N5" i="7"/>
  <c r="O5" i="7" s="1"/>
  <c r="G8" i="10"/>
  <c r="G4" i="10"/>
  <c r="B10" i="10"/>
  <c r="G6" i="10"/>
  <c r="G14" i="10"/>
  <c r="B12" i="10" l="1"/>
  <c r="F10" i="9"/>
  <c r="H7" i="10"/>
  <c r="H8" i="10"/>
  <c r="H4" i="10"/>
  <c r="H5" i="10"/>
  <c r="H6" i="10"/>
  <c r="G20" i="10" l="1"/>
  <c r="H10" i="9"/>
  <c r="I20" i="10" l="1"/>
  <c r="F12" i="9"/>
  <c r="H12" i="9" l="1"/>
  <c r="G22" i="10"/>
  <c r="I22" i="10" l="1"/>
  <c r="B13" i="10"/>
  <c r="B14" i="10"/>
</calcChain>
</file>

<file path=xl/sharedStrings.xml><?xml version="1.0" encoding="utf-8"?>
<sst xmlns="http://schemas.openxmlformats.org/spreadsheetml/2006/main" count="1216" uniqueCount="742">
  <si>
    <t>Назначение файла</t>
  </si>
  <si>
    <t>Этап</t>
  </si>
  <si>
    <t>Что сделать</t>
  </si>
  <si>
    <t>Основной лист</t>
  </si>
  <si>
    <t>Результат</t>
  </si>
  <si>
    <t>Проверка качества</t>
  </si>
  <si>
    <t>Связь с методикой</t>
  </si>
  <si>
    <t>Ответственный</t>
  </si>
  <si>
    <t>Статус</t>
  </si>
  <si>
    <t>Перенести ключевые выводы из всех видов анализа</t>
  </si>
  <si>
    <t>Банк анализа</t>
  </si>
  <si>
    <t>Единая доказательная база</t>
  </si>
  <si>
    <t>Есть ссылка/факт/уровень доказательности</t>
  </si>
  <si>
    <t>Анализ проблем, отзывов, конкурентов, Канвас</t>
  </si>
  <si>
    <t>Сформулировать элементы бизнес-логики</t>
  </si>
  <si>
    <t>Бизнес-логика</t>
  </si>
  <si>
    <t>Понятно, за счет чего создается, доставляется и монетизируется ценность</t>
  </si>
  <si>
    <t>Для элемента указаны ценность, товар, процесс и выручка</t>
  </si>
  <si>
    <t>Сборка бизнес-модели</t>
  </si>
  <si>
    <t>Описать роли и сегменты пользователей</t>
  </si>
  <si>
    <t>Роли и сегменты</t>
  </si>
  <si>
    <t>Понятно, кто участвует в сценариях</t>
  </si>
  <si>
    <t>У каждой роли есть задача, проблема и основание</t>
  </si>
  <si>
    <t>Потребительские сегменты Канвас</t>
  </si>
  <si>
    <t>Собрать пользовательские сценарии</t>
  </si>
  <si>
    <t>Пользовательские сценарии</t>
  </si>
  <si>
    <t>Описаны основные, монетизационные, сервисные и удерживающие сценарии</t>
  </si>
  <si>
    <t>У сценария есть проблема, цель, результат и монетизация</t>
  </si>
  <si>
    <t>Переход от ценности к поведению пользователя</t>
  </si>
  <si>
    <t>Разложить сценарии по этапам взаимодействия</t>
  </si>
  <si>
    <t>Карта сценариев</t>
  </si>
  <si>
    <t>Видны точки входа, оплаты, поддержки и удержания</t>
  </si>
  <si>
    <t>Нет разрывов между этапами</t>
  </si>
  <si>
    <t>Клиентский путь</t>
  </si>
  <si>
    <t>Перевести сценарии в требования</t>
  </si>
  <si>
    <t>Функциональные требования</t>
  </si>
  <si>
    <t>Получен перечень функций и требований</t>
  </si>
  <si>
    <t>Требование связано со сценарием и бизнес-целью</t>
  </si>
  <si>
    <t>Товар как носитель ценности</t>
  </si>
  <si>
    <t>Приоритизировать инициативы</t>
  </si>
  <si>
    <t>Приоритизация</t>
  </si>
  <si>
    <t>Определена очередность разработки</t>
  </si>
  <si>
    <t>Приоритет зависит от ценности, эффекта, доказательности и сложности</t>
  </si>
  <si>
    <t>MVP и развитие продукта</t>
  </si>
  <si>
    <t>Проверить связность всей конструкции</t>
  </si>
  <si>
    <t>Связность</t>
  </si>
  <si>
    <t>Выявлены слабые места модели</t>
  </si>
  <si>
    <t>Контрольные точки пройдены</t>
  </si>
  <si>
    <t>Цепочка «анализ → логика → сценарий → товар → монетизация»</t>
  </si>
  <si>
    <t>Банк выводов из всех видов анализа</t>
  </si>
  <si>
    <t>ID вывода</t>
  </si>
  <si>
    <t>Направление анализа</t>
  </si>
  <si>
    <t>Объект анализа</t>
  </si>
  <si>
    <t>Краткий вывод</t>
  </si>
  <si>
    <t>Подтверждающий факт</t>
  </si>
  <si>
    <t>Источник / ссылка</t>
  </si>
  <si>
    <t>Сила доказательства (1-4)</t>
  </si>
  <si>
    <t>Значимость для модели (1-5)</t>
  </si>
  <si>
    <t>Риск ошибочной интерпретации (1-5)</t>
  </si>
  <si>
    <t>Индекс опоры</t>
  </si>
  <si>
    <t>Связанный блок Канвас</t>
  </si>
  <si>
    <t>Связанная проблема / роль / сценарий</t>
  </si>
  <si>
    <t>Решение использовать</t>
  </si>
  <si>
    <t>Комментарий</t>
  </si>
  <si>
    <t>A-001</t>
  </si>
  <si>
    <t>Анализ отзывов</t>
  </si>
  <si>
    <t>Ценностные предложения</t>
  </si>
  <si>
    <t>A-002</t>
  </si>
  <si>
    <t>Анализ конкурентов по сайтам</t>
  </si>
  <si>
    <t>Каналы</t>
  </si>
  <si>
    <t>A-003</t>
  </si>
  <si>
    <t>Канвас бизнес-модели</t>
  </si>
  <si>
    <t>Потоки доходов</t>
  </si>
  <si>
    <t>Единица монетизации</t>
  </si>
  <si>
    <t>Формулирование бизнес-логики цифрового товара</t>
  </si>
  <si>
    <t>ID элемента</t>
  </si>
  <si>
    <t>Элемент бизнес-логики</t>
  </si>
  <si>
    <t>Тип бизнес-логики</t>
  </si>
  <si>
    <t>Какая ценность создается</t>
  </si>
  <si>
    <t>Для кого</t>
  </si>
  <si>
    <t>Цифровой товар / функция</t>
  </si>
  <si>
    <t>Процесс или механизм</t>
  </si>
  <si>
    <t>Источник выручки / единица монетизации</t>
  </si>
  <si>
    <t>Связанный вывод анализа</t>
  </si>
  <si>
    <t>Доказательность (1-4)</t>
  </si>
  <si>
    <t>Влияние на модель (1-5)</t>
  </si>
  <si>
    <t>Проверка связности</t>
  </si>
  <si>
    <t>Индекс надежности</t>
  </si>
  <si>
    <t>BL-001</t>
  </si>
  <si>
    <t>Снижение барьера первого использования</t>
  </si>
  <si>
    <t>Клиентская</t>
  </si>
  <si>
    <t>Новый пользователь</t>
  </si>
  <si>
    <t>BL-002</t>
  </si>
  <si>
    <t>Монетизационная</t>
  </si>
  <si>
    <t>Платящий клиент</t>
  </si>
  <si>
    <t>Подписка</t>
  </si>
  <si>
    <t>Подтверждено</t>
  </si>
  <si>
    <t>Роли пользователей и потребительские сегменты</t>
  </si>
  <si>
    <t>ID роли</t>
  </si>
  <si>
    <t>Роль / сегмент</t>
  </si>
  <si>
    <t>Потребительская задача</t>
  </si>
  <si>
    <t>Проблема</t>
  </si>
  <si>
    <t>Мотивация</t>
  </si>
  <si>
    <t>Ограничения</t>
  </si>
  <si>
    <t>Готовность платить (1-5)</t>
  </si>
  <si>
    <t>Частота потребности (1-5)</t>
  </si>
  <si>
    <t>Ценность сегмента</t>
  </si>
  <si>
    <t>Канал входа</t>
  </si>
  <si>
    <t>Основание из анализа</t>
  </si>
  <si>
    <t>R-001</t>
  </si>
  <si>
    <t>Потребительские сегменты</t>
  </si>
  <si>
    <t>R-002</t>
  </si>
  <si>
    <t>ID сценария</t>
  </si>
  <si>
    <t>Название сценария</t>
  </si>
  <si>
    <t>Роль</t>
  </si>
  <si>
    <t>Тип сценария</t>
  </si>
  <si>
    <t>Исходная проблема</t>
  </si>
  <si>
    <t>Цель пользователя</t>
  </si>
  <si>
    <t>Триггер</t>
  </si>
  <si>
    <t>Основной путь</t>
  </si>
  <si>
    <t>Альтернативный путь / ошибка</t>
  </si>
  <si>
    <t>Результат для пользователя</t>
  </si>
  <si>
    <t>Результат для бизнес-модели</t>
  </si>
  <si>
    <t>Значимость проблемы (1-5)</t>
  </si>
  <si>
    <t>Влияние на выручку (1-5)</t>
  </si>
  <si>
    <t>Индекс сценария</t>
  </si>
  <si>
    <t>Приоритет</t>
  </si>
  <si>
    <t>Источник анализа</t>
  </si>
  <si>
    <t>S-001</t>
  </si>
  <si>
    <t>Получение ценности</t>
  </si>
  <si>
    <t>Основной</t>
  </si>
  <si>
    <t>S-002</t>
  </si>
  <si>
    <t>Потенциальный клиент</t>
  </si>
  <si>
    <t>Оплата</t>
  </si>
  <si>
    <t>Монетизационный</t>
  </si>
  <si>
    <t>Карта прохождения пользовательских сценариев по этапам взаимодействия</t>
  </si>
  <si>
    <t>Сценарий</t>
  </si>
  <si>
    <t>Привлечение</t>
  </si>
  <si>
    <t>Первичный интерес</t>
  </si>
  <si>
    <t>Регистрация</t>
  </si>
  <si>
    <t>Настройка</t>
  </si>
  <si>
    <t>Повторное использование</t>
  </si>
  <si>
    <t>Поддержка</t>
  </si>
  <si>
    <t>Удержание</t>
  </si>
  <si>
    <t>Разрыв / риск</t>
  </si>
  <si>
    <t>Критическая точка</t>
  </si>
  <si>
    <t>страница продукта</t>
  </si>
  <si>
    <t>Перевод пользовательских сценариев в функциональные требования</t>
  </si>
  <si>
    <t>ID требования</t>
  </si>
  <si>
    <t>Требование</t>
  </si>
  <si>
    <t>Связанный сценарий</t>
  </si>
  <si>
    <t>Пользовательская задача</t>
  </si>
  <si>
    <t>Бизнес-цель</t>
  </si>
  <si>
    <t>Категория Кано</t>
  </si>
  <si>
    <t>Уровень товара по Левитту</t>
  </si>
  <si>
    <t>Влияние на ценность (1-5)</t>
  </si>
  <si>
    <t>Влияние на монетизацию (1-5)</t>
  </si>
  <si>
    <t>Сложность реализации (1-5)</t>
  </si>
  <si>
    <t>Индекс приоритета</t>
  </si>
  <si>
    <t>MVP</t>
  </si>
  <si>
    <t>Источник</t>
  </si>
  <si>
    <t>F-001</t>
  </si>
  <si>
    <t>Базовое требование</t>
  </si>
  <si>
    <t>Ожидаемый товар</t>
  </si>
  <si>
    <t>F-002</t>
  </si>
  <si>
    <t>Линейное требование</t>
  </si>
  <si>
    <t>Расширенный товар</t>
  </si>
  <si>
    <t>Приоритизация сценариев, функций и продуктовых инициатив</t>
  </si>
  <si>
    <t>ID инициативы</t>
  </si>
  <si>
    <t>Инициатива</t>
  </si>
  <si>
    <t>Тип</t>
  </si>
  <si>
    <t>Связанное требование</t>
  </si>
  <si>
    <t>Пользовательская ценность (1-5)</t>
  </si>
  <si>
    <t>Бизнес-эффект (1-5)</t>
  </si>
  <si>
    <t>Сложность (1-5)</t>
  </si>
  <si>
    <t>Риск (1-5)</t>
  </si>
  <si>
    <t>Итоговый индекс</t>
  </si>
  <si>
    <t>Решение</t>
  </si>
  <si>
    <t>Период реализации</t>
  </si>
  <si>
    <t>P-001</t>
  </si>
  <si>
    <t>Сценарий + функция</t>
  </si>
  <si>
    <t>Первая версия</t>
  </si>
  <si>
    <t>P-002</t>
  </si>
  <si>
    <t>Монетизация</t>
  </si>
  <si>
    <t>Контрольная точка</t>
  </si>
  <si>
    <t>Что проверяется</t>
  </si>
  <si>
    <t>Проверочный вопрос</t>
  </si>
  <si>
    <t>Источник листа</t>
  </si>
  <si>
    <t>Критерий прохождения</t>
  </si>
  <si>
    <t>Количество</t>
  </si>
  <si>
    <t>Порог</t>
  </si>
  <si>
    <t>Наличие выводов анализа</t>
  </si>
  <si>
    <t>Есть ли перенесенные выводы из предыдущих видов анализа?</t>
  </si>
  <si>
    <t>Не менее 5 выводов</t>
  </si>
  <si>
    <t>Подтвержденные основания</t>
  </si>
  <si>
    <t>Качество доказательств</t>
  </si>
  <si>
    <t>Есть ли сильные основания для решений?</t>
  </si>
  <si>
    <t>Не менее 3 выводов с силой доказательства 3-4</t>
  </si>
  <si>
    <t>Наличие элементов логики</t>
  </si>
  <si>
    <t>Сформулировано ли, за счет чего создается и монетизируется ценность?</t>
  </si>
  <si>
    <t>Не менее 3 элементов</t>
  </si>
  <si>
    <t>Наличие ролей</t>
  </si>
  <si>
    <t>Понятно ли, для кого создаются сценарии?</t>
  </si>
  <si>
    <t>Не менее 2 ролей</t>
  </si>
  <si>
    <t>Сценарии</t>
  </si>
  <si>
    <t>Наличие пользовательских сценариев</t>
  </si>
  <si>
    <t>Описаны ли действия пользователя от проблемы до результата?</t>
  </si>
  <si>
    <t>Не менее 5 сценариев</t>
  </si>
  <si>
    <t>Монетизационные сценарии</t>
  </si>
  <si>
    <t>Связь сценариев с доходами</t>
  </si>
  <si>
    <t>Есть ли сценарии, напрямую связанные с оплатой или удержанием?</t>
  </si>
  <si>
    <t>Не менее 1 монетизационного сценария</t>
  </si>
  <si>
    <t>Требования</t>
  </si>
  <si>
    <t>Перевод сценариев в функции</t>
  </si>
  <si>
    <t>Есть ли функциональные требования, выведенные из сценариев?</t>
  </si>
  <si>
    <t>Не менее 5 требований</t>
  </si>
  <si>
    <t>Фокус первой версии</t>
  </si>
  <si>
    <t>Есть ли требования, рекомендованные в первую версию?</t>
  </si>
  <si>
    <t>Не менее 3 требований MVP</t>
  </si>
  <si>
    <t>Очередность реализации</t>
  </si>
  <si>
    <t>Определены ли инициативы и решения по ним?</t>
  </si>
  <si>
    <t>Не менее 5 инициатив</t>
  </si>
  <si>
    <t>Общая связность</t>
  </si>
  <si>
    <t>Прохождение контрольных точек</t>
  </si>
  <si>
    <t>Прошла ли модель ключевые проверки?</t>
  </si>
  <si>
    <t>Не менее 7 пройденных точек</t>
  </si>
  <si>
    <t>Дашборд готовности бизнес-логики и пользовательских сценариев</t>
  </si>
  <si>
    <t>Ключевые показатели</t>
  </si>
  <si>
    <t>Распределение сценариев и требований по приоритетам</t>
  </si>
  <si>
    <t>Показатель</t>
  </si>
  <si>
    <t>Значение</t>
  </si>
  <si>
    <t>Единица</t>
  </si>
  <si>
    <t>Интерпретация</t>
  </si>
  <si>
    <t>Инициативы</t>
  </si>
  <si>
    <t>Выводов анализа</t>
  </si>
  <si>
    <t>шт.</t>
  </si>
  <si>
    <t>Объем доказательной базы</t>
  </si>
  <si>
    <t>Критический</t>
  </si>
  <si>
    <t>Сильных выводов</t>
  </si>
  <si>
    <t>Сила доказательной базы</t>
  </si>
  <si>
    <t>Высокий</t>
  </si>
  <si>
    <t>Элементов бизнес-логики</t>
  </si>
  <si>
    <t>Сформированность логики</t>
  </si>
  <si>
    <t>Средний</t>
  </si>
  <si>
    <t>Средний индекс надежности логики</t>
  </si>
  <si>
    <t>0-1</t>
  </si>
  <si>
    <t>Качество связности элементов</t>
  </si>
  <si>
    <t>Низкий</t>
  </si>
  <si>
    <t>Ролей и сегментов</t>
  </si>
  <si>
    <t>Покрытие пользователей</t>
  </si>
  <si>
    <t>Отложить</t>
  </si>
  <si>
    <t>Пользовательских сценариев</t>
  </si>
  <si>
    <t>Полнота сценарной модели</t>
  </si>
  <si>
    <t>Критических и высоких сценариев</t>
  </si>
  <si>
    <t>Фокус для проектирования</t>
  </si>
  <si>
    <t>Функциональных требований</t>
  </si>
  <si>
    <t>Перевод сценариев в продукт</t>
  </si>
  <si>
    <t>Контрольные точки связности</t>
  </si>
  <si>
    <t>Требований MVP</t>
  </si>
  <si>
    <t>Состав первой версии</t>
  </si>
  <si>
    <t>Пройденных контрольных точек</t>
  </si>
  <si>
    <t>из 10</t>
  </si>
  <si>
    <t>Общая проверка</t>
  </si>
  <si>
    <t>Индекс готовности</t>
  </si>
  <si>
    <t>%</t>
  </si>
  <si>
    <t>Итоговая готовность</t>
  </si>
  <si>
    <t>Итоговая интерпретация</t>
  </si>
  <si>
    <t>Индекс готовности менее 50%</t>
  </si>
  <si>
    <t>Индекс готовности 50–79%</t>
  </si>
  <si>
    <t>Индекс готовности 80–100%</t>
  </si>
  <si>
    <t>Модель готова к переводу в техническое задание, прототипирование и план первой версии.</t>
  </si>
  <si>
    <t>Главный риск</t>
  </si>
  <si>
    <t>Сценарии без связи с проблемой, товаром или единицей монетизации не должны попадать в первую версию.</t>
  </si>
  <si>
    <t>Главное правило</t>
  </si>
  <si>
    <t>Функция включается в продукт только если она поддерживает ценность, сценарий или монетизацию.</t>
  </si>
  <si>
    <t>Справочники для выпадающих списков и шкал оценки</t>
  </si>
  <si>
    <t>Блок Канвас</t>
  </si>
  <si>
    <t>Уровень доказательности</t>
  </si>
  <si>
    <t>Роль пользователя</t>
  </si>
  <si>
    <t>Анализ проблем клиентов</t>
  </si>
  <si>
    <t>Посетитель</t>
  </si>
  <si>
    <t>Анализ бизнес-моделей конкурентов</t>
  </si>
  <si>
    <t>Отношения с клиентами</t>
  </si>
  <si>
    <t>Активный пользователь</t>
  </si>
  <si>
    <t>Классификация компаний по уровням конкуренции</t>
  </si>
  <si>
    <t>Анализ цифрового товара и рыночного стандарта</t>
  </si>
  <si>
    <t>Ключевые ресурсы</t>
  </si>
  <si>
    <t>Администратор клиента</t>
  </si>
  <si>
    <t>Ценностное предложение и цифровой товар</t>
  </si>
  <si>
    <t>Ключевые виды деятельности</t>
  </si>
  <si>
    <t>Менеджер/оператор</t>
  </si>
  <si>
    <t>Ключевые партнеры</t>
  </si>
  <si>
    <t>Партнер</t>
  </si>
  <si>
    <t>Экономика монетизации</t>
  </si>
  <si>
    <t>Структура затрат</t>
  </si>
  <si>
    <t>Внутренний администратор</t>
  </si>
  <si>
    <t>Проверка пользовательских сценариев</t>
  </si>
  <si>
    <t>Этап сценария</t>
  </si>
  <si>
    <t>Черновик</t>
  </si>
  <si>
    <t>Вспомогательный</t>
  </si>
  <si>
    <t>Первичная настройка</t>
  </si>
  <si>
    <t>Сервисный</t>
  </si>
  <si>
    <t>В разработку</t>
  </si>
  <si>
    <t>Административный</t>
  </si>
  <si>
    <t>Исключено</t>
  </si>
  <si>
    <t>Удерживающий</t>
  </si>
  <si>
    <t>Партнерский</t>
  </si>
  <si>
    <t>Расширение потребления</t>
  </si>
  <si>
    <t>Отказ/возврат</t>
  </si>
  <si>
    <t>Тип цифрового товара</t>
  </si>
  <si>
    <t>Ядро выгоды</t>
  </si>
  <si>
    <t>Продуктовая</t>
  </si>
  <si>
    <t>Базовый товар</t>
  </si>
  <si>
    <t>Доступ к сервису</t>
  </si>
  <si>
    <t>Восхищающее требование</t>
  </si>
  <si>
    <t>Цифровой контент</t>
  </si>
  <si>
    <t>Канальная</t>
  </si>
  <si>
    <t>Нейтральный признак</t>
  </si>
  <si>
    <t>Транзакционная услуга</t>
  </si>
  <si>
    <t>Сервисная</t>
  </si>
  <si>
    <t>Обратное требование</t>
  </si>
  <si>
    <t>Потенциальный товар</t>
  </si>
  <si>
    <t>Маркетплейс-доступ</t>
  </si>
  <si>
    <t>Партнерская</t>
  </si>
  <si>
    <t>Не определено</t>
  </si>
  <si>
    <t>Программный модуль</t>
  </si>
  <si>
    <t>Операционная</t>
  </si>
  <si>
    <t>Данные/аналитика</t>
  </si>
  <si>
    <t>Инфраструктурная</t>
  </si>
  <si>
    <t>Образовательный продукт</t>
  </si>
  <si>
    <t>Правовая</t>
  </si>
  <si>
    <t>Гибридный товар</t>
  </si>
  <si>
    <t>Аналитическая</t>
  </si>
  <si>
    <t>Шкала</t>
  </si>
  <si>
    <t>1</t>
  </si>
  <si>
    <t>2</t>
  </si>
  <si>
    <t>3</t>
  </si>
  <si>
    <t>4-5</t>
  </si>
  <si>
    <t>Правило</t>
  </si>
  <si>
    <t>Значимость проблемы</t>
  </si>
  <si>
    <t>единичный дискомфорт</t>
  </si>
  <si>
    <t>частая неудобность</t>
  </si>
  <si>
    <t>существенный ущерб</t>
  </si>
  <si>
    <t>критичная боль</t>
  </si>
  <si>
    <t>Оценивать по частоте, тяжести, экономическим последствиям</t>
  </si>
  <si>
    <t>Влияние на выручку</t>
  </si>
  <si>
    <t>слабое</t>
  </si>
  <si>
    <t>косвенное</t>
  </si>
  <si>
    <t>заметное</t>
  </si>
  <si>
    <t>прямое</t>
  </si>
  <si>
    <t>Связывать с оплатой, удержанием, расширением потребления</t>
  </si>
  <si>
    <t>Сложность реализации</t>
  </si>
  <si>
    <t>низкая</t>
  </si>
  <si>
    <t>умеренная</t>
  </si>
  <si>
    <t>средняя</t>
  </si>
  <si>
    <t>высокая</t>
  </si>
  <si>
    <t>Чем выше сложность, тем ниже приоритет при равной ценности</t>
  </si>
  <si>
    <t>Доказательность</t>
  </si>
  <si>
    <t>слабый сигнал</t>
  </si>
  <si>
    <t>частично</t>
  </si>
  <si>
    <t>подтверждено</t>
  </si>
  <si>
    <t>проверено</t>
  </si>
  <si>
    <t>Оценивать по числу и качеству источников</t>
  </si>
  <si>
    <t>Исключить</t>
  </si>
  <si>
    <t>Анализ поискового спроса</t>
  </si>
  <si>
    <t>Вордстат, ЛР1</t>
  </si>
  <si>
    <t>Проблемные 36,6 %, AI 45,3 %, услуги 2,3 % выборки топов</t>
  </si>
  <si>
    <t>ЛР1, раздел 2.4</t>
  </si>
  <si>
    <t>Проблема P-001</t>
  </si>
  <si>
    <t>поиск по проблемным запросам</t>
  </si>
  <si>
    <t>Оценка рынка</t>
  </si>
  <si>
    <t>ЛР2-3</t>
  </si>
  <si>
    <t>Рынок достаточен для старта, но канал ограничивает SOM</t>
  </si>
  <si>
    <t>ЛР2-3, раздел 2.11</t>
  </si>
  <si>
    <t>нужны дополнительные каналы</t>
  </si>
  <si>
    <t>Конкуренция</t>
  </si>
  <si>
    <t>ЛР4</t>
  </si>
  <si>
    <t>Заменители создают критичное давление (73 % трафика)</t>
  </si>
  <si>
    <t>Индекс барьеров 3,15; пять сил 3,55</t>
  </si>
  <si>
    <t>ЛР4, раздел 2.8</t>
  </si>
  <si>
    <t>Ценностное предложение</t>
  </si>
  <si>
    <t>Проблема P-002</t>
  </si>
  <si>
    <t>позиционирование через проверку AI</t>
  </si>
  <si>
    <t>A-004</t>
  </si>
  <si>
    <t>Отзывы</t>
  </si>
  <si>
    <t>G2</t>
  </si>
  <si>
    <t>У прямых конкурентов нет отзывов</t>
  </si>
  <si>
    <t>PerfectXL 0, Arixcel 1, CIMCON 19 против Datarails 386</t>
  </si>
  <si>
    <t>SRC-004, SRC-005</t>
  </si>
  <si>
    <t>Роль: консультант</t>
  </si>
  <si>
    <t>собрать первые отзывы и кейсы</t>
  </si>
  <si>
    <t>A-005</t>
  </si>
  <si>
    <t>Цены</t>
  </si>
  <si>
    <t>страницы цен</t>
  </si>
  <si>
    <t>ЛР2-3, таблица цен</t>
  </si>
  <si>
    <t>оставить тарифы ПЗ1</t>
  </si>
  <si>
    <t>A-006</t>
  </si>
  <si>
    <t>Цифровой товар</t>
  </si>
  <si>
    <t>ЛР5</t>
  </si>
  <si>
    <t>Стандарт товара - надстройка Excel; разрывы - поиск ошибок, безопасность, пробный доступ</t>
  </si>
  <si>
    <t>по 3 из 7 конкурентов</t>
  </si>
  <si>
    <t>ЛР5, раздел 2.4</t>
  </si>
  <si>
    <t>Требования MVP</t>
  </si>
  <si>
    <t>закрыть разрывы в MVP</t>
  </si>
  <si>
    <t>A-007</t>
  </si>
  <si>
    <t>Зона дифференциации - доказательство вывода движком</t>
  </si>
  <si>
    <t>есть у 2 из 7 конкурентов</t>
  </si>
  <si>
    <t>ЛР5, таблица стандарта</t>
  </si>
  <si>
    <t>Сценарий проверки</t>
  </si>
  <si>
    <t>ядро предложения</t>
  </si>
  <si>
    <t>A-008</t>
  </si>
  <si>
    <t>Безопасность</t>
  </si>
  <si>
    <t>Shortcut, DataSnipper</t>
  </si>
  <si>
    <t>Безопасность и соответствие нужны для доверия к загрузке файлов</t>
  </si>
  <si>
    <t>SOC 2, GDPR на главных страницах</t>
  </si>
  <si>
    <t>SRC-008, SRC-012</t>
  </si>
  <si>
    <t>Требование GDPR</t>
  </si>
  <si>
    <t>политика данных до беты</t>
  </si>
  <si>
    <t>A-009</t>
  </si>
  <si>
    <t>Бизнес-модели</t>
  </si>
  <si>
    <t>5 из 7 с корпоративными пакетами</t>
  </si>
  <si>
    <t>ЛР5, таблица практик</t>
  </si>
  <si>
    <t>Сценарий Team</t>
  </si>
  <si>
    <t>сочетать самообслуживание и Team</t>
  </si>
  <si>
    <t>A-010</t>
  </si>
  <si>
    <t>Проблема клиентов</t>
  </si>
  <si>
    <t>ПЗ1</t>
  </si>
  <si>
    <t>Ошибки есть в 86-94 % таблиц, AI-надстройки сами требуют проверки</t>
  </si>
  <si>
    <t>оценка ПЗ1</t>
  </si>
  <si>
    <t>ПЗ1, раздел 1.1</t>
  </si>
  <si>
    <t>Клиентские сегменты</t>
  </si>
  <si>
    <t>массовая проблема</t>
  </si>
  <si>
    <t>A-011</t>
  </si>
  <si>
    <t>Платежеспособность</t>
  </si>
  <si>
    <t>Бюджет сегментов выше цены предложения (индекс 2,4)</t>
  </si>
  <si>
    <t>индексы 1,3-4,2</t>
  </si>
  <si>
    <t>ЛР2-3, таблица индекса</t>
  </si>
  <si>
    <t>Роль: аналитик</t>
  </si>
  <si>
    <t>расчетные бюджеты сегментов</t>
  </si>
  <si>
    <t>A-012</t>
  </si>
  <si>
    <t>AppSource</t>
  </si>
  <si>
    <t>В AppSource по запросу formula checker один результат</t>
  </si>
  <si>
    <t>138 результатов по excel audit, один по formula checker</t>
  </si>
  <si>
    <t>SRC-010</t>
  </si>
  <si>
    <t>Сценарий надстройки</t>
  </si>
  <si>
    <t>канал с низкой конкуренцией</t>
  </si>
  <si>
    <t>Пользователь видит ошибку в своем файле без регистрации и оплаты</t>
  </si>
  <si>
    <t>новый пользователь</t>
  </si>
  <si>
    <t>бесплатная проверка файла</t>
  </si>
  <si>
    <t>загрузка → проверка → превью находок</t>
  </si>
  <si>
    <t>конверсия в разовый аудит и Pro</t>
  </si>
  <si>
    <t>доля завершивших первую проверку</t>
  </si>
  <si>
    <t>Доказательство каждой находки</t>
  </si>
  <si>
    <t>Находка подтверждена вычислением, а не догадкой модели</t>
  </si>
  <si>
    <t>аналитики, консультанты</t>
  </si>
  <si>
    <t>движок проверки и карточка находки</t>
  </si>
  <si>
    <t>правило → вычисление → объяснение</t>
  </si>
  <si>
    <t>основание цены Pro</t>
  </si>
  <si>
    <t>метрика precision не ниже 90 %</t>
  </si>
  <si>
    <t>BL-003</t>
  </si>
  <si>
    <t>Отчет для передачи</t>
  </si>
  <si>
    <t>Проверка превращается в документ для заказчика или аудитора</t>
  </si>
  <si>
    <t>консультанты, аудиторы</t>
  </si>
  <si>
    <t>отчет аудита и экспорт</t>
  </si>
  <si>
    <t>находки → отчет → экспорт</t>
  </si>
  <si>
    <t>разовый аудит и Pro</t>
  </si>
  <si>
    <t>формат отчета у пилотов</t>
  </si>
  <si>
    <t>BL-004</t>
  </si>
  <si>
    <t>Подписка на постоянную проверку</t>
  </si>
  <si>
    <t>Регулярная проверка моделей по мере правок</t>
  </si>
  <si>
    <t>аналитики, МСП</t>
  </si>
  <si>
    <t>Pro и надстройка</t>
  </si>
  <si>
    <t>история → повторные проверки</t>
  </si>
  <si>
    <t>доля Pro среди платящих</t>
  </si>
  <si>
    <t>BL-005</t>
  </si>
  <si>
    <t>Командная работа</t>
  </si>
  <si>
    <t>Команда проверяет и согласует модели совместно</t>
  </si>
  <si>
    <t>администратор команды</t>
  </si>
  <si>
    <t>Team</t>
  </si>
  <si>
    <t>места → роли → общий журнал</t>
  </si>
  <si>
    <t>спрос на места после беты</t>
  </si>
  <si>
    <t>BL-006</t>
  </si>
  <si>
    <t>Доверие к безопасности</t>
  </si>
  <si>
    <t>Рисковая</t>
  </si>
  <si>
    <t>Клиент вправе загрузить финансовые данные</t>
  </si>
  <si>
    <t>все сегменты</t>
  </si>
  <si>
    <t>политика данных, удаление файла</t>
  </si>
  <si>
    <t>шифрование → минимальное хранение → удаление</t>
  </si>
  <si>
    <t>снижение отказов при покупке</t>
  </si>
  <si>
    <t>план SOC 2</t>
  </si>
  <si>
    <t>Финансовый аналитик / FP&amp;A</t>
  </si>
  <si>
    <t>Проверить модель перед передачей</t>
  </si>
  <si>
    <t>Скрытые ошибки в формулах</t>
  </si>
  <si>
    <t>Не допустить неверные числа</t>
  </si>
  <si>
    <t>Нехватка времени, доверие к AI</t>
  </si>
  <si>
    <t>Поиск по проблемным запросам</t>
  </si>
  <si>
    <t>Проверено</t>
  </si>
  <si>
    <t>Консультант по управлению</t>
  </si>
  <si>
    <t>Проверить модель клиента и передать отчет</t>
  </si>
  <si>
    <t>Нет передаваемого отчета</t>
  </si>
  <si>
    <t>Усилить заключение доказательствами</t>
  </si>
  <si>
    <t>Ограниченный бюджет проекта</t>
  </si>
  <si>
    <t>Партнерские фирмы</t>
  </si>
  <si>
    <t>R-003</t>
  </si>
  <si>
    <t>Бухгалтер / аудитор</t>
  </si>
  <si>
    <t>Подтвердить расчеты в таблицах</t>
  </si>
  <si>
    <t>Нет следов проверки</t>
  </si>
  <si>
    <t>Соответствие стандартам</t>
  </si>
  <si>
    <t>Требования безопасности</t>
  </si>
  <si>
    <t>Профессиональные сообщества</t>
  </si>
  <si>
    <t>R-004</t>
  </si>
  <si>
    <t>Основатель / операционный менеджер МСП</t>
  </si>
  <si>
    <t>Проверить таблицы без штатного аудитора</t>
  </si>
  <si>
    <t>Цена и безопасность</t>
  </si>
  <si>
    <t>Экономия времени и денег</t>
  </si>
  <si>
    <t>Малый бюджет</t>
  </si>
  <si>
    <t>AppSource, поиск</t>
  </si>
  <si>
    <t>R-005</t>
  </si>
  <si>
    <t>Администратор команды</t>
  </si>
  <si>
    <t>Настроить проверку для сотрудников</t>
  </si>
  <si>
    <t>Нет общего контроля качества</t>
  </si>
  <si>
    <t>Единый стандарт проверки</t>
  </si>
  <si>
    <t>Нужны права и роли</t>
  </si>
  <si>
    <t>Рекомендация коллеги</t>
  </si>
  <si>
    <t>Проверить файл без регистрации</t>
  </si>
  <si>
    <t>Скрытые ошибки</t>
  </si>
  <si>
    <t>Увидеть ошибки в своем файле</t>
  </si>
  <si>
    <t>Переход из поиска на страницу продукта</t>
  </si>
  <si>
    <t>Загрузка файла → запуск проверки → список находок</t>
  </si>
  <si>
    <t>Первый результат за минуту</t>
  </si>
  <si>
    <t>Рост активации</t>
  </si>
  <si>
    <t>Пробный аудит</t>
  </si>
  <si>
    <t>Зарегистрироваться и сохранить отчет</t>
  </si>
  <si>
    <t>Результат нужно сохранить</t>
  </si>
  <si>
    <t>Сохранить находки и отчет</t>
  </si>
  <si>
    <t>Просмотр находок</t>
  </si>
  <si>
    <t>Кнопка сохранить → регистрация → личный кабинет</t>
  </si>
  <si>
    <t>Уже есть аккаунт: вход</t>
  </si>
  <si>
    <t>Отчет в кабинете</t>
  </si>
  <si>
    <t>Рост регистраций</t>
  </si>
  <si>
    <t>Регистрация Free</t>
  </si>
  <si>
    <t>S-003</t>
  </si>
  <si>
    <t>Купить разовый аудит файла</t>
  </si>
  <si>
    <t>Нужен полный отчет по файлу</t>
  </si>
  <si>
    <t>Получить полный отчет</t>
  </si>
  <si>
    <t>Лимит бесплатной проверки</t>
  </si>
  <si>
    <t>Полный отчет</t>
  </si>
  <si>
    <t>Первая оплата</t>
  </si>
  <si>
    <t>Файл</t>
  </si>
  <si>
    <t>S-004</t>
  </si>
  <si>
    <t>Оформить Pro после нескольких проверок</t>
  </si>
  <si>
    <t>Регулярные проверки дороже разовых</t>
  </si>
  <si>
    <t>Проверять без ограничений</t>
  </si>
  <si>
    <t>Третья проверка за месяц</t>
  </si>
  <si>
    <t>Отказ: остаться на Free</t>
  </si>
  <si>
    <t>Постоянный доступ</t>
  </si>
  <si>
    <t>Рост подписок</t>
  </si>
  <si>
    <t>Пользователь Pro</t>
  </si>
  <si>
    <t>S-005</t>
  </si>
  <si>
    <t>Подтвердить результат AI в Excel</t>
  </si>
  <si>
    <t>Результат AI нельзя подтвердить</t>
  </si>
  <si>
    <t>Проверить книгу после правки AI</t>
  </si>
  <si>
    <t>Правка формул помощником</t>
  </si>
  <si>
    <t>Надстройка → проверка книги → подсветка находок</t>
  </si>
  <si>
    <t>Подтвержденные числа</t>
  </si>
  <si>
    <t>S-006</t>
  </si>
  <si>
    <t>Передать отчет заказчику</t>
  </si>
  <si>
    <t>Нужно доказательство проверки</t>
  </si>
  <si>
    <t>Передать проверенную модель с отчетом</t>
  </si>
  <si>
    <t>Завершение проекта</t>
  </si>
  <si>
    <t>Отчет → экспорт → отправка заказчику</t>
  </si>
  <si>
    <t>Принятая заказчиком модель</t>
  </si>
  <si>
    <t>Рекомендации и повторные покупки</t>
  </si>
  <si>
    <t>S-007</t>
  </si>
  <si>
    <t>Проверить чужую модель клиента</t>
  </si>
  <si>
    <t>Неизвестные риски модели клиента</t>
  </si>
  <si>
    <t>Найти риски до заключения</t>
  </si>
  <si>
    <t>Получение модели от клиента</t>
  </si>
  <si>
    <t>Загрузка → проверка → карточки находок → заключение</t>
  </si>
  <si>
    <t>Список рисков</t>
  </si>
  <si>
    <t>Рост спроса среди консультантов</t>
  </si>
  <si>
    <t>S-008</t>
  </si>
  <si>
    <t>Настроить правила проверки под компанию</t>
  </si>
  <si>
    <t>Нужен единый стандарт</t>
  </si>
  <si>
    <t>Задать правила команды</t>
  </si>
  <si>
    <t>Внедрение в команде</t>
  </si>
  <si>
    <t>Кабинет → правила → сохранение</t>
  </si>
  <si>
    <t>Конфликт правил: подсказка</t>
  </si>
  <si>
    <t>Единый стандарт</t>
  </si>
  <si>
    <t>Удержание команд</t>
  </si>
  <si>
    <t>Место Team</t>
  </si>
  <si>
    <t>S-009</t>
  </si>
  <si>
    <t>Пригласить коллег в Team</t>
  </si>
  <si>
    <t>Нужен общий доступ</t>
  </si>
  <si>
    <t>Дать доступ сотрудникам</t>
  </si>
  <si>
    <t>Решение руководителя</t>
  </si>
  <si>
    <t>Нет свободных мест: докупка</t>
  </si>
  <si>
    <t>Командное пространство</t>
  </si>
  <si>
    <t>Рост выручки за место</t>
  </si>
  <si>
    <t>S-010</t>
  </si>
  <si>
    <t>Удалить данные по запросу</t>
  </si>
  <si>
    <t>Требования GDPR</t>
  </si>
  <si>
    <t>Удалить файлы и аккаунт</t>
  </si>
  <si>
    <t>Запрос пользователя</t>
  </si>
  <si>
    <t>Кабинет → удалить данные → подтверждение</t>
  </si>
  <si>
    <t>Данные удалены</t>
  </si>
  <si>
    <t>Снижение рисков отказа</t>
  </si>
  <si>
    <t>Нет</t>
  </si>
  <si>
    <t>поиск, партнеры</t>
  </si>
  <si>
    <t>по желанию после результата</t>
  </si>
  <si>
    <t>минимальная</t>
  </si>
  <si>
    <t>после ценности</t>
  </si>
  <si>
    <t>повторная проверка</t>
  </si>
  <si>
    <t>справка</t>
  </si>
  <si>
    <t>письмо с отчетом</t>
  </si>
  <si>
    <t>ЛР6</t>
  </si>
  <si>
    <t>тарифы</t>
  </si>
  <si>
    <t>Загрузка xlsx и проверка без регистрации</t>
  </si>
  <si>
    <t>Получить первый результат</t>
  </si>
  <si>
    <t>Поиск ошибок формул и логики</t>
  </si>
  <si>
    <t>Найти ошибки</t>
  </si>
  <si>
    <t>Ядро ценности</t>
  </si>
  <si>
    <t>Базовая выгода</t>
  </si>
  <si>
    <t>F-003</t>
  </si>
  <si>
    <t>Доказательство каждой находки вычислением</t>
  </si>
  <si>
    <t>Довериться находке</t>
  </si>
  <si>
    <t>Дифференциация</t>
  </si>
  <si>
    <t>Привлекательное требование</t>
  </si>
  <si>
    <t>F-004</t>
  </si>
  <si>
    <t>Отчет аудита с перечнем находок</t>
  </si>
  <si>
    <t>Передать результат</t>
  </si>
  <si>
    <t>Монетизация отчета</t>
  </si>
  <si>
    <t>Одномерное требование</t>
  </si>
  <si>
    <t>F-005</t>
  </si>
  <si>
    <t>Регистрация, вход и личный кабинет</t>
  </si>
  <si>
    <t>Сохранить результат</t>
  </si>
  <si>
    <t>Родовой товар</t>
  </si>
  <si>
    <t>F-006</t>
  </si>
  <si>
    <t>Оплата разового аудита и Pro</t>
  </si>
  <si>
    <t>Заплатить за аудит</t>
  </si>
  <si>
    <t>Первая выручка</t>
  </si>
  <si>
    <t>F-007</t>
  </si>
  <si>
    <t>Политика данных GDPR и удаление файла</t>
  </si>
  <si>
    <t>Загрузить файл безопасно</t>
  </si>
  <si>
    <t>Снизить отказы</t>
  </si>
  <si>
    <t>F-008</t>
  </si>
  <si>
    <t>Страница тарифов и лимиты Free</t>
  </si>
  <si>
    <t>Понять цену</t>
  </si>
  <si>
    <t>Прозрачность цены</t>
  </si>
  <si>
    <t>F-009</t>
  </si>
  <si>
    <t>Надстройка Excel для проверки книги</t>
  </si>
  <si>
    <t>Проверить в Excel</t>
  </si>
  <si>
    <t>F-010</t>
  </si>
  <si>
    <t>Экспорт отчета в PDF и Excel</t>
  </si>
  <si>
    <t>Передать отчет</t>
  </si>
  <si>
    <t>Распространение</t>
  </si>
  <si>
    <t>F-011</t>
  </si>
  <si>
    <t>История проверок</t>
  </si>
  <si>
    <t>Сравнить проверки</t>
  </si>
  <si>
    <t>F-012</t>
  </si>
  <si>
    <t>AI-пояснения и подсказки исправления</t>
  </si>
  <si>
    <t>Понять и исправить</t>
  </si>
  <si>
    <t>Привлекательность</t>
  </si>
  <si>
    <t>F-013</t>
  </si>
  <si>
    <t>Сравнение версий файла</t>
  </si>
  <si>
    <t>Увидеть изменения</t>
  </si>
  <si>
    <t>F-014</t>
  </si>
  <si>
    <t>Командное пространство и роли</t>
  </si>
  <si>
    <t>Работать командой</t>
  </si>
  <si>
    <t>F-015</t>
  </si>
  <si>
    <t>API и интеграции</t>
  </si>
  <si>
    <t>Встроить проверку</t>
  </si>
  <si>
    <t>Рост сегмента МСП</t>
  </si>
  <si>
    <t>Безразличное требование</t>
  </si>
  <si>
    <t>F-016</t>
  </si>
  <si>
    <t>Шаблоны правил под компанию</t>
  </si>
  <si>
    <t>Задать стандарт</t>
  </si>
  <si>
    <t>F-017</t>
  </si>
  <si>
    <t>Автоматическое исправление ошибок</t>
  </si>
  <si>
    <t>F-018</t>
  </si>
  <si>
    <t>Дашборд качества моделей</t>
  </si>
  <si>
    <t>Контроль качества</t>
  </si>
  <si>
    <t>Управленческая ценность</t>
  </si>
  <si>
    <t>Бесплатная проверка файла без регистрации</t>
  </si>
  <si>
    <t>ядро MVP</t>
  </si>
  <si>
    <t>Движок проверки с доказательством находки</t>
  </si>
  <si>
    <t>Функция</t>
  </si>
  <si>
    <t>P-003</t>
  </si>
  <si>
    <t>Отчет аудита</t>
  </si>
  <si>
    <t>основа платных продаж</t>
  </si>
  <si>
    <t>P-004</t>
  </si>
  <si>
    <t>Оплата и тарифы</t>
  </si>
  <si>
    <t>первая выручка</t>
  </si>
  <si>
    <t>P-005</t>
  </si>
  <si>
    <t>Политика данных и удаление файла</t>
  </si>
  <si>
    <t>обязательный разрыв ЛР5</t>
  </si>
  <si>
    <t>P-006</t>
  </si>
  <si>
    <t>Надстройка Excel</t>
  </si>
  <si>
    <t>Интеграция</t>
  </si>
  <si>
    <t>Вторая версия</t>
  </si>
  <si>
    <t>бета v1, июль 2027</t>
  </si>
  <si>
    <t>P-007</t>
  </si>
  <si>
    <t>Командное пространство Team</t>
  </si>
  <si>
    <t>Следующий релиз</t>
  </si>
  <si>
    <t>после подтверждения спроса</t>
  </si>
  <si>
    <t>P-008</t>
  </si>
  <si>
    <t>Автоматическое исправление</t>
  </si>
  <si>
    <t>Позже</t>
  </si>
  <si>
    <t>требует накопления правил</t>
  </si>
  <si>
    <t>Формулирование бизнес-логики и пользовательских сценариев</t>
  </si>
  <si>
    <t>Этот файл предназначен для последовательной сборки бизнес-логики цифрового товара и пользовательских сценариев на основе всех ранее выполненных видов анализа - проблем, отзывов, конкурентов, рыночного стандарта, ценностного предложения, цифрового товара и Канвас.</t>
  </si>
  <si>
    <t>Ключевой принцип - каждый элемент бизнес-логики и каждый пользовательский сценарий должен иметь источник, доказательство, связь с ценностным предложением, цифровым товаром, монетизацией и блоком бизнес-модели.</t>
  </si>
  <si>
    <t>-</t>
  </si>
  <si>
    <t>Спрос проблемный - ошибки в формулах ищут чаще, чем аудит</t>
  </si>
  <si>
    <t>SAM 35 млн у.е., платящих за 4 месяца бета 19 при цели 50</t>
  </si>
  <si>
    <t>Цена Pro 19 у.е. на медиане рынка, специализированные аналоги от 69 у.е.</t>
  </si>
  <si>
    <t>PerfectXL 69 у.е., Rows 7,1 у.е., Copilot 16 у.е., Shortcut 89 у.е.</t>
  </si>
  <si>
    <t>Практика - корпоративные пакеты и демо; самообслуживание только у AI-помощников</t>
  </si>
  <si>
    <t>Частичное совпадение</t>
  </si>
  <si>
    <t>Подтверждено частично</t>
  </si>
  <si>
    <t>подписка Pro 19 у.е.</t>
  </si>
  <si>
    <t>Team 29 у.е. за место</t>
  </si>
  <si>
    <t>Пользовательские сценарии - от проблемы к действию и монетизации</t>
  </si>
  <si>
    <t>Файл слишком большой - сообщение с лимитом</t>
  </si>
  <si>
    <t>Тарифы → оплата 9 у.е. → полный отчет</t>
  </si>
  <si>
    <t>Отказ платежа - повтор и поддержка</t>
  </si>
  <si>
    <t>Предложение Pro → оплата 19 у.е. → активация</t>
  </si>
  <si>
    <t>Нет доступа к надстройке - веб-версия</t>
  </si>
  <si>
    <t>Формат не подходит - шаблон отчета</t>
  </si>
  <si>
    <t>Файл защищен паролем - запрос пароля</t>
  </si>
  <si>
    <t>Кабинет → приглашение → оплата мест 29 у.е.</t>
  </si>
  <si>
    <t>Платная подписка активна - напоминание</t>
  </si>
  <si>
    <t>Проверка связности - анализ → бизнес-логика → сценарии → требования → монетизация</t>
  </si>
  <si>
    <t>Модель неполная - сначала усилить доказательную базу, роли и сценарии.</t>
  </si>
  <si>
    <t>1 - слабый сигнал</t>
  </si>
  <si>
    <t>2 - частично подтверждено</t>
  </si>
  <si>
    <t>3 - подтверждено несколькими источниками</t>
  </si>
  <si>
    <t>4 - проверенное основание</t>
  </si>
  <si>
    <t>Модель рабочая, слабые связи и монетизационные сценарии развиваются в следующих релизах.</t>
  </si>
  <si>
    <t>Голубые ячейки - исходные данные. Светлые ячейки - расчетные поля. Выпадающие списки берутся из листа «Справочники».</t>
  </si>
  <si>
    <t>Рассчитывается формулой</t>
  </si>
  <si>
    <t>Порядок работы - «Банк анализа», затем «Бизнес-логика», «Роли и сегменты», «Пользовательские сценарии», «Функциональные требования», «Приоритизация» и «Связность». Лист «Дашборд» рассчитывается автоматически.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</si>
</sst>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4" fillId="0" borderId="0" xfId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2" xfId="1" applyFont="1" applyFill="1" applyBorder="1" applyAlignment="1">
      <alignment horizontal="left" vertical="center" wrapText="1"/>
    </xf>
    <xf numFmtId="0" fontId="4" fillId="4" borderId="1" xfId="1" applyFont="1" applyFill="1" applyBorder="1" applyAlignment="1">
      <alignment vertical="center" wrapText="1"/>
    </xf>
    <xf numFmtId="0" fontId="4" fillId="4" borderId="4" xfId="1" applyFont="1" applyFill="1" applyBorder="1" applyAlignment="1">
      <alignment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3" fillId="5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3" xfId="1" applyFont="1" applyFill="1" applyBorder="1" applyAlignment="1">
      <alignment horizontal="center" vertical="center" wrapText="1"/>
    </xf>
    <xf numFmtId="1" fontId="4" fillId="4" borderId="1" xfId="1" applyNumberFormat="1" applyFont="1" applyFill="1" applyBorder="1" applyAlignment="1">
      <alignment horizontal="center" vertical="center" wrapText="1"/>
    </xf>
    <xf numFmtId="1" fontId="4" fillId="4" borderId="2" xfId="1" applyNumberFormat="1" applyFont="1" applyFill="1" applyBorder="1" applyAlignment="1">
      <alignment horizontal="center" vertical="center" wrapText="1"/>
    </xf>
    <xf numFmtId="2" fontId="4" fillId="4" borderId="1" xfId="1" applyNumberFormat="1" applyFont="1" applyFill="1" applyBorder="1" applyAlignment="1">
      <alignment horizontal="center" vertical="center" wrapText="1"/>
    </xf>
    <xf numFmtId="2" fontId="4" fillId="4" borderId="2" xfId="1" applyNumberFormat="1" applyFont="1" applyFill="1" applyBorder="1" applyAlignment="1">
      <alignment horizontal="center" vertical="center" wrapText="1"/>
    </xf>
    <xf numFmtId="0" fontId="4" fillId="4" borderId="4" xfId="1" applyFont="1" applyFill="1" applyBorder="1" applyAlignment="1">
      <alignment horizontal="center" vertical="center" wrapText="1"/>
    </xf>
    <xf numFmtId="0" fontId="4" fillId="4" borderId="4" xfId="1" applyFont="1" applyFill="1" applyBorder="1" applyAlignment="1">
      <alignment horizontal="left" vertical="center" wrapText="1"/>
    </xf>
    <xf numFmtId="9" fontId="4" fillId="4" borderId="2" xfId="1" applyNumberFormat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left" vertical="center" wrapText="1"/>
    </xf>
    <xf numFmtId="0" fontId="5" fillId="3" borderId="4" xfId="1" applyFont="1" applyFill="1" applyBorder="1" applyAlignment="1">
      <alignment horizontal="left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154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Сценарии и требования по приоритетам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Сценарии</c:v>
          </c:tx>
          <c:spPr>
            <a:solidFill>
              <a:srgbClr val="1F4E79"/>
            </a:solidFill>
          </c:spPr>
          <c:invertIfNegative val="1"/>
          <c:cat>
            <c:strRef>
              <c:f>Дашборд!$F$4:$F$8</c:f>
              <c:strCache>
                <c:ptCount val="5"/>
                <c:pt idx="0">
                  <c:v>Критический</c:v>
                </c:pt>
                <c:pt idx="1">
                  <c:v>Высокий</c:v>
                </c:pt>
                <c:pt idx="2">
                  <c:v>Средний</c:v>
                </c:pt>
                <c:pt idx="3">
                  <c:v>Низкий</c:v>
                </c:pt>
                <c:pt idx="4">
                  <c:v>Отложить</c:v>
                </c:pt>
              </c:strCache>
            </c:strRef>
          </c:cat>
          <c:val>
            <c:numRef>
              <c:f>Дашборд!$G$4:$G$8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22E-4142-93F0-345E2E225CB8}"/>
            </c:ext>
          </c:extLst>
        </c:ser>
        <c:ser>
          <c:idx val="1"/>
          <c:order val="1"/>
          <c:tx>
            <c:v>Требования</c:v>
          </c:tx>
          <c:spPr>
            <a:solidFill>
              <a:srgbClr val="2E75B6"/>
            </a:solidFill>
          </c:spPr>
          <c:invertIfNegative val="1"/>
          <c:cat>
            <c:strRef>
              <c:f>Дашборд!$F$4:$F$8</c:f>
              <c:strCache>
                <c:ptCount val="5"/>
                <c:pt idx="0">
                  <c:v>Критический</c:v>
                </c:pt>
                <c:pt idx="1">
                  <c:v>Высокий</c:v>
                </c:pt>
                <c:pt idx="2">
                  <c:v>Средний</c:v>
                </c:pt>
                <c:pt idx="3">
                  <c:v>Низкий</c:v>
                </c:pt>
                <c:pt idx="4">
                  <c:v>Отложить</c:v>
                </c:pt>
              </c:strCache>
            </c:strRef>
          </c:cat>
          <c:val>
            <c:numRef>
              <c:f>Дашборд!$H$4:$H$8</c:f>
              <c:numCache>
                <c:formatCode>General</c:formatCode>
                <c:ptCount val="5"/>
                <c:pt idx="0">
                  <c:v>2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922E-4142-93F0-345E2E225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1</xdr:col>
      <xdr:colOff>3008312</xdr:colOff>
      <xdr:row>43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7:H15" headerRowDxfId="153" dataDxfId="152" totalsRowDxfId="151">
  <tableColumns count="8">
    <tableColumn id="1" xr3:uid="{00000000-0010-0000-0000-000001000000}" name="Этап" dataDxfId="150"/>
    <tableColumn id="2" xr3:uid="{00000000-0010-0000-0000-000002000000}" name="Что сделать" dataDxfId="149"/>
    <tableColumn id="3" xr3:uid="{00000000-0010-0000-0000-000003000000}" name="Основной лист" dataDxfId="148"/>
    <tableColumn id="4" xr3:uid="{00000000-0010-0000-0000-000004000000}" name="Результат" dataDxfId="147"/>
    <tableColumn id="5" xr3:uid="{00000000-0010-0000-0000-000005000000}" name="Проверка качества" dataDxfId="146"/>
    <tableColumn id="6" xr3:uid="{00000000-0010-0000-0000-000006000000}" name="Связь с методикой" dataDxfId="145"/>
    <tableColumn id="7" xr3:uid="{00000000-0010-0000-0000-000007000000}" name="Ответственный" dataDxfId="144"/>
    <tableColumn id="8" xr3:uid="{00000000-0010-0000-0000-000008000000}" name="Статус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alysisBankTable" displayName="AnalysisBankTable" ref="A2:N14" headerRowDxfId="142" dataDxfId="141" totalsRowDxfId="140">
  <tableColumns count="14">
    <tableColumn id="1" xr3:uid="{00000000-0010-0000-0100-000001000000}" name="ID вывода" dataDxfId="139"/>
    <tableColumn id="2" xr3:uid="{00000000-0010-0000-0100-000002000000}" name="Направление анализа" dataDxfId="138"/>
    <tableColumn id="3" xr3:uid="{00000000-0010-0000-0100-000003000000}" name="Объект анализа" dataDxfId="137"/>
    <tableColumn id="4" xr3:uid="{00000000-0010-0000-0100-000004000000}" name="Краткий вывод" dataDxfId="136"/>
    <tableColumn id="5" xr3:uid="{00000000-0010-0000-0100-000005000000}" name="Подтверждающий факт" dataDxfId="135"/>
    <tableColumn id="6" xr3:uid="{00000000-0010-0000-0100-000006000000}" name="Источник / ссылка" dataDxfId="134"/>
    <tableColumn id="7" xr3:uid="{00000000-0010-0000-0100-000007000000}" name="Сила доказательства (1-4)" dataDxfId="133"/>
    <tableColumn id="8" xr3:uid="{00000000-0010-0000-0100-000008000000}" name="Значимость для модели (1-5)" dataDxfId="132"/>
    <tableColumn id="9" xr3:uid="{00000000-0010-0000-0100-000009000000}" name="Риск ошибочной интерпретации (1-5)" dataDxfId="131"/>
    <tableColumn id="10" xr3:uid="{00000000-0010-0000-0100-00000A000000}" name="Индекс опоры" dataDxfId="130"/>
    <tableColumn id="11" xr3:uid="{00000000-0010-0000-0100-00000B000000}" name="Связанный блок Канвас" dataDxfId="129"/>
    <tableColumn id="12" xr3:uid="{00000000-0010-0000-0100-00000C000000}" name="Связанная проблема / роль / сценарий" dataDxfId="128"/>
    <tableColumn id="13" xr3:uid="{00000000-0010-0000-0100-00000D000000}" name="Решение использовать" dataDxfId="127"/>
    <tableColumn id="14" xr3:uid="{00000000-0010-0000-0100-00000E000000}" name="Комментарий" dataDxfId="1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usinessLogicTable" displayName="BusinessLogicTable" ref="A2:O8" headerRowDxfId="125" dataDxfId="124" totalsRowDxfId="123">
  <tableColumns count="15">
    <tableColumn id="1" xr3:uid="{00000000-0010-0000-0200-000001000000}" name="ID элемента" dataDxfId="122"/>
    <tableColumn id="2" xr3:uid="{00000000-0010-0000-0200-000002000000}" name="Элемент бизнес-логики" dataDxfId="121"/>
    <tableColumn id="3" xr3:uid="{00000000-0010-0000-0200-000003000000}" name="Тип бизнес-логики" dataDxfId="120"/>
    <tableColumn id="4" xr3:uid="{00000000-0010-0000-0200-000004000000}" name="Какая ценность создается" dataDxfId="119"/>
    <tableColumn id="5" xr3:uid="{00000000-0010-0000-0200-000005000000}" name="Для кого" dataDxfId="118"/>
    <tableColumn id="6" xr3:uid="{00000000-0010-0000-0200-000006000000}" name="Цифровой товар / функция" dataDxfId="117"/>
    <tableColumn id="7" xr3:uid="{00000000-0010-0000-0200-000007000000}" name="Процесс или механизм" dataDxfId="116"/>
    <tableColumn id="8" xr3:uid="{00000000-0010-0000-0200-000008000000}" name="Источник выручки / единица монетизации" dataDxfId="115"/>
    <tableColumn id="9" xr3:uid="{00000000-0010-0000-0200-000009000000}" name="Связанный вывод анализа" dataDxfId="114"/>
    <tableColumn id="10" xr3:uid="{00000000-0010-0000-0200-00000A000000}" name="Доказательность (1-4)" dataDxfId="113"/>
    <tableColumn id="11" xr3:uid="{00000000-0010-0000-0200-00000B000000}" name="Влияние на модель (1-5)" dataDxfId="112"/>
    <tableColumn id="12" xr3:uid="{00000000-0010-0000-0200-00000C000000}" name="Проверка связности" dataDxfId="111"/>
    <tableColumn id="13" xr3:uid="{00000000-0010-0000-0200-00000D000000}" name="Индекс надежности" dataDxfId="110"/>
    <tableColumn id="14" xr3:uid="{00000000-0010-0000-0200-00000E000000}" name="Статус" dataDxfId="109"/>
    <tableColumn id="15" xr3:uid="{00000000-0010-0000-0200-00000F000000}" name="Частичное совпадение" dataDxfId="10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olesSegmentsTable" displayName="RolesSegmentsTable" ref="A2:N7" headerRowDxfId="107" dataDxfId="106" totalsRowDxfId="105">
  <tableColumns count="14">
    <tableColumn id="1" xr3:uid="{00000000-0010-0000-0300-000001000000}" name="ID роли" dataDxfId="104"/>
    <tableColumn id="2" xr3:uid="{00000000-0010-0000-0300-000002000000}" name="Роль / сегмент" dataDxfId="103"/>
    <tableColumn id="3" xr3:uid="{00000000-0010-0000-0300-000003000000}" name="Потребительская задача" dataDxfId="102"/>
    <tableColumn id="4" xr3:uid="{00000000-0010-0000-0300-000004000000}" name="Проблема" dataDxfId="101"/>
    <tableColumn id="5" xr3:uid="{00000000-0010-0000-0300-000005000000}" name="Мотивация" dataDxfId="100"/>
    <tableColumn id="6" xr3:uid="{00000000-0010-0000-0300-000006000000}" name="Ограничения" dataDxfId="99"/>
    <tableColumn id="7" xr3:uid="{00000000-0010-0000-0300-000007000000}" name="Готовность платить (1-5)" dataDxfId="98"/>
    <tableColumn id="8" xr3:uid="{00000000-0010-0000-0300-000008000000}" name="Частота потребности (1-5)" dataDxfId="97"/>
    <tableColumn id="9" xr3:uid="{00000000-0010-0000-0300-000009000000}" name="Ценность сегмента" dataDxfId="96"/>
    <tableColumn id="10" xr3:uid="{00000000-0010-0000-0300-00000A000000}" name="Канал входа" dataDxfId="95"/>
    <tableColumn id="11" xr3:uid="{00000000-0010-0000-0300-00000B000000}" name="Связанный блок Канвас" dataDxfId="94"/>
    <tableColumn id="12" xr3:uid="{00000000-0010-0000-0300-00000C000000}" name="Основание из анализа" dataDxfId="93"/>
    <tableColumn id="13" xr3:uid="{00000000-0010-0000-0300-00000D000000}" name="Доказательность (1-4)" dataDxfId="92"/>
    <tableColumn id="14" xr3:uid="{00000000-0010-0000-0300-00000E000000}" name="Статус" dataDxfId="9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UserScenariosTable" displayName="UserScenariosTable" ref="A2:U12" headerRowDxfId="90" dataDxfId="89" totalsRowDxfId="88">
  <tableColumns count="21">
    <tableColumn id="1" xr3:uid="{00000000-0010-0000-0400-000001000000}" name="ID сценария" dataDxfId="87"/>
    <tableColumn id="2" xr3:uid="{00000000-0010-0000-0400-000002000000}" name="Название сценария" dataDxfId="86"/>
    <tableColumn id="3" xr3:uid="{00000000-0010-0000-0400-000003000000}" name="Роль" dataDxfId="85"/>
    <tableColumn id="4" xr3:uid="{00000000-0010-0000-0400-000004000000}" name="Этап" dataDxfId="84"/>
    <tableColumn id="5" xr3:uid="{00000000-0010-0000-0400-000005000000}" name="Тип сценария" dataDxfId="83"/>
    <tableColumn id="6" xr3:uid="{00000000-0010-0000-0400-000006000000}" name="Исходная проблема" dataDxfId="82"/>
    <tableColumn id="7" xr3:uid="{00000000-0010-0000-0400-000007000000}" name="Цель пользователя" dataDxfId="81"/>
    <tableColumn id="8" xr3:uid="{00000000-0010-0000-0400-000008000000}" name="Триггер" dataDxfId="80"/>
    <tableColumn id="9" xr3:uid="{00000000-0010-0000-0400-000009000000}" name="Основной путь" dataDxfId="79"/>
    <tableColumn id="10" xr3:uid="{00000000-0010-0000-0400-00000A000000}" name="Альтернативный путь / ошибка" dataDxfId="78"/>
    <tableColumn id="11" xr3:uid="{00000000-0010-0000-0400-00000B000000}" name="Результат для пользователя" dataDxfId="77"/>
    <tableColumn id="12" xr3:uid="{00000000-0010-0000-0400-00000C000000}" name="Результат для бизнес-модели" dataDxfId="76"/>
    <tableColumn id="13" xr3:uid="{00000000-0010-0000-0400-00000D000000}" name="Единица монетизации" dataDxfId="75"/>
    <tableColumn id="14" xr3:uid="{00000000-0010-0000-0400-00000E000000}" name="Частота потребности (1-5)" dataDxfId="74"/>
    <tableColumn id="15" xr3:uid="{00000000-0010-0000-0400-00000F000000}" name="Значимость проблемы (1-5)" dataDxfId="73"/>
    <tableColumn id="16" xr3:uid="{00000000-0010-0000-0400-000010000000}" name="Влияние на выручку (1-5)" dataDxfId="72"/>
    <tableColumn id="17" xr3:uid="{00000000-0010-0000-0400-000011000000}" name="Доказательность (1-4)" dataDxfId="71"/>
    <tableColumn id="18" xr3:uid="{00000000-0010-0000-0400-000012000000}" name="Индекс сценария" dataDxfId="70"/>
    <tableColumn id="19" xr3:uid="{00000000-0010-0000-0400-000013000000}" name="Приоритет" dataDxfId="69"/>
    <tableColumn id="20" xr3:uid="{00000000-0010-0000-0400-000014000000}" name="Статус" dataDxfId="68"/>
    <tableColumn id="21" xr3:uid="{00000000-0010-0000-0400-000015000000}" name="Источник анализа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MapTable" displayName="ScenarioMapTable" ref="A2:O12" headerRowDxfId="66" dataDxfId="65" totalsRowDxfId="64">
  <tableColumns count="15">
    <tableColumn id="1" xr3:uid="{00000000-0010-0000-0500-000001000000}" name="ID сценария" dataDxfId="63"/>
    <tableColumn id="2" xr3:uid="{00000000-0010-0000-0500-000002000000}" name="Роль" dataDxfId="62"/>
    <tableColumn id="3" xr3:uid="{00000000-0010-0000-0500-000003000000}" name="Сценарий" dataDxfId="61"/>
    <tableColumn id="4" xr3:uid="{00000000-0010-0000-0500-000004000000}" name="Привлечение" dataDxfId="60"/>
    <tableColumn id="5" xr3:uid="{00000000-0010-0000-0500-000005000000}" name="Первичный интерес" dataDxfId="59"/>
    <tableColumn id="6" xr3:uid="{00000000-0010-0000-0500-000006000000}" name="Регистрация" dataDxfId="58"/>
    <tableColumn id="7" xr3:uid="{00000000-0010-0000-0500-000007000000}" name="Настройка" dataDxfId="57"/>
    <tableColumn id="8" xr3:uid="{00000000-0010-0000-0500-000008000000}" name="Получение ценности" dataDxfId="56"/>
    <tableColumn id="9" xr3:uid="{00000000-0010-0000-0500-000009000000}" name="Оплата" dataDxfId="55"/>
    <tableColumn id="10" xr3:uid="{00000000-0010-0000-0500-00000A000000}" name="Повторное использование" dataDxfId="54"/>
    <tableColumn id="11" xr3:uid="{00000000-0010-0000-0500-00000B000000}" name="Поддержка" dataDxfId="53"/>
    <tableColumn id="12" xr3:uid="{00000000-0010-0000-0500-00000C000000}" name="Удержание" dataDxfId="52"/>
    <tableColumn id="13" xr3:uid="{00000000-0010-0000-0500-00000D000000}" name="Разрыв / риск" dataDxfId="51"/>
    <tableColumn id="14" xr3:uid="{00000000-0010-0000-0500-00000E000000}" name="Критическая точка" dataDxfId="50"/>
    <tableColumn id="15" xr3:uid="{00000000-0010-0000-0500-00000F000000}" name="Комментарий" dataDxfId="4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FunctionalRequirementsTable" displayName="FunctionalRequirementsTable" ref="A2:Q20" headerRowDxfId="48" dataDxfId="47" totalsRowDxfId="46">
  <tableColumns count="17">
    <tableColumn id="1" xr3:uid="{00000000-0010-0000-0600-000001000000}" name="ID требования" dataDxfId="45"/>
    <tableColumn id="2" xr3:uid="{00000000-0010-0000-0600-000002000000}" name="Требование" dataDxfId="44"/>
    <tableColumn id="3" xr3:uid="{00000000-0010-0000-0600-000003000000}" name="Связанный сценарий" dataDxfId="43"/>
    <tableColumn id="4" xr3:uid="{00000000-0010-0000-0600-000004000000}" name="Роль" dataDxfId="42"/>
    <tableColumn id="5" xr3:uid="{00000000-0010-0000-0600-000005000000}" name="Пользовательская задача" dataDxfId="41"/>
    <tableColumn id="6" xr3:uid="{00000000-0010-0000-0600-000006000000}" name="Бизнес-цель" dataDxfId="40"/>
    <tableColumn id="7" xr3:uid="{00000000-0010-0000-0600-000007000000}" name="Категория Кано" dataDxfId="39"/>
    <tableColumn id="8" xr3:uid="{00000000-0010-0000-0600-000008000000}" name="Уровень товара по Левитту" dataDxfId="38"/>
    <tableColumn id="9" xr3:uid="{00000000-0010-0000-0600-000009000000}" name="Влияние на ценность (1-5)" dataDxfId="37"/>
    <tableColumn id="10" xr3:uid="{00000000-0010-0000-0600-00000A000000}" name="Влияние на монетизацию (1-5)" dataDxfId="36"/>
    <tableColumn id="11" xr3:uid="{00000000-0010-0000-0600-00000B000000}" name="Сложность реализации (1-5)" dataDxfId="35"/>
    <tableColumn id="12" xr3:uid="{00000000-0010-0000-0600-00000C000000}" name="Доказательность (1-4)" dataDxfId="34"/>
    <tableColumn id="13" xr3:uid="{00000000-0010-0000-0600-00000D000000}" name="Индекс приоритета" dataDxfId="33"/>
    <tableColumn id="14" xr3:uid="{00000000-0010-0000-0600-00000E000000}" name="Приоритет" dataDxfId="32"/>
    <tableColumn id="15" xr3:uid="{00000000-0010-0000-0600-00000F000000}" name="MVP" dataDxfId="31"/>
    <tableColumn id="16" xr3:uid="{00000000-0010-0000-0600-000010000000}" name="Статус" dataDxfId="30"/>
    <tableColumn id="17" xr3:uid="{00000000-0010-0000-0600-000011000000}" name="Источник" dataDxfId="2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rioritizationTable" displayName="PrioritizationTable" ref="A2:N10" headerRowDxfId="28" dataDxfId="27" totalsRowDxfId="26">
  <tableColumns count="14">
    <tableColumn id="1" xr3:uid="{00000000-0010-0000-0700-000001000000}" name="ID инициативы" dataDxfId="25"/>
    <tableColumn id="2" xr3:uid="{00000000-0010-0000-0700-000002000000}" name="Инициатива" dataDxfId="24"/>
    <tableColumn id="3" xr3:uid="{00000000-0010-0000-0700-000003000000}" name="Тип" dataDxfId="23"/>
    <tableColumn id="4" xr3:uid="{00000000-0010-0000-0700-000004000000}" name="Связанный сценарий" dataDxfId="22"/>
    <tableColumn id="5" xr3:uid="{00000000-0010-0000-0700-000005000000}" name="Связанное требование" dataDxfId="21"/>
    <tableColumn id="6" xr3:uid="{00000000-0010-0000-0700-000006000000}" name="Пользовательская ценность (1-5)" dataDxfId="20"/>
    <tableColumn id="7" xr3:uid="{00000000-0010-0000-0700-000007000000}" name="Бизнес-эффект (1-5)" dataDxfId="19"/>
    <tableColumn id="8" xr3:uid="{00000000-0010-0000-0700-000008000000}" name="Доказательность (1-4)" dataDxfId="18"/>
    <tableColumn id="9" xr3:uid="{00000000-0010-0000-0700-000009000000}" name="Сложность (1-5)" dataDxfId="17"/>
    <tableColumn id="10" xr3:uid="{00000000-0010-0000-0700-00000A000000}" name="Риск (1-5)" dataDxfId="16"/>
    <tableColumn id="11" xr3:uid="{00000000-0010-0000-0700-00000B000000}" name="Итоговый индекс" dataDxfId="15"/>
    <tableColumn id="12" xr3:uid="{00000000-0010-0000-0700-00000C000000}" name="Решение" dataDxfId="14"/>
    <tableColumn id="13" xr3:uid="{00000000-0010-0000-0700-00000D000000}" name="Период реализации" dataDxfId="13"/>
    <tableColumn id="14" xr3:uid="{00000000-0010-0000-0700-00000E000000}" name="Комментарий" dataDxfId="1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oherenceTable" displayName="CoherenceTable" ref="A2:I12" headerRowDxfId="11" dataDxfId="10" totalsRowDxfId="9">
  <tableColumns count="9">
    <tableColumn id="1" xr3:uid="{00000000-0010-0000-0800-000001000000}" name="Контрольная точка" dataDxfId="8"/>
    <tableColumn id="2" xr3:uid="{00000000-0010-0000-0800-000002000000}" name="Что проверяется" dataDxfId="7"/>
    <tableColumn id="3" xr3:uid="{00000000-0010-0000-0800-000003000000}" name="Проверочный вопрос" dataDxfId="6"/>
    <tableColumn id="4" xr3:uid="{00000000-0010-0000-0800-000004000000}" name="Источник листа" dataDxfId="5"/>
    <tableColumn id="5" xr3:uid="{00000000-0010-0000-0800-000005000000}" name="Критерий прохождения" dataDxfId="4"/>
    <tableColumn id="6" xr3:uid="{00000000-0010-0000-0800-000006000000}" name="Количество" dataDxfId="3"/>
    <tableColumn id="7" xr3:uid="{00000000-0010-0000-0800-000007000000}" name="Порог" dataDxfId="2"/>
    <tableColumn id="8" xr3:uid="{00000000-0010-0000-0800-000008000000}" name="Статус" dataDxfId="1"/>
    <tableColumn id="9" xr3:uid="{00000000-0010-0000-0800-000009000000}" name="Комментари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"/>
  <sheetViews>
    <sheetView tabSelected="1" workbookViewId="0">
      <selection sqref="A1:H1"/>
    </sheetView>
  </sheetViews>
  <sheetFormatPr defaultRowHeight="13.5"/>
  <cols>
    <col min="1" max="2" width="52.5625" customWidth="1"/>
    <col min="3" max="3" width="29.8125" customWidth="1"/>
    <col min="4" max="6" width="52.5625" customWidth="1"/>
    <col min="7" max="7" width="17.1875" customWidth="1"/>
    <col min="8" max="26" width="10.5625" customWidth="1"/>
  </cols>
  <sheetData>
    <row r="1" spans="1:26" ht="20" customHeight="1">
      <c r="A1" s="27" t="s">
        <v>709</v>
      </c>
      <c r="B1" s="27"/>
      <c r="C1" s="27"/>
      <c r="D1" s="27"/>
      <c r="E1" s="27"/>
      <c r="F1" s="27"/>
      <c r="G1" s="27"/>
      <c r="H1" s="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29" t="s">
        <v>0</v>
      </c>
      <c r="B2" s="29"/>
      <c r="C2" s="29"/>
      <c r="D2" s="29"/>
      <c r="E2" s="29"/>
      <c r="F2" s="29"/>
      <c r="G2" s="29"/>
      <c r="H2" s="30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71.25">
      <c r="A3" s="3" t="s">
        <v>710</v>
      </c>
      <c r="B3" s="5"/>
      <c r="C3" s="5"/>
      <c r="D3" s="5"/>
      <c r="E3" s="5"/>
      <c r="F3" s="5"/>
      <c r="G3" s="5"/>
      <c r="H3" s="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57">
      <c r="A4" s="3" t="s">
        <v>711</v>
      </c>
      <c r="B4" s="5"/>
      <c r="C4" s="5"/>
      <c r="D4" s="5"/>
      <c r="E4" s="5"/>
      <c r="F4" s="5"/>
      <c r="G4" s="5"/>
      <c r="H4" s="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57">
      <c r="A5" s="3" t="s">
        <v>741</v>
      </c>
      <c r="B5" s="5"/>
      <c r="C5" s="5"/>
      <c r="D5" s="5"/>
      <c r="E5" s="5"/>
      <c r="F5" s="5"/>
      <c r="G5" s="5"/>
      <c r="H5" s="6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3" t="s">
        <v>739</v>
      </c>
      <c r="B6" s="5"/>
      <c r="C6" s="5"/>
      <c r="D6" s="5"/>
      <c r="E6" s="5"/>
      <c r="F6" s="5"/>
      <c r="G6" s="5"/>
      <c r="H6" s="6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7" t="s">
        <v>1</v>
      </c>
      <c r="B7" s="7" t="s">
        <v>2</v>
      </c>
      <c r="C7" s="7" t="s">
        <v>3</v>
      </c>
      <c r="D7" s="7" t="s">
        <v>4</v>
      </c>
      <c r="E7" s="7" t="s">
        <v>5</v>
      </c>
      <c r="F7" s="7" t="s">
        <v>6</v>
      </c>
      <c r="G7" s="7" t="s">
        <v>7</v>
      </c>
      <c r="H7" s="14" t="s">
        <v>8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8">
        <v>1</v>
      </c>
      <c r="B8" s="11" t="s">
        <v>9</v>
      </c>
      <c r="C8" s="8" t="s">
        <v>10</v>
      </c>
      <c r="D8" s="8" t="s">
        <v>11</v>
      </c>
      <c r="E8" s="11" t="s">
        <v>12</v>
      </c>
      <c r="F8" s="11" t="s">
        <v>13</v>
      </c>
      <c r="G8" s="8" t="s">
        <v>712</v>
      </c>
      <c r="H8" s="15" t="s">
        <v>712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8">
        <v>2</v>
      </c>
      <c r="B9" s="11" t="s">
        <v>14</v>
      </c>
      <c r="C9" s="8" t="s">
        <v>15</v>
      </c>
      <c r="D9" s="11" t="s">
        <v>16</v>
      </c>
      <c r="E9" s="11" t="s">
        <v>17</v>
      </c>
      <c r="F9" s="8" t="s">
        <v>18</v>
      </c>
      <c r="G9" s="8" t="s">
        <v>712</v>
      </c>
      <c r="H9" s="15" t="s">
        <v>712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8">
        <v>3</v>
      </c>
      <c r="B10" s="11" t="s">
        <v>19</v>
      </c>
      <c r="C10" s="8" t="s">
        <v>20</v>
      </c>
      <c r="D10" s="11" t="s">
        <v>21</v>
      </c>
      <c r="E10" s="11" t="s">
        <v>22</v>
      </c>
      <c r="F10" s="11" t="s">
        <v>23</v>
      </c>
      <c r="G10" s="8" t="s">
        <v>712</v>
      </c>
      <c r="H10" s="15" t="s">
        <v>712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8.5">
      <c r="A11" s="8">
        <v>4</v>
      </c>
      <c r="B11" s="11" t="s">
        <v>24</v>
      </c>
      <c r="C11" s="8" t="s">
        <v>25</v>
      </c>
      <c r="D11" s="11" t="s">
        <v>26</v>
      </c>
      <c r="E11" s="11" t="s">
        <v>27</v>
      </c>
      <c r="F11" s="11" t="s">
        <v>28</v>
      </c>
      <c r="G11" s="8" t="s">
        <v>712</v>
      </c>
      <c r="H11" s="15" t="s">
        <v>712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8">
        <v>5</v>
      </c>
      <c r="B12" s="11" t="s">
        <v>29</v>
      </c>
      <c r="C12" s="8" t="s">
        <v>30</v>
      </c>
      <c r="D12" s="11" t="s">
        <v>31</v>
      </c>
      <c r="E12" s="8" t="s">
        <v>32</v>
      </c>
      <c r="F12" s="8" t="s">
        <v>33</v>
      </c>
      <c r="G12" s="8" t="s">
        <v>712</v>
      </c>
      <c r="H12" s="15" t="s">
        <v>712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8">
        <v>6</v>
      </c>
      <c r="B13" s="11" t="s">
        <v>34</v>
      </c>
      <c r="C13" s="8" t="s">
        <v>35</v>
      </c>
      <c r="D13" s="11" t="s">
        <v>36</v>
      </c>
      <c r="E13" s="11" t="s">
        <v>37</v>
      </c>
      <c r="F13" s="8" t="s">
        <v>38</v>
      </c>
      <c r="G13" s="8" t="s">
        <v>712</v>
      </c>
      <c r="H13" s="15" t="s">
        <v>712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8.5">
      <c r="A14" s="8">
        <v>7</v>
      </c>
      <c r="B14" s="8" t="s">
        <v>39</v>
      </c>
      <c r="C14" s="8" t="s">
        <v>40</v>
      </c>
      <c r="D14" s="11" t="s">
        <v>41</v>
      </c>
      <c r="E14" s="11" t="s">
        <v>42</v>
      </c>
      <c r="F14" s="8" t="s">
        <v>43</v>
      </c>
      <c r="G14" s="8" t="s">
        <v>712</v>
      </c>
      <c r="H14" s="15" t="s">
        <v>712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8.5">
      <c r="A15" s="9">
        <v>8</v>
      </c>
      <c r="B15" s="12" t="s">
        <v>44</v>
      </c>
      <c r="C15" s="9" t="s">
        <v>45</v>
      </c>
      <c r="D15" s="9" t="s">
        <v>46</v>
      </c>
      <c r="E15" s="9" t="s">
        <v>47</v>
      </c>
      <c r="F15" s="12" t="s">
        <v>48</v>
      </c>
      <c r="G15" s="9" t="s">
        <v>712</v>
      </c>
      <c r="H15" s="10" t="s">
        <v>712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</sheetData>
  <mergeCells count="2">
    <mergeCell ref="A1:H1"/>
    <mergeCell ref="A2:H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"/>
  <sheetViews>
    <sheetView workbookViewId="0"/>
  </sheetViews>
  <sheetFormatPr defaultRowHeight="13.5"/>
  <cols>
    <col min="1" max="1" width="13" customWidth="1"/>
    <col min="2" max="2" width="28.75" customWidth="1"/>
    <col min="3" max="3" width="25.625" customWidth="1"/>
    <col min="4" max="5" width="52.5625" customWidth="1"/>
    <col min="6" max="6" width="26.6875" customWidth="1"/>
    <col min="7" max="7" width="29.8125" customWidth="1"/>
    <col min="8" max="8" width="31.9375" customWidth="1"/>
    <col min="9" max="9" width="39.25" customWidth="1"/>
    <col min="10" max="10" width="16.1875" customWidth="1"/>
    <col min="11" max="11" width="26.6875" customWidth="1"/>
    <col min="12" max="12" width="41.375" customWidth="1"/>
    <col min="13" max="13" width="27.6875" customWidth="1"/>
    <col min="14" max="14" width="39.25" customWidth="1"/>
    <col min="15" max="26" width="10.5625" customWidth="1"/>
  </cols>
  <sheetData>
    <row r="1" spans="1:26" ht="20" customHeight="1">
      <c r="A1" s="27" t="s">
        <v>49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50</v>
      </c>
      <c r="B2" s="7" t="s">
        <v>51</v>
      </c>
      <c r="C2" s="7" t="s">
        <v>52</v>
      </c>
      <c r="D2" s="7" t="s">
        <v>53</v>
      </c>
      <c r="E2" s="7" t="s">
        <v>54</v>
      </c>
      <c r="F2" s="7" t="s">
        <v>55</v>
      </c>
      <c r="G2" s="7" t="s">
        <v>56</v>
      </c>
      <c r="H2" s="7" t="s">
        <v>57</v>
      </c>
      <c r="I2" s="7" t="s">
        <v>58</v>
      </c>
      <c r="J2" s="7" t="s">
        <v>59</v>
      </c>
      <c r="K2" s="7" t="s">
        <v>60</v>
      </c>
      <c r="L2" s="7" t="s">
        <v>61</v>
      </c>
      <c r="M2" s="7" t="s">
        <v>62</v>
      </c>
      <c r="N2" s="14" t="s">
        <v>63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64</v>
      </c>
      <c r="B3" s="16" t="s">
        <v>364</v>
      </c>
      <c r="C3" s="16" t="s">
        <v>365</v>
      </c>
      <c r="D3" s="3" t="s">
        <v>713</v>
      </c>
      <c r="E3" s="3" t="s">
        <v>366</v>
      </c>
      <c r="F3" s="16" t="s">
        <v>367</v>
      </c>
      <c r="G3" s="19">
        <v>3</v>
      </c>
      <c r="H3" s="19">
        <v>5</v>
      </c>
      <c r="I3" s="19">
        <v>2</v>
      </c>
      <c r="J3" s="21">
        <f t="shared" ref="J3:J14" si="0">IFERROR((G3*H3)*(6-I3)/20,"")</f>
        <v>3</v>
      </c>
      <c r="K3" s="16" t="s">
        <v>69</v>
      </c>
      <c r="L3" s="16" t="s">
        <v>368</v>
      </c>
      <c r="M3" s="16" t="str">
        <f t="shared" ref="M3:M14" si="1">IF(J3="","",IF(J3&gt;=3,"Использовать",IF(J3&gt;=1.8,"Проверить дополнительно","Не использовать как основание")))</f>
        <v>Использовать</v>
      </c>
      <c r="N3" s="23" t="s">
        <v>369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67</v>
      </c>
      <c r="B4" s="16" t="s">
        <v>370</v>
      </c>
      <c r="C4" s="16" t="s">
        <v>371</v>
      </c>
      <c r="D4" s="3" t="s">
        <v>372</v>
      </c>
      <c r="E4" s="3" t="s">
        <v>714</v>
      </c>
      <c r="F4" s="16" t="s">
        <v>373</v>
      </c>
      <c r="G4" s="19">
        <v>3</v>
      </c>
      <c r="H4" s="19">
        <v>5</v>
      </c>
      <c r="I4" s="19">
        <v>2</v>
      </c>
      <c r="J4" s="21">
        <f t="shared" si="0"/>
        <v>3</v>
      </c>
      <c r="K4" s="16" t="s">
        <v>72</v>
      </c>
      <c r="L4" s="16" t="s">
        <v>183</v>
      </c>
      <c r="M4" s="16" t="str">
        <f t="shared" si="1"/>
        <v>Использовать</v>
      </c>
      <c r="N4" s="23" t="s">
        <v>374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" t="s">
        <v>70</v>
      </c>
      <c r="B5" s="16" t="s">
        <v>375</v>
      </c>
      <c r="C5" s="16" t="s">
        <v>376</v>
      </c>
      <c r="D5" s="3" t="s">
        <v>377</v>
      </c>
      <c r="E5" s="3" t="s">
        <v>378</v>
      </c>
      <c r="F5" s="16" t="s">
        <v>379</v>
      </c>
      <c r="G5" s="19">
        <v>3</v>
      </c>
      <c r="H5" s="19">
        <v>5</v>
      </c>
      <c r="I5" s="19">
        <v>2</v>
      </c>
      <c r="J5" s="21">
        <f t="shared" si="0"/>
        <v>3</v>
      </c>
      <c r="K5" s="16" t="s">
        <v>380</v>
      </c>
      <c r="L5" s="16" t="s">
        <v>381</v>
      </c>
      <c r="M5" s="16" t="str">
        <f t="shared" si="1"/>
        <v>Использовать</v>
      </c>
      <c r="N5" s="24" t="s">
        <v>382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383</v>
      </c>
      <c r="B6" s="16" t="s">
        <v>384</v>
      </c>
      <c r="C6" s="16" t="s">
        <v>385</v>
      </c>
      <c r="D6" s="3" t="s">
        <v>386</v>
      </c>
      <c r="E6" s="3" t="s">
        <v>387</v>
      </c>
      <c r="F6" s="16" t="s">
        <v>388</v>
      </c>
      <c r="G6" s="19">
        <v>4</v>
      </c>
      <c r="H6" s="19">
        <v>4</v>
      </c>
      <c r="I6" s="19">
        <v>2</v>
      </c>
      <c r="J6" s="21">
        <f t="shared" si="0"/>
        <v>3.2</v>
      </c>
      <c r="K6" s="16" t="s">
        <v>282</v>
      </c>
      <c r="L6" s="16" t="s">
        <v>389</v>
      </c>
      <c r="M6" s="16" t="str">
        <f t="shared" si="1"/>
        <v>Использовать</v>
      </c>
      <c r="N6" s="24" t="s">
        <v>390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3" t="s">
        <v>391</v>
      </c>
      <c r="B7" s="16" t="s">
        <v>392</v>
      </c>
      <c r="C7" s="16" t="s">
        <v>393</v>
      </c>
      <c r="D7" s="3" t="s">
        <v>715</v>
      </c>
      <c r="E7" s="3" t="s">
        <v>716</v>
      </c>
      <c r="F7" s="16" t="s">
        <v>394</v>
      </c>
      <c r="G7" s="19">
        <v>4</v>
      </c>
      <c r="H7" s="19">
        <v>4</v>
      </c>
      <c r="I7" s="19">
        <v>2</v>
      </c>
      <c r="J7" s="21">
        <f t="shared" si="0"/>
        <v>3.2</v>
      </c>
      <c r="K7" s="16" t="s">
        <v>72</v>
      </c>
      <c r="L7" s="16" t="s">
        <v>183</v>
      </c>
      <c r="M7" s="16" t="str">
        <f t="shared" si="1"/>
        <v>Использовать</v>
      </c>
      <c r="N7" s="23" t="s">
        <v>395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3" t="s">
        <v>396</v>
      </c>
      <c r="B8" s="16" t="s">
        <v>397</v>
      </c>
      <c r="C8" s="16" t="s">
        <v>398</v>
      </c>
      <c r="D8" s="3" t="s">
        <v>399</v>
      </c>
      <c r="E8" s="16" t="s">
        <v>400</v>
      </c>
      <c r="F8" s="16" t="s">
        <v>401</v>
      </c>
      <c r="G8" s="19">
        <v>3</v>
      </c>
      <c r="H8" s="19">
        <v>5</v>
      </c>
      <c r="I8" s="19">
        <v>2</v>
      </c>
      <c r="J8" s="21">
        <f t="shared" si="0"/>
        <v>3</v>
      </c>
      <c r="K8" s="16" t="s">
        <v>380</v>
      </c>
      <c r="L8" s="16" t="s">
        <v>402</v>
      </c>
      <c r="M8" s="16" t="str">
        <f t="shared" si="1"/>
        <v>Использовать</v>
      </c>
      <c r="N8" s="23" t="s">
        <v>403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3" t="s">
        <v>404</v>
      </c>
      <c r="B9" s="16" t="s">
        <v>397</v>
      </c>
      <c r="C9" s="16" t="s">
        <v>398</v>
      </c>
      <c r="D9" s="3" t="s">
        <v>405</v>
      </c>
      <c r="E9" s="16" t="s">
        <v>406</v>
      </c>
      <c r="F9" s="16" t="s">
        <v>407</v>
      </c>
      <c r="G9" s="19">
        <v>3</v>
      </c>
      <c r="H9" s="19">
        <v>5</v>
      </c>
      <c r="I9" s="19">
        <v>3</v>
      </c>
      <c r="J9" s="21">
        <f t="shared" si="0"/>
        <v>2.25</v>
      </c>
      <c r="K9" s="16" t="s">
        <v>380</v>
      </c>
      <c r="L9" s="16" t="s">
        <v>408</v>
      </c>
      <c r="M9" s="16" t="str">
        <f t="shared" si="1"/>
        <v>Проверить дополнительно</v>
      </c>
      <c r="N9" s="23" t="s">
        <v>409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3" t="s">
        <v>410</v>
      </c>
      <c r="B10" s="16" t="s">
        <v>411</v>
      </c>
      <c r="C10" s="16" t="s">
        <v>412</v>
      </c>
      <c r="D10" s="3" t="s">
        <v>413</v>
      </c>
      <c r="E10" s="3" t="s">
        <v>414</v>
      </c>
      <c r="F10" s="16" t="s">
        <v>415</v>
      </c>
      <c r="G10" s="19">
        <v>4</v>
      </c>
      <c r="H10" s="19">
        <v>4</v>
      </c>
      <c r="I10" s="19">
        <v>2</v>
      </c>
      <c r="J10" s="21">
        <f t="shared" si="0"/>
        <v>3.2</v>
      </c>
      <c r="K10" s="16" t="s">
        <v>286</v>
      </c>
      <c r="L10" s="16" t="s">
        <v>416</v>
      </c>
      <c r="M10" s="16" t="str">
        <f t="shared" si="1"/>
        <v>Использовать</v>
      </c>
      <c r="N10" s="23" t="s">
        <v>417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8.5">
      <c r="A11" s="3" t="s">
        <v>418</v>
      </c>
      <c r="B11" s="16" t="s">
        <v>419</v>
      </c>
      <c r="C11" s="16" t="s">
        <v>398</v>
      </c>
      <c r="D11" s="3" t="s">
        <v>717</v>
      </c>
      <c r="E11" s="3" t="s">
        <v>420</v>
      </c>
      <c r="F11" s="16" t="s">
        <v>421</v>
      </c>
      <c r="G11" s="19">
        <v>3</v>
      </c>
      <c r="H11" s="19">
        <v>4</v>
      </c>
      <c r="I11" s="19">
        <v>3</v>
      </c>
      <c r="J11" s="21">
        <f t="shared" si="0"/>
        <v>1.8</v>
      </c>
      <c r="K11" s="16" t="s">
        <v>69</v>
      </c>
      <c r="L11" s="16" t="s">
        <v>422</v>
      </c>
      <c r="M11" s="16" t="str">
        <f t="shared" si="1"/>
        <v>Проверить дополнительно</v>
      </c>
      <c r="N11" s="24" t="s">
        <v>423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8.5">
      <c r="A12" s="3" t="s">
        <v>424</v>
      </c>
      <c r="B12" s="16" t="s">
        <v>425</v>
      </c>
      <c r="C12" s="16" t="s">
        <v>426</v>
      </c>
      <c r="D12" s="3" t="s">
        <v>427</v>
      </c>
      <c r="E12" s="16" t="s">
        <v>428</v>
      </c>
      <c r="F12" s="16" t="s">
        <v>429</v>
      </c>
      <c r="G12" s="19">
        <v>3</v>
      </c>
      <c r="H12" s="19">
        <v>5</v>
      </c>
      <c r="I12" s="19">
        <v>3</v>
      </c>
      <c r="J12" s="21">
        <f t="shared" si="0"/>
        <v>2.25</v>
      </c>
      <c r="K12" s="16" t="s">
        <v>430</v>
      </c>
      <c r="L12" s="16" t="s">
        <v>368</v>
      </c>
      <c r="M12" s="16" t="str">
        <f t="shared" si="1"/>
        <v>Проверить дополнительно</v>
      </c>
      <c r="N12" s="23" t="s">
        <v>431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3" t="s">
        <v>432</v>
      </c>
      <c r="B13" s="16" t="s">
        <v>433</v>
      </c>
      <c r="C13" s="16" t="s">
        <v>371</v>
      </c>
      <c r="D13" s="3" t="s">
        <v>434</v>
      </c>
      <c r="E13" s="16" t="s">
        <v>435</v>
      </c>
      <c r="F13" s="16" t="s">
        <v>436</v>
      </c>
      <c r="G13" s="19">
        <v>3</v>
      </c>
      <c r="H13" s="19">
        <v>4</v>
      </c>
      <c r="I13" s="19">
        <v>3</v>
      </c>
      <c r="J13" s="21">
        <f t="shared" si="0"/>
        <v>1.8</v>
      </c>
      <c r="K13" s="16" t="s">
        <v>72</v>
      </c>
      <c r="L13" s="16" t="s">
        <v>437</v>
      </c>
      <c r="M13" s="16" t="str">
        <f t="shared" si="1"/>
        <v>Проверить дополнительно</v>
      </c>
      <c r="N13" s="23" t="s">
        <v>438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439</v>
      </c>
      <c r="B14" s="17" t="s">
        <v>69</v>
      </c>
      <c r="C14" s="17" t="s">
        <v>440</v>
      </c>
      <c r="D14" s="4" t="s">
        <v>441</v>
      </c>
      <c r="E14" s="4" t="s">
        <v>442</v>
      </c>
      <c r="F14" s="17" t="s">
        <v>443</v>
      </c>
      <c r="G14" s="20">
        <v>3</v>
      </c>
      <c r="H14" s="20">
        <v>4</v>
      </c>
      <c r="I14" s="20">
        <v>3</v>
      </c>
      <c r="J14" s="22">
        <f t="shared" si="0"/>
        <v>1.8</v>
      </c>
      <c r="K14" s="17" t="s">
        <v>69</v>
      </c>
      <c r="L14" s="17" t="s">
        <v>444</v>
      </c>
      <c r="M14" s="17" t="str">
        <f t="shared" si="1"/>
        <v>Проверить дополнительно</v>
      </c>
      <c r="N14" s="18" t="s">
        <v>445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</sheetData>
  <mergeCells count="1">
    <mergeCell ref="A1:N1"/>
  </mergeCells>
  <dataValidations count="2">
    <dataValidation type="list" sqref="G3:G14" xr:uid="{00000000-0002-0000-0100-000002000000}">
      <formula1>"1,2,3,4"</formula1>
    </dataValidation>
    <dataValidation type="list" sqref="H3:I14" xr:uid="{00000000-0002-0000-0100-000003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Справочники!$A$3:$A$12</xm:f>
          </x14:formula1>
          <xm:sqref>B3:B14</xm:sqref>
        </x14:dataValidation>
        <x14:dataValidation type="list" xr:uid="{00000000-0002-0000-0100-000001000000}">
          <x14:formula1>
            <xm:f>Справочники!$D$3:$D$11</xm:f>
          </x14:formula1>
          <xm:sqref>K3:K14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"/>
  <sheetViews>
    <sheetView workbookViewId="0"/>
  </sheetViews>
  <sheetFormatPr defaultRowHeight="13.5"/>
  <cols>
    <col min="1" max="1" width="15.125" customWidth="1"/>
    <col min="2" max="2" width="43.4375" customWidth="1"/>
    <col min="3" max="3" width="21.4375" customWidth="1"/>
    <col min="4" max="4" width="52.5625" customWidth="1"/>
    <col min="5" max="5" width="27.6875" customWidth="1"/>
    <col min="6" max="6" width="39.25" customWidth="1"/>
    <col min="7" max="7" width="49.75" customWidth="1"/>
    <col min="8" max="8" width="43.4375" customWidth="1"/>
    <col min="9" max="9" width="27.6875" customWidth="1"/>
    <col min="10" max="10" width="25.625" customWidth="1"/>
    <col min="11" max="11" width="27.6875" customWidth="1"/>
    <col min="12" max="12" width="22.4375" customWidth="1"/>
    <col min="13" max="13" width="21.4375" customWidth="1"/>
    <col min="14" max="14" width="25.625" customWidth="1"/>
    <col min="15" max="15" width="37.1875" customWidth="1"/>
    <col min="16" max="26" width="10.5625" customWidth="1"/>
  </cols>
  <sheetData>
    <row r="1" spans="1:26" ht="20" customHeight="1">
      <c r="A1" s="27" t="s">
        <v>74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75</v>
      </c>
      <c r="B2" s="7" t="s">
        <v>76</v>
      </c>
      <c r="C2" s="7" t="s">
        <v>77</v>
      </c>
      <c r="D2" s="7" t="s">
        <v>78</v>
      </c>
      <c r="E2" s="7" t="s">
        <v>79</v>
      </c>
      <c r="F2" s="7" t="s">
        <v>80</v>
      </c>
      <c r="G2" s="7" t="s">
        <v>81</v>
      </c>
      <c r="H2" s="7" t="s">
        <v>82</v>
      </c>
      <c r="I2" s="7" t="s">
        <v>83</v>
      </c>
      <c r="J2" s="7" t="s">
        <v>84</v>
      </c>
      <c r="K2" s="7" t="s">
        <v>85</v>
      </c>
      <c r="L2" s="7" t="s">
        <v>86</v>
      </c>
      <c r="M2" s="7" t="s">
        <v>87</v>
      </c>
      <c r="N2" s="7" t="s">
        <v>8</v>
      </c>
      <c r="O2" s="14" t="s">
        <v>718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3" t="s">
        <v>88</v>
      </c>
      <c r="B3" s="3" t="s">
        <v>89</v>
      </c>
      <c r="C3" s="16" t="s">
        <v>90</v>
      </c>
      <c r="D3" s="3" t="s">
        <v>446</v>
      </c>
      <c r="E3" s="16" t="s">
        <v>447</v>
      </c>
      <c r="F3" s="16" t="s">
        <v>448</v>
      </c>
      <c r="G3" s="3" t="s">
        <v>449</v>
      </c>
      <c r="H3" s="3" t="s">
        <v>450</v>
      </c>
      <c r="I3" s="16" t="s">
        <v>396</v>
      </c>
      <c r="J3" s="16">
        <v>3</v>
      </c>
      <c r="K3" s="16">
        <v>5</v>
      </c>
      <c r="L3" s="16">
        <f t="shared" ref="L3:L8" si="0">IF(A3="","",IF(COUNTA(D3:I3)&gt;=5,1,0))</f>
        <v>1</v>
      </c>
      <c r="M3" s="21">
        <f t="shared" ref="M3:M8" si="1">IF(A3="","",IFERROR(J3*K3*L3/20,0))</f>
        <v>0.75</v>
      </c>
      <c r="N3" s="16" t="s">
        <v>719</v>
      </c>
      <c r="O3" s="24" t="s">
        <v>451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92</v>
      </c>
      <c r="B4" s="3" t="s">
        <v>452</v>
      </c>
      <c r="C4" s="16" t="s">
        <v>311</v>
      </c>
      <c r="D4" s="3" t="s">
        <v>453</v>
      </c>
      <c r="E4" s="16" t="s">
        <v>454</v>
      </c>
      <c r="F4" s="3" t="s">
        <v>455</v>
      </c>
      <c r="G4" s="3" t="s">
        <v>456</v>
      </c>
      <c r="H4" s="16" t="s">
        <v>457</v>
      </c>
      <c r="I4" s="16" t="s">
        <v>404</v>
      </c>
      <c r="J4" s="16">
        <v>3</v>
      </c>
      <c r="K4" s="16">
        <v>5</v>
      </c>
      <c r="L4" s="16">
        <f t="shared" si="0"/>
        <v>1</v>
      </c>
      <c r="M4" s="21">
        <f t="shared" si="1"/>
        <v>0.75</v>
      </c>
      <c r="N4" s="16" t="s">
        <v>719</v>
      </c>
      <c r="O4" s="24" t="s">
        <v>458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" t="s">
        <v>459</v>
      </c>
      <c r="B5" s="16" t="s">
        <v>460</v>
      </c>
      <c r="C5" s="16" t="s">
        <v>90</v>
      </c>
      <c r="D5" s="3" t="s">
        <v>461</v>
      </c>
      <c r="E5" s="16" t="s">
        <v>462</v>
      </c>
      <c r="F5" s="16" t="s">
        <v>463</v>
      </c>
      <c r="G5" s="16" t="s">
        <v>464</v>
      </c>
      <c r="H5" s="16" t="s">
        <v>465</v>
      </c>
      <c r="I5" s="16" t="s">
        <v>383</v>
      </c>
      <c r="J5" s="16">
        <v>3</v>
      </c>
      <c r="K5" s="16">
        <v>4</v>
      </c>
      <c r="L5" s="16">
        <f t="shared" si="0"/>
        <v>1</v>
      </c>
      <c r="M5" s="21">
        <f t="shared" si="1"/>
        <v>0.6</v>
      </c>
      <c r="N5" s="16" t="s">
        <v>719</v>
      </c>
      <c r="O5" s="23" t="s">
        <v>466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467</v>
      </c>
      <c r="B6" s="3" t="s">
        <v>468</v>
      </c>
      <c r="C6" s="16" t="s">
        <v>93</v>
      </c>
      <c r="D6" s="3" t="s">
        <v>469</v>
      </c>
      <c r="E6" s="16" t="s">
        <v>470</v>
      </c>
      <c r="F6" s="16" t="s">
        <v>471</v>
      </c>
      <c r="G6" s="16" t="s">
        <v>472</v>
      </c>
      <c r="H6" s="16" t="s">
        <v>720</v>
      </c>
      <c r="I6" s="16" t="s">
        <v>391</v>
      </c>
      <c r="J6" s="16">
        <v>3</v>
      </c>
      <c r="K6" s="16">
        <v>5</v>
      </c>
      <c r="L6" s="16">
        <f t="shared" si="0"/>
        <v>1</v>
      </c>
      <c r="M6" s="21">
        <f t="shared" si="1"/>
        <v>0.75</v>
      </c>
      <c r="N6" s="16" t="s">
        <v>719</v>
      </c>
      <c r="O6" s="23" t="s">
        <v>473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3" t="s">
        <v>474</v>
      </c>
      <c r="B7" s="16" t="s">
        <v>475</v>
      </c>
      <c r="C7" s="16" t="s">
        <v>93</v>
      </c>
      <c r="D7" s="3" t="s">
        <v>476</v>
      </c>
      <c r="E7" s="16" t="s">
        <v>477</v>
      </c>
      <c r="F7" s="16" t="s">
        <v>478</v>
      </c>
      <c r="G7" s="16" t="s">
        <v>479</v>
      </c>
      <c r="H7" s="16" t="s">
        <v>721</v>
      </c>
      <c r="I7" s="16" t="s">
        <v>418</v>
      </c>
      <c r="J7" s="16">
        <v>2</v>
      </c>
      <c r="K7" s="16">
        <v>3</v>
      </c>
      <c r="L7" s="16">
        <f t="shared" si="0"/>
        <v>1</v>
      </c>
      <c r="M7" s="21">
        <f t="shared" si="1"/>
        <v>0.3</v>
      </c>
      <c r="N7" s="16" t="s">
        <v>719</v>
      </c>
      <c r="O7" s="23" t="s">
        <v>480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481</v>
      </c>
      <c r="B8" s="17" t="s">
        <v>482</v>
      </c>
      <c r="C8" s="17" t="s">
        <v>483</v>
      </c>
      <c r="D8" s="4" t="s">
        <v>484</v>
      </c>
      <c r="E8" s="17" t="s">
        <v>485</v>
      </c>
      <c r="F8" s="4" t="s">
        <v>486</v>
      </c>
      <c r="G8" s="4" t="s">
        <v>487</v>
      </c>
      <c r="H8" s="17" t="s">
        <v>488</v>
      </c>
      <c r="I8" s="17" t="s">
        <v>410</v>
      </c>
      <c r="J8" s="17">
        <v>3</v>
      </c>
      <c r="K8" s="17">
        <v>4</v>
      </c>
      <c r="L8" s="17">
        <f t="shared" si="0"/>
        <v>1</v>
      </c>
      <c r="M8" s="22">
        <f t="shared" si="1"/>
        <v>0.6</v>
      </c>
      <c r="N8" s="17" t="s">
        <v>719</v>
      </c>
      <c r="O8" s="18" t="s">
        <v>489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</sheetData>
  <mergeCells count="1">
    <mergeCell ref="A1:O1"/>
  </mergeCells>
  <dataValidations count="2">
    <dataValidation type="list" sqref="J3:J8" xr:uid="{00000000-0002-0000-0200-000001000000}">
      <formula1>"1,2,3,4"</formula1>
    </dataValidation>
    <dataValidation type="list" sqref="K3:K8" xr:uid="{00000000-0002-0000-0200-000002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Справочники!$A$26:$A$35</xm:f>
          </x14:formula1>
          <xm:sqref>C3:C8</xm:sqref>
        </x14:dataValidation>
        <x14:dataValidation type="list" xr:uid="{00000000-0002-0000-0200-000003000000}">
          <x14:formula1>
            <xm:f>Справочники!$J$14:$J$18</xm:f>
          </x14:formula1>
          <xm:sqref>N3:N8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"/>
  <sheetViews>
    <sheetView workbookViewId="0"/>
  </sheetViews>
  <sheetFormatPr defaultRowHeight="13.5"/>
  <cols>
    <col min="1" max="1" width="10.9375" customWidth="1"/>
    <col min="2" max="2" width="43.4375" customWidth="1"/>
    <col min="3" max="3" width="46.625" customWidth="1"/>
    <col min="4" max="4" width="32.9375" customWidth="1"/>
    <col min="5" max="5" width="40.3125" customWidth="1"/>
    <col min="6" max="6" width="35.0625" customWidth="1"/>
    <col min="7" max="7" width="28.75" customWidth="1"/>
    <col min="8" max="8" width="29.8125" customWidth="1"/>
    <col min="9" max="9" width="21.4375" customWidth="1"/>
    <col min="10" max="10" width="32.9375" customWidth="1"/>
    <col min="11" max="11" width="25.625" customWidth="1"/>
    <col min="12" max="12" width="24.5625" customWidth="1"/>
    <col min="13" max="14" width="25.625" customWidth="1"/>
    <col min="15" max="26" width="10.5625" customWidth="1"/>
  </cols>
  <sheetData>
    <row r="1" spans="1:26" ht="20" customHeight="1">
      <c r="A1" s="27" t="s">
        <v>97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98</v>
      </c>
      <c r="B2" s="7" t="s">
        <v>99</v>
      </c>
      <c r="C2" s="7" t="s">
        <v>100</v>
      </c>
      <c r="D2" s="7" t="s">
        <v>101</v>
      </c>
      <c r="E2" s="7" t="s">
        <v>102</v>
      </c>
      <c r="F2" s="7" t="s">
        <v>103</v>
      </c>
      <c r="G2" s="7" t="s">
        <v>104</v>
      </c>
      <c r="H2" s="7" t="s">
        <v>105</v>
      </c>
      <c r="I2" s="7" t="s">
        <v>106</v>
      </c>
      <c r="J2" s="7" t="s">
        <v>107</v>
      </c>
      <c r="K2" s="7" t="s">
        <v>60</v>
      </c>
      <c r="L2" s="7" t="s">
        <v>108</v>
      </c>
      <c r="M2" s="7" t="s">
        <v>84</v>
      </c>
      <c r="N2" s="14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109</v>
      </c>
      <c r="B3" s="16" t="s">
        <v>490</v>
      </c>
      <c r="C3" s="3" t="s">
        <v>491</v>
      </c>
      <c r="D3" s="16" t="s">
        <v>492</v>
      </c>
      <c r="E3" s="16" t="s">
        <v>493</v>
      </c>
      <c r="F3" s="3" t="s">
        <v>494</v>
      </c>
      <c r="G3" s="16">
        <v>4</v>
      </c>
      <c r="H3" s="16">
        <v>5</v>
      </c>
      <c r="I3" s="16">
        <f t="shared" ref="I3:I7" si="0">IF(A3="","",IFERROR(G3*H3,""))</f>
        <v>20</v>
      </c>
      <c r="J3" s="16" t="s">
        <v>495</v>
      </c>
      <c r="K3" s="16" t="s">
        <v>430</v>
      </c>
      <c r="L3" s="16" t="s">
        <v>424</v>
      </c>
      <c r="M3" s="16">
        <v>3</v>
      </c>
      <c r="N3" s="23" t="s">
        <v>496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111</v>
      </c>
      <c r="B4" s="16" t="s">
        <v>497</v>
      </c>
      <c r="C4" s="3" t="s">
        <v>498</v>
      </c>
      <c r="D4" s="16" t="s">
        <v>499</v>
      </c>
      <c r="E4" s="3" t="s">
        <v>500</v>
      </c>
      <c r="F4" s="16" t="s">
        <v>501</v>
      </c>
      <c r="G4" s="16">
        <v>5</v>
      </c>
      <c r="H4" s="16">
        <v>3</v>
      </c>
      <c r="I4" s="16">
        <f t="shared" si="0"/>
        <v>15</v>
      </c>
      <c r="J4" s="16" t="s">
        <v>502</v>
      </c>
      <c r="K4" s="16" t="s">
        <v>430</v>
      </c>
      <c r="L4" s="16" t="s">
        <v>383</v>
      </c>
      <c r="M4" s="16">
        <v>3</v>
      </c>
      <c r="N4" s="23" t="s">
        <v>496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" t="s">
        <v>503</v>
      </c>
      <c r="B5" s="16" t="s">
        <v>504</v>
      </c>
      <c r="C5" s="3" t="s">
        <v>505</v>
      </c>
      <c r="D5" s="16" t="s">
        <v>506</v>
      </c>
      <c r="E5" s="16" t="s">
        <v>507</v>
      </c>
      <c r="F5" s="16" t="s">
        <v>508</v>
      </c>
      <c r="G5" s="16">
        <v>3</v>
      </c>
      <c r="H5" s="16">
        <v>4</v>
      </c>
      <c r="I5" s="16">
        <f t="shared" si="0"/>
        <v>12</v>
      </c>
      <c r="J5" s="16" t="s">
        <v>509</v>
      </c>
      <c r="K5" s="16" t="s">
        <v>430</v>
      </c>
      <c r="L5" s="16" t="s">
        <v>410</v>
      </c>
      <c r="M5" s="16">
        <v>3</v>
      </c>
      <c r="N5" s="23" t="s">
        <v>719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510</v>
      </c>
      <c r="B6" s="3" t="s">
        <v>511</v>
      </c>
      <c r="C6" s="3" t="s">
        <v>512</v>
      </c>
      <c r="D6" s="16" t="s">
        <v>513</v>
      </c>
      <c r="E6" s="16" t="s">
        <v>514</v>
      </c>
      <c r="F6" s="16" t="s">
        <v>515</v>
      </c>
      <c r="G6" s="16">
        <v>3</v>
      </c>
      <c r="H6" s="16">
        <v>3</v>
      </c>
      <c r="I6" s="16">
        <f t="shared" si="0"/>
        <v>9</v>
      </c>
      <c r="J6" s="16" t="s">
        <v>516</v>
      </c>
      <c r="K6" s="16" t="s">
        <v>430</v>
      </c>
      <c r="L6" s="16" t="s">
        <v>439</v>
      </c>
      <c r="M6" s="16">
        <v>2</v>
      </c>
      <c r="N6" s="23" t="s">
        <v>719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517</v>
      </c>
      <c r="B7" s="17" t="s">
        <v>518</v>
      </c>
      <c r="C7" s="4" t="s">
        <v>519</v>
      </c>
      <c r="D7" s="17" t="s">
        <v>520</v>
      </c>
      <c r="E7" s="17" t="s">
        <v>521</v>
      </c>
      <c r="F7" s="17" t="s">
        <v>522</v>
      </c>
      <c r="G7" s="17">
        <v>4</v>
      </c>
      <c r="H7" s="17">
        <v>2</v>
      </c>
      <c r="I7" s="17">
        <f t="shared" si="0"/>
        <v>8</v>
      </c>
      <c r="J7" s="17" t="s">
        <v>523</v>
      </c>
      <c r="K7" s="17" t="s">
        <v>282</v>
      </c>
      <c r="L7" s="17" t="s">
        <v>418</v>
      </c>
      <c r="M7" s="17">
        <v>2</v>
      </c>
      <c r="N7" s="18" t="s">
        <v>719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</sheetData>
  <mergeCells count="1">
    <mergeCell ref="A1:N1"/>
  </mergeCells>
  <dataValidations count="2">
    <dataValidation type="list" sqref="G3:H7" xr:uid="{00000000-0002-0000-0300-000001000000}">
      <formula1>"1,2,3,4,5"</formula1>
    </dataValidation>
    <dataValidation type="list" sqref="M3:M7" xr:uid="{00000000-0002-0000-0300-000003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300-000000000000}">
          <x14:formula1>
            <xm:f>Справочники!$J$3:$J$11</xm:f>
          </x14:formula1>
          <xm:sqref>B3:B7</xm:sqref>
        </x14:dataValidation>
        <x14:dataValidation type="list" xr:uid="{00000000-0002-0000-0300-000002000000}">
          <x14:formula1>
            <xm:f>Справочники!$D$3:$D$11</xm:f>
          </x14:formula1>
          <xm:sqref>K3:K7</xm:sqref>
        </x14:dataValidation>
        <x14:dataValidation type="list" xr:uid="{00000000-0002-0000-0300-000004000000}">
          <x14:formula1>
            <xm:f>Справочники!$J$14:$J$18</xm:f>
          </x14:formula1>
          <xm:sqref>N3:N7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2"/>
  <sheetViews>
    <sheetView workbookViewId="0"/>
  </sheetViews>
  <sheetFormatPr defaultRowHeight="13.5"/>
  <cols>
    <col min="1" max="1" width="15.125" customWidth="1"/>
    <col min="2" max="2" width="44.5" customWidth="1"/>
    <col min="3" max="3" width="30.875" customWidth="1"/>
    <col min="4" max="4" width="22.4375" customWidth="1"/>
    <col min="5" max="5" width="19.3125" customWidth="1"/>
    <col min="6" max="6" width="39.25" customWidth="1"/>
    <col min="7" max="7" width="42.4375" customWidth="1"/>
    <col min="8" max="8" width="43.4375" customWidth="1"/>
    <col min="9" max="9" width="52.5625" customWidth="1"/>
    <col min="10" max="10" width="47.6875" customWidth="1"/>
    <col min="11" max="11" width="30.875" customWidth="1"/>
    <col min="12" max="12" width="37.1875" customWidth="1"/>
    <col min="13" max="13" width="23.5" customWidth="1"/>
    <col min="14" max="15" width="29.8125" customWidth="1"/>
    <col min="16" max="16" width="28.75" customWidth="1"/>
    <col min="17" max="17" width="25.625" customWidth="1"/>
    <col min="18" max="18" width="19.3125" customWidth="1"/>
    <col min="19" max="19" width="15.125" customWidth="1"/>
    <col min="20" max="20" width="25.625" customWidth="1"/>
    <col min="21" max="21" width="20.375" customWidth="1"/>
    <col min="22" max="26" width="10.5625" customWidth="1"/>
  </cols>
  <sheetData>
    <row r="1" spans="1:26" ht="20" customHeight="1">
      <c r="A1" s="27" t="s">
        <v>722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8"/>
      <c r="V1" s="1"/>
      <c r="W1" s="1"/>
      <c r="X1" s="1"/>
      <c r="Y1" s="1"/>
      <c r="Z1" s="1"/>
    </row>
    <row r="2" spans="1:26" ht="14.25">
      <c r="A2" s="7" t="s">
        <v>112</v>
      </c>
      <c r="B2" s="7" t="s">
        <v>113</v>
      </c>
      <c r="C2" s="7" t="s">
        <v>114</v>
      </c>
      <c r="D2" s="7" t="s">
        <v>1</v>
      </c>
      <c r="E2" s="7" t="s">
        <v>115</v>
      </c>
      <c r="F2" s="7" t="s">
        <v>116</v>
      </c>
      <c r="G2" s="7" t="s">
        <v>117</v>
      </c>
      <c r="H2" s="7" t="s">
        <v>118</v>
      </c>
      <c r="I2" s="7" t="s">
        <v>119</v>
      </c>
      <c r="J2" s="7" t="s">
        <v>120</v>
      </c>
      <c r="K2" s="7" t="s">
        <v>121</v>
      </c>
      <c r="L2" s="7" t="s">
        <v>122</v>
      </c>
      <c r="M2" s="7" t="s">
        <v>73</v>
      </c>
      <c r="N2" s="7" t="s">
        <v>105</v>
      </c>
      <c r="O2" s="7" t="s">
        <v>123</v>
      </c>
      <c r="P2" s="7" t="s">
        <v>124</v>
      </c>
      <c r="Q2" s="7" t="s">
        <v>84</v>
      </c>
      <c r="R2" s="7" t="s">
        <v>125</v>
      </c>
      <c r="S2" s="7" t="s">
        <v>126</v>
      </c>
      <c r="T2" s="7" t="s">
        <v>8</v>
      </c>
      <c r="U2" s="14" t="s">
        <v>127</v>
      </c>
      <c r="V2" s="2"/>
      <c r="W2" s="2"/>
      <c r="X2" s="2"/>
      <c r="Y2" s="2"/>
      <c r="Z2" s="2"/>
    </row>
    <row r="3" spans="1:26" ht="14.25">
      <c r="A3" s="3" t="s">
        <v>128</v>
      </c>
      <c r="B3" s="3" t="s">
        <v>524</v>
      </c>
      <c r="C3" s="16" t="s">
        <v>490</v>
      </c>
      <c r="D3" s="16" t="s">
        <v>129</v>
      </c>
      <c r="E3" s="16" t="s">
        <v>130</v>
      </c>
      <c r="F3" s="16" t="s">
        <v>525</v>
      </c>
      <c r="G3" s="16" t="s">
        <v>526</v>
      </c>
      <c r="H3" s="3" t="s">
        <v>527</v>
      </c>
      <c r="I3" s="3" t="s">
        <v>528</v>
      </c>
      <c r="J3" s="3" t="s">
        <v>723</v>
      </c>
      <c r="K3" s="16" t="s">
        <v>529</v>
      </c>
      <c r="L3" s="16" t="s">
        <v>530</v>
      </c>
      <c r="M3" s="16" t="s">
        <v>531</v>
      </c>
      <c r="N3" s="16">
        <v>5</v>
      </c>
      <c r="O3" s="16">
        <v>5</v>
      </c>
      <c r="P3" s="16">
        <v>4</v>
      </c>
      <c r="Q3" s="16">
        <v>3</v>
      </c>
      <c r="R3" s="21">
        <f t="shared" ref="R3:R12" si="0">IF(A3="","",IFERROR(N3*O3*P3*Q3/20,0))</f>
        <v>15</v>
      </c>
      <c r="S3" s="16" t="str">
        <f t="shared" ref="S3:S12" si="1">IF(R3="","",IF(R3&gt;=15,"Критический",IF(R3&gt;=9,"Высокий",IF(R3&gt;=5,"Средний",IF(R3&gt;=2,"Низкий","Отложить")))))</f>
        <v>Критический</v>
      </c>
      <c r="T3" s="16" t="s">
        <v>719</v>
      </c>
      <c r="U3" s="23" t="s">
        <v>64</v>
      </c>
      <c r="V3" s="2"/>
      <c r="W3" s="2"/>
      <c r="X3" s="2"/>
      <c r="Y3" s="2"/>
      <c r="Z3" s="2"/>
    </row>
    <row r="4" spans="1:26" ht="14.25">
      <c r="A4" s="3" t="s">
        <v>131</v>
      </c>
      <c r="B4" s="3" t="s">
        <v>532</v>
      </c>
      <c r="C4" s="16" t="s">
        <v>490</v>
      </c>
      <c r="D4" s="16" t="s">
        <v>139</v>
      </c>
      <c r="E4" s="16" t="s">
        <v>130</v>
      </c>
      <c r="F4" s="16" t="s">
        <v>533</v>
      </c>
      <c r="G4" s="16" t="s">
        <v>534</v>
      </c>
      <c r="H4" s="16" t="s">
        <v>535</v>
      </c>
      <c r="I4" s="3" t="s">
        <v>536</v>
      </c>
      <c r="J4" s="16" t="s">
        <v>537</v>
      </c>
      <c r="K4" s="16" t="s">
        <v>538</v>
      </c>
      <c r="L4" s="16" t="s">
        <v>539</v>
      </c>
      <c r="M4" s="16" t="s">
        <v>540</v>
      </c>
      <c r="N4" s="16">
        <v>5</v>
      </c>
      <c r="O4" s="16">
        <v>4</v>
      </c>
      <c r="P4" s="16">
        <v>4</v>
      </c>
      <c r="Q4" s="16">
        <v>3</v>
      </c>
      <c r="R4" s="21">
        <f t="shared" si="0"/>
        <v>12</v>
      </c>
      <c r="S4" s="16" t="str">
        <f t="shared" si="1"/>
        <v>Высокий</v>
      </c>
      <c r="T4" s="16" t="s">
        <v>719</v>
      </c>
      <c r="U4" s="23" t="s">
        <v>64</v>
      </c>
      <c r="V4" s="2"/>
      <c r="W4" s="2"/>
      <c r="X4" s="2"/>
      <c r="Y4" s="2"/>
      <c r="Z4" s="2"/>
    </row>
    <row r="5" spans="1:26" ht="14.25">
      <c r="A5" s="3" t="s">
        <v>541</v>
      </c>
      <c r="B5" s="16" t="s">
        <v>542</v>
      </c>
      <c r="C5" s="16" t="s">
        <v>497</v>
      </c>
      <c r="D5" s="16" t="s">
        <v>133</v>
      </c>
      <c r="E5" s="16" t="s">
        <v>134</v>
      </c>
      <c r="F5" s="16" t="s">
        <v>543</v>
      </c>
      <c r="G5" s="16" t="s">
        <v>544</v>
      </c>
      <c r="H5" s="16" t="s">
        <v>545</v>
      </c>
      <c r="I5" s="3" t="s">
        <v>724</v>
      </c>
      <c r="J5" s="3" t="s">
        <v>725</v>
      </c>
      <c r="K5" s="16" t="s">
        <v>546</v>
      </c>
      <c r="L5" s="16" t="s">
        <v>547</v>
      </c>
      <c r="M5" s="16" t="s">
        <v>548</v>
      </c>
      <c r="N5" s="16">
        <v>4</v>
      </c>
      <c r="O5" s="16">
        <v>5</v>
      </c>
      <c r="P5" s="16">
        <v>5</v>
      </c>
      <c r="Q5" s="16">
        <v>3</v>
      </c>
      <c r="R5" s="21">
        <f t="shared" si="0"/>
        <v>15</v>
      </c>
      <c r="S5" s="16" t="str">
        <f t="shared" si="1"/>
        <v>Критический</v>
      </c>
      <c r="T5" s="16" t="s">
        <v>719</v>
      </c>
      <c r="U5" s="23" t="s">
        <v>64</v>
      </c>
      <c r="V5" s="2"/>
      <c r="W5" s="2"/>
      <c r="X5" s="2"/>
      <c r="Y5" s="2"/>
      <c r="Z5" s="2"/>
    </row>
    <row r="6" spans="1:26" ht="14.25">
      <c r="A6" s="3" t="s">
        <v>549</v>
      </c>
      <c r="B6" s="3" t="s">
        <v>550</v>
      </c>
      <c r="C6" s="16" t="s">
        <v>490</v>
      </c>
      <c r="D6" s="16" t="s">
        <v>133</v>
      </c>
      <c r="E6" s="16" t="s">
        <v>134</v>
      </c>
      <c r="F6" s="3" t="s">
        <v>551</v>
      </c>
      <c r="G6" s="16" t="s">
        <v>552</v>
      </c>
      <c r="H6" s="16" t="s">
        <v>553</v>
      </c>
      <c r="I6" s="3" t="s">
        <v>726</v>
      </c>
      <c r="J6" s="16" t="s">
        <v>554</v>
      </c>
      <c r="K6" s="16" t="s">
        <v>555</v>
      </c>
      <c r="L6" s="16" t="s">
        <v>556</v>
      </c>
      <c r="M6" s="16" t="s">
        <v>557</v>
      </c>
      <c r="N6" s="16">
        <v>4</v>
      </c>
      <c r="O6" s="16">
        <v>4</v>
      </c>
      <c r="P6" s="16">
        <v>5</v>
      </c>
      <c r="Q6" s="16">
        <v>3</v>
      </c>
      <c r="R6" s="21">
        <f t="shared" si="0"/>
        <v>12</v>
      </c>
      <c r="S6" s="16" t="str">
        <f t="shared" si="1"/>
        <v>Высокий</v>
      </c>
      <c r="T6" s="16" t="s">
        <v>719</v>
      </c>
      <c r="U6" s="23" t="s">
        <v>64</v>
      </c>
      <c r="V6" s="2"/>
      <c r="W6" s="2"/>
      <c r="X6" s="2"/>
      <c r="Y6" s="2"/>
      <c r="Z6" s="2"/>
    </row>
    <row r="7" spans="1:26" ht="14.25">
      <c r="A7" s="3" t="s">
        <v>558</v>
      </c>
      <c r="B7" s="3" t="s">
        <v>559</v>
      </c>
      <c r="C7" s="16" t="s">
        <v>490</v>
      </c>
      <c r="D7" s="16" t="s">
        <v>129</v>
      </c>
      <c r="E7" s="16" t="s">
        <v>130</v>
      </c>
      <c r="F7" s="3" t="s">
        <v>560</v>
      </c>
      <c r="G7" s="3" t="s">
        <v>561</v>
      </c>
      <c r="H7" s="16" t="s">
        <v>562</v>
      </c>
      <c r="I7" s="3" t="s">
        <v>563</v>
      </c>
      <c r="J7" s="3" t="s">
        <v>727</v>
      </c>
      <c r="K7" s="16" t="s">
        <v>564</v>
      </c>
      <c r="L7" s="16" t="s">
        <v>143</v>
      </c>
      <c r="M7" s="16" t="s">
        <v>557</v>
      </c>
      <c r="N7" s="16">
        <v>5</v>
      </c>
      <c r="O7" s="16">
        <v>5</v>
      </c>
      <c r="P7" s="16">
        <v>4</v>
      </c>
      <c r="Q7" s="16">
        <v>2</v>
      </c>
      <c r="R7" s="21">
        <f t="shared" si="0"/>
        <v>10</v>
      </c>
      <c r="S7" s="16" t="str">
        <f t="shared" si="1"/>
        <v>Высокий</v>
      </c>
      <c r="T7" s="16" t="s">
        <v>719</v>
      </c>
      <c r="U7" s="23" t="s">
        <v>64</v>
      </c>
      <c r="V7" s="2"/>
      <c r="W7" s="2"/>
      <c r="X7" s="2"/>
      <c r="Y7" s="2"/>
      <c r="Z7" s="2"/>
    </row>
    <row r="8" spans="1:26" ht="14.25">
      <c r="A8" s="3" t="s">
        <v>565</v>
      </c>
      <c r="B8" s="16" t="s">
        <v>566</v>
      </c>
      <c r="C8" s="16" t="s">
        <v>497</v>
      </c>
      <c r="D8" s="16" t="s">
        <v>129</v>
      </c>
      <c r="E8" s="16" t="s">
        <v>130</v>
      </c>
      <c r="F8" s="3" t="s">
        <v>567</v>
      </c>
      <c r="G8" s="3" t="s">
        <v>568</v>
      </c>
      <c r="H8" s="16" t="s">
        <v>569</v>
      </c>
      <c r="I8" s="3" t="s">
        <v>570</v>
      </c>
      <c r="J8" s="3" t="s">
        <v>728</v>
      </c>
      <c r="K8" s="16" t="s">
        <v>571</v>
      </c>
      <c r="L8" s="3" t="s">
        <v>572</v>
      </c>
      <c r="M8" s="16" t="s">
        <v>548</v>
      </c>
      <c r="N8" s="16">
        <v>3</v>
      </c>
      <c r="O8" s="16">
        <v>4</v>
      </c>
      <c r="P8" s="16">
        <v>4</v>
      </c>
      <c r="Q8" s="16">
        <v>2</v>
      </c>
      <c r="R8" s="21">
        <f t="shared" si="0"/>
        <v>4.8</v>
      </c>
      <c r="S8" s="16" t="str">
        <f t="shared" si="1"/>
        <v>Низкий</v>
      </c>
      <c r="T8" s="16" t="s">
        <v>719</v>
      </c>
      <c r="U8" s="23" t="s">
        <v>64</v>
      </c>
      <c r="V8" s="2"/>
      <c r="W8" s="2"/>
      <c r="X8" s="2"/>
      <c r="Y8" s="2"/>
      <c r="Z8" s="2"/>
    </row>
    <row r="9" spans="1:26" ht="14.25">
      <c r="A9" s="3" t="s">
        <v>573</v>
      </c>
      <c r="B9" s="3" t="s">
        <v>574</v>
      </c>
      <c r="C9" s="16" t="s">
        <v>497</v>
      </c>
      <c r="D9" s="16" t="s">
        <v>129</v>
      </c>
      <c r="E9" s="16" t="s">
        <v>130</v>
      </c>
      <c r="F9" s="3" t="s">
        <v>575</v>
      </c>
      <c r="G9" s="16" t="s">
        <v>576</v>
      </c>
      <c r="H9" s="16" t="s">
        <v>577</v>
      </c>
      <c r="I9" s="3" t="s">
        <v>578</v>
      </c>
      <c r="J9" s="3" t="s">
        <v>729</v>
      </c>
      <c r="K9" s="16" t="s">
        <v>579</v>
      </c>
      <c r="L9" s="3" t="s">
        <v>580</v>
      </c>
      <c r="M9" s="16" t="s">
        <v>548</v>
      </c>
      <c r="N9" s="16">
        <v>3</v>
      </c>
      <c r="O9" s="16">
        <v>4</v>
      </c>
      <c r="P9" s="16">
        <v>4</v>
      </c>
      <c r="Q9" s="16">
        <v>2</v>
      </c>
      <c r="R9" s="21">
        <f t="shared" si="0"/>
        <v>4.8</v>
      </c>
      <c r="S9" s="16" t="str">
        <f t="shared" si="1"/>
        <v>Низкий</v>
      </c>
      <c r="T9" s="16" t="s">
        <v>719</v>
      </c>
      <c r="U9" s="23" t="s">
        <v>64</v>
      </c>
      <c r="V9" s="2"/>
      <c r="W9" s="2"/>
      <c r="X9" s="2"/>
      <c r="Y9" s="2"/>
      <c r="Z9" s="2"/>
    </row>
    <row r="10" spans="1:26" ht="14.25">
      <c r="A10" s="3" t="s">
        <v>581</v>
      </c>
      <c r="B10" s="3" t="s">
        <v>582</v>
      </c>
      <c r="C10" s="16" t="s">
        <v>518</v>
      </c>
      <c r="D10" s="16" t="s">
        <v>140</v>
      </c>
      <c r="E10" s="16" t="s">
        <v>299</v>
      </c>
      <c r="F10" s="16" t="s">
        <v>583</v>
      </c>
      <c r="G10" s="16" t="s">
        <v>584</v>
      </c>
      <c r="H10" s="16" t="s">
        <v>585</v>
      </c>
      <c r="I10" s="3" t="s">
        <v>586</v>
      </c>
      <c r="J10" s="16" t="s">
        <v>587</v>
      </c>
      <c r="K10" s="16" t="s">
        <v>588</v>
      </c>
      <c r="L10" s="16" t="s">
        <v>589</v>
      </c>
      <c r="M10" s="16" t="s">
        <v>590</v>
      </c>
      <c r="N10" s="16">
        <v>2</v>
      </c>
      <c r="O10" s="16">
        <v>3</v>
      </c>
      <c r="P10" s="16">
        <v>3</v>
      </c>
      <c r="Q10" s="16">
        <v>2</v>
      </c>
      <c r="R10" s="21">
        <f t="shared" si="0"/>
        <v>1.8</v>
      </c>
      <c r="S10" s="16" t="str">
        <f t="shared" si="1"/>
        <v>Отложить</v>
      </c>
      <c r="T10" s="16" t="s">
        <v>719</v>
      </c>
      <c r="U10" s="23" t="s">
        <v>64</v>
      </c>
      <c r="V10" s="2"/>
      <c r="W10" s="2"/>
      <c r="X10" s="2"/>
      <c r="Y10" s="2"/>
      <c r="Z10" s="2"/>
    </row>
    <row r="11" spans="1:26" ht="14.25">
      <c r="A11" s="3" t="s">
        <v>591</v>
      </c>
      <c r="B11" s="16" t="s">
        <v>592</v>
      </c>
      <c r="C11" s="16" t="s">
        <v>518</v>
      </c>
      <c r="D11" s="16" t="s">
        <v>133</v>
      </c>
      <c r="E11" s="16" t="s">
        <v>134</v>
      </c>
      <c r="F11" s="16" t="s">
        <v>593</v>
      </c>
      <c r="G11" s="16" t="s">
        <v>594</v>
      </c>
      <c r="H11" s="16" t="s">
        <v>595</v>
      </c>
      <c r="I11" s="3" t="s">
        <v>730</v>
      </c>
      <c r="J11" s="16" t="s">
        <v>596</v>
      </c>
      <c r="K11" s="16" t="s">
        <v>597</v>
      </c>
      <c r="L11" s="16" t="s">
        <v>598</v>
      </c>
      <c r="M11" s="16" t="s">
        <v>590</v>
      </c>
      <c r="N11" s="16">
        <v>2</v>
      </c>
      <c r="O11" s="16">
        <v>3</v>
      </c>
      <c r="P11" s="16">
        <v>4</v>
      </c>
      <c r="Q11" s="16">
        <v>2</v>
      </c>
      <c r="R11" s="21">
        <f t="shared" si="0"/>
        <v>2.4</v>
      </c>
      <c r="S11" s="16" t="str">
        <f t="shared" si="1"/>
        <v>Низкий</v>
      </c>
      <c r="T11" s="16" t="s">
        <v>719</v>
      </c>
      <c r="U11" s="23" t="s">
        <v>64</v>
      </c>
      <c r="V11" s="2"/>
      <c r="W11" s="2"/>
      <c r="X11" s="2"/>
      <c r="Y11" s="2"/>
      <c r="Z11" s="2"/>
    </row>
    <row r="12" spans="1:26" ht="14.25">
      <c r="A12" s="4" t="s">
        <v>599</v>
      </c>
      <c r="B12" s="17" t="s">
        <v>600</v>
      </c>
      <c r="C12" s="17" t="s">
        <v>504</v>
      </c>
      <c r="D12" s="17" t="s">
        <v>142</v>
      </c>
      <c r="E12" s="17" t="s">
        <v>299</v>
      </c>
      <c r="F12" s="17" t="s">
        <v>601</v>
      </c>
      <c r="G12" s="17" t="s">
        <v>602</v>
      </c>
      <c r="H12" s="17" t="s">
        <v>603</v>
      </c>
      <c r="I12" s="4" t="s">
        <v>604</v>
      </c>
      <c r="J12" s="4" t="s">
        <v>731</v>
      </c>
      <c r="K12" s="17" t="s">
        <v>605</v>
      </c>
      <c r="L12" s="17" t="s">
        <v>606</v>
      </c>
      <c r="M12" s="17" t="s">
        <v>607</v>
      </c>
      <c r="N12" s="17">
        <v>2</v>
      </c>
      <c r="O12" s="17">
        <v>4</v>
      </c>
      <c r="P12" s="17">
        <v>2</v>
      </c>
      <c r="Q12" s="17">
        <v>3</v>
      </c>
      <c r="R12" s="22">
        <f t="shared" si="0"/>
        <v>2.4</v>
      </c>
      <c r="S12" s="17" t="str">
        <f t="shared" si="1"/>
        <v>Низкий</v>
      </c>
      <c r="T12" s="17" t="s">
        <v>719</v>
      </c>
      <c r="U12" s="18" t="s">
        <v>64</v>
      </c>
      <c r="V12" s="2"/>
      <c r="W12" s="2"/>
      <c r="X12" s="2"/>
      <c r="Y12" s="2"/>
      <c r="Z12" s="2"/>
    </row>
  </sheetData>
  <mergeCells count="1">
    <mergeCell ref="A1:U1"/>
  </mergeCells>
  <dataValidations count="2">
    <dataValidation type="list" sqref="N3:Q12" xr:uid="{00000000-0002-0000-0400-000003000000}">
      <formula1>"1,2,3,4,5"</formula1>
    </dataValidation>
    <dataValidation type="list" sqref="Q3:Q12" xr:uid="{00000000-0002-0000-0400-000004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400-000000000000}">
          <x14:formula1>
            <xm:f>Справочники!$J$3:$J$11</xm:f>
          </x14:formula1>
          <xm:sqref>C3:C12</xm:sqref>
        </x14:dataValidation>
        <x14:dataValidation type="list" xr:uid="{00000000-0002-0000-0400-000001000000}">
          <x14:formula1>
            <xm:f>Справочники!$A$14:$A$24</xm:f>
          </x14:formula1>
          <xm:sqref>D3:D12</xm:sqref>
        </x14:dataValidation>
        <x14:dataValidation type="list" xr:uid="{00000000-0002-0000-0400-000002000000}">
          <x14:formula1>
            <xm:f>Справочники!$D$14:$D$20</xm:f>
          </x14:formula1>
          <xm:sqref>E3:E12</xm:sqref>
        </x14:dataValidation>
        <x14:dataValidation type="list" xr:uid="{00000000-0002-0000-0400-000005000000}">
          <x14:formula1>
            <xm:f>Справочники!$J$14:$J$18</xm:f>
          </x14:formula1>
          <xm:sqref>T3:T12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2"/>
  <sheetViews>
    <sheetView workbookViewId="0"/>
  </sheetViews>
  <sheetFormatPr defaultRowHeight="13.5"/>
  <cols>
    <col min="1" max="1" width="15.125" customWidth="1"/>
    <col min="2" max="2" width="30.875" customWidth="1"/>
    <col min="3" max="3" width="44.5" customWidth="1"/>
    <col min="4" max="4" width="19.3125" customWidth="1"/>
    <col min="5" max="5" width="21.4375" customWidth="1"/>
    <col min="6" max="6" width="31.9375" customWidth="1"/>
    <col min="7" max="7" width="15.125" customWidth="1"/>
    <col min="8" max="8" width="30.875" customWidth="1"/>
    <col min="9" max="9" width="18.25" customWidth="1"/>
    <col min="10" max="10" width="27.6875" customWidth="1"/>
    <col min="11" max="11" width="13" customWidth="1"/>
    <col min="12" max="12" width="20.375" customWidth="1"/>
    <col min="13" max="13" width="47.6875" customWidth="1"/>
    <col min="14" max="14" width="22.4375" customWidth="1"/>
    <col min="15" max="15" width="15.125" customWidth="1"/>
    <col min="16" max="26" width="10.5625" customWidth="1"/>
  </cols>
  <sheetData>
    <row r="1" spans="1:26" ht="20" customHeight="1">
      <c r="A1" s="27" t="s">
        <v>135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112</v>
      </c>
      <c r="B2" s="7" t="s">
        <v>114</v>
      </c>
      <c r="C2" s="7" t="s">
        <v>136</v>
      </c>
      <c r="D2" s="7" t="s">
        <v>137</v>
      </c>
      <c r="E2" s="7" t="s">
        <v>138</v>
      </c>
      <c r="F2" s="7" t="s">
        <v>139</v>
      </c>
      <c r="G2" s="7" t="s">
        <v>140</v>
      </c>
      <c r="H2" s="7" t="s">
        <v>129</v>
      </c>
      <c r="I2" s="7" t="s">
        <v>133</v>
      </c>
      <c r="J2" s="7" t="s">
        <v>141</v>
      </c>
      <c r="K2" s="7" t="s">
        <v>142</v>
      </c>
      <c r="L2" s="7" t="s">
        <v>143</v>
      </c>
      <c r="M2" s="7" t="s">
        <v>144</v>
      </c>
      <c r="N2" s="7" t="s">
        <v>145</v>
      </c>
      <c r="O2" s="14" t="s">
        <v>63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128</v>
      </c>
      <c r="B3" s="16" t="s">
        <v>490</v>
      </c>
      <c r="C3" s="3" t="s">
        <v>524</v>
      </c>
      <c r="D3" s="16" t="s">
        <v>608</v>
      </c>
      <c r="E3" s="16" t="s">
        <v>146</v>
      </c>
      <c r="F3" s="16" t="s">
        <v>609</v>
      </c>
      <c r="G3" s="16" t="s">
        <v>610</v>
      </c>
      <c r="H3" s="16" t="s">
        <v>529</v>
      </c>
      <c r="I3" s="16" t="s">
        <v>611</v>
      </c>
      <c r="J3" s="16" t="s">
        <v>612</v>
      </c>
      <c r="K3" s="16" t="s">
        <v>613</v>
      </c>
      <c r="L3" s="16" t="s">
        <v>614</v>
      </c>
      <c r="M3" s="3" t="s">
        <v>723</v>
      </c>
      <c r="N3" s="16" t="s">
        <v>129</v>
      </c>
      <c r="O3" s="23" t="s">
        <v>615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131</v>
      </c>
      <c r="B4" s="16" t="s">
        <v>490</v>
      </c>
      <c r="C4" s="3" t="s">
        <v>532</v>
      </c>
      <c r="D4" s="16" t="s">
        <v>608</v>
      </c>
      <c r="E4" s="16" t="s">
        <v>146</v>
      </c>
      <c r="F4" s="16" t="s">
        <v>609</v>
      </c>
      <c r="G4" s="16" t="s">
        <v>610</v>
      </c>
      <c r="H4" s="16" t="s">
        <v>538</v>
      </c>
      <c r="I4" s="16" t="s">
        <v>611</v>
      </c>
      <c r="J4" s="16" t="s">
        <v>612</v>
      </c>
      <c r="K4" s="16" t="s">
        <v>613</v>
      </c>
      <c r="L4" s="16" t="s">
        <v>614</v>
      </c>
      <c r="M4" s="16" t="s">
        <v>537</v>
      </c>
      <c r="N4" s="16" t="s">
        <v>139</v>
      </c>
      <c r="O4" s="23" t="s">
        <v>615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" t="s">
        <v>541</v>
      </c>
      <c r="B5" s="16" t="s">
        <v>497</v>
      </c>
      <c r="C5" s="16" t="s">
        <v>542</v>
      </c>
      <c r="D5" s="16" t="s">
        <v>608</v>
      </c>
      <c r="E5" s="16" t="s">
        <v>146</v>
      </c>
      <c r="F5" s="16" t="s">
        <v>609</v>
      </c>
      <c r="G5" s="16" t="s">
        <v>610</v>
      </c>
      <c r="H5" s="16" t="s">
        <v>546</v>
      </c>
      <c r="I5" s="16" t="s">
        <v>616</v>
      </c>
      <c r="J5" s="16" t="s">
        <v>612</v>
      </c>
      <c r="K5" s="16" t="s">
        <v>613</v>
      </c>
      <c r="L5" s="16" t="s">
        <v>614</v>
      </c>
      <c r="M5" s="3" t="s">
        <v>725</v>
      </c>
      <c r="N5" s="16" t="s">
        <v>133</v>
      </c>
      <c r="O5" s="23" t="s">
        <v>615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549</v>
      </c>
      <c r="B6" s="16" t="s">
        <v>490</v>
      </c>
      <c r="C6" s="3" t="s">
        <v>550</v>
      </c>
      <c r="D6" s="16" t="s">
        <v>608</v>
      </c>
      <c r="E6" s="16" t="s">
        <v>146</v>
      </c>
      <c r="F6" s="16" t="s">
        <v>609</v>
      </c>
      <c r="G6" s="16" t="s">
        <v>610</v>
      </c>
      <c r="H6" s="16" t="s">
        <v>555</v>
      </c>
      <c r="I6" s="16" t="s">
        <v>616</v>
      </c>
      <c r="J6" s="16" t="s">
        <v>612</v>
      </c>
      <c r="K6" s="16" t="s">
        <v>613</v>
      </c>
      <c r="L6" s="16" t="s">
        <v>614</v>
      </c>
      <c r="M6" s="16" t="s">
        <v>554</v>
      </c>
      <c r="N6" s="16" t="s">
        <v>133</v>
      </c>
      <c r="O6" s="23" t="s">
        <v>615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3" t="s">
        <v>558</v>
      </c>
      <c r="B7" s="16" t="s">
        <v>490</v>
      </c>
      <c r="C7" s="3" t="s">
        <v>559</v>
      </c>
      <c r="D7" s="16" t="s">
        <v>608</v>
      </c>
      <c r="E7" s="16" t="s">
        <v>146</v>
      </c>
      <c r="F7" s="16" t="s">
        <v>609</v>
      </c>
      <c r="G7" s="16" t="s">
        <v>610</v>
      </c>
      <c r="H7" s="16" t="s">
        <v>564</v>
      </c>
      <c r="I7" s="16" t="s">
        <v>611</v>
      </c>
      <c r="J7" s="16" t="s">
        <v>612</v>
      </c>
      <c r="K7" s="16" t="s">
        <v>613</v>
      </c>
      <c r="L7" s="16" t="s">
        <v>614</v>
      </c>
      <c r="M7" s="3" t="s">
        <v>727</v>
      </c>
      <c r="N7" s="16" t="s">
        <v>129</v>
      </c>
      <c r="O7" s="23" t="s">
        <v>615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3" t="s">
        <v>565</v>
      </c>
      <c r="B8" s="16" t="s">
        <v>497</v>
      </c>
      <c r="C8" s="16" t="s">
        <v>566</v>
      </c>
      <c r="D8" s="16" t="s">
        <v>608</v>
      </c>
      <c r="E8" s="16" t="s">
        <v>146</v>
      </c>
      <c r="F8" s="16" t="s">
        <v>609</v>
      </c>
      <c r="G8" s="16" t="s">
        <v>610</v>
      </c>
      <c r="H8" s="16" t="s">
        <v>571</v>
      </c>
      <c r="I8" s="16" t="s">
        <v>611</v>
      </c>
      <c r="J8" s="16" t="s">
        <v>612</v>
      </c>
      <c r="K8" s="16" t="s">
        <v>613</v>
      </c>
      <c r="L8" s="16" t="s">
        <v>614</v>
      </c>
      <c r="M8" s="3" t="s">
        <v>728</v>
      </c>
      <c r="N8" s="16" t="s">
        <v>129</v>
      </c>
      <c r="O8" s="23" t="s">
        <v>615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3" t="s">
        <v>573</v>
      </c>
      <c r="B9" s="16" t="s">
        <v>497</v>
      </c>
      <c r="C9" s="3" t="s">
        <v>574</v>
      </c>
      <c r="D9" s="16" t="s">
        <v>608</v>
      </c>
      <c r="E9" s="16" t="s">
        <v>146</v>
      </c>
      <c r="F9" s="16" t="s">
        <v>609</v>
      </c>
      <c r="G9" s="16" t="s">
        <v>610</v>
      </c>
      <c r="H9" s="16" t="s">
        <v>579</v>
      </c>
      <c r="I9" s="16" t="s">
        <v>611</v>
      </c>
      <c r="J9" s="16" t="s">
        <v>612</v>
      </c>
      <c r="K9" s="16" t="s">
        <v>613</v>
      </c>
      <c r="L9" s="16" t="s">
        <v>614</v>
      </c>
      <c r="M9" s="3" t="s">
        <v>729</v>
      </c>
      <c r="N9" s="16" t="s">
        <v>129</v>
      </c>
      <c r="O9" s="23" t="s">
        <v>615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3" t="s">
        <v>581</v>
      </c>
      <c r="B10" s="16" t="s">
        <v>518</v>
      </c>
      <c r="C10" s="3" t="s">
        <v>582</v>
      </c>
      <c r="D10" s="16" t="s">
        <v>608</v>
      </c>
      <c r="E10" s="16" t="s">
        <v>146</v>
      </c>
      <c r="F10" s="16" t="s">
        <v>609</v>
      </c>
      <c r="G10" s="16" t="s">
        <v>610</v>
      </c>
      <c r="H10" s="16" t="s">
        <v>588</v>
      </c>
      <c r="I10" s="16" t="s">
        <v>611</v>
      </c>
      <c r="J10" s="16" t="s">
        <v>612</v>
      </c>
      <c r="K10" s="16" t="s">
        <v>613</v>
      </c>
      <c r="L10" s="16" t="s">
        <v>614</v>
      </c>
      <c r="M10" s="16" t="s">
        <v>587</v>
      </c>
      <c r="N10" s="16" t="s">
        <v>140</v>
      </c>
      <c r="O10" s="23" t="s">
        <v>615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3" t="s">
        <v>591</v>
      </c>
      <c r="B11" s="16" t="s">
        <v>518</v>
      </c>
      <c r="C11" s="16" t="s">
        <v>592</v>
      </c>
      <c r="D11" s="16" t="s">
        <v>608</v>
      </c>
      <c r="E11" s="16" t="s">
        <v>146</v>
      </c>
      <c r="F11" s="16" t="s">
        <v>609</v>
      </c>
      <c r="G11" s="16" t="s">
        <v>610</v>
      </c>
      <c r="H11" s="16" t="s">
        <v>597</v>
      </c>
      <c r="I11" s="16" t="s">
        <v>616</v>
      </c>
      <c r="J11" s="16" t="s">
        <v>612</v>
      </c>
      <c r="K11" s="16" t="s">
        <v>613</v>
      </c>
      <c r="L11" s="16" t="s">
        <v>614</v>
      </c>
      <c r="M11" s="16" t="s">
        <v>596</v>
      </c>
      <c r="N11" s="16" t="s">
        <v>133</v>
      </c>
      <c r="O11" s="23" t="s">
        <v>615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599</v>
      </c>
      <c r="B12" s="17" t="s">
        <v>504</v>
      </c>
      <c r="C12" s="17" t="s">
        <v>600</v>
      </c>
      <c r="D12" s="17" t="s">
        <v>608</v>
      </c>
      <c r="E12" s="17" t="s">
        <v>146</v>
      </c>
      <c r="F12" s="17" t="s">
        <v>609</v>
      </c>
      <c r="G12" s="17" t="s">
        <v>610</v>
      </c>
      <c r="H12" s="17" t="s">
        <v>605</v>
      </c>
      <c r="I12" s="17" t="s">
        <v>611</v>
      </c>
      <c r="J12" s="17" t="s">
        <v>612</v>
      </c>
      <c r="K12" s="17" t="s">
        <v>613</v>
      </c>
      <c r="L12" s="17" t="s">
        <v>614</v>
      </c>
      <c r="M12" s="4" t="s">
        <v>731</v>
      </c>
      <c r="N12" s="17" t="s">
        <v>142</v>
      </c>
      <c r="O12" s="18" t="s">
        <v>615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</sheetData>
  <mergeCells count="1">
    <mergeCell ref="A1:O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Справочники!$J$3:$J$11</xm:f>
          </x14:formula1>
          <xm:sqref>B3:B12</xm:sqref>
        </x14:dataValidation>
        <x14:dataValidation type="list" xr:uid="{00000000-0002-0000-0500-000001000000}">
          <x14:formula1>
            <xm:f>Справочники!$A$14:$A$24</xm:f>
          </x14:formula1>
          <xm:sqref>N3:N12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"/>
  <sheetViews>
    <sheetView workbookViewId="0"/>
  </sheetViews>
  <sheetFormatPr defaultRowHeight="13.5"/>
  <cols>
    <col min="1" max="1" width="17.1875" customWidth="1"/>
    <col min="2" max="2" width="46.625" customWidth="1"/>
    <col min="3" max="3" width="22.4375" customWidth="1"/>
    <col min="4" max="4" width="30.875" customWidth="1"/>
    <col min="5" max="5" width="29.8125" customWidth="1"/>
    <col min="6" max="6" width="27.6875" customWidth="1"/>
    <col min="7" max="7" width="30.875" customWidth="1"/>
    <col min="8" max="9" width="29.8125" customWidth="1"/>
    <col min="10" max="10" width="32.9375" customWidth="1"/>
    <col min="11" max="11" width="30.875" customWidth="1"/>
    <col min="12" max="12" width="25.625" customWidth="1"/>
    <col min="13" max="13" width="21.4375" customWidth="1"/>
    <col min="14" max="14" width="15.125" customWidth="1"/>
    <col min="15" max="15" width="11.9375" customWidth="1"/>
    <col min="16" max="16" width="25.625" customWidth="1"/>
    <col min="17" max="17" width="11.9375" customWidth="1"/>
    <col min="18" max="26" width="10.5625" customWidth="1"/>
  </cols>
  <sheetData>
    <row r="1" spans="1:26" ht="20" customHeight="1">
      <c r="A1" s="27" t="s">
        <v>147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8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148</v>
      </c>
      <c r="B2" s="7" t="s">
        <v>149</v>
      </c>
      <c r="C2" s="7" t="s">
        <v>150</v>
      </c>
      <c r="D2" s="7" t="s">
        <v>114</v>
      </c>
      <c r="E2" s="7" t="s">
        <v>151</v>
      </c>
      <c r="F2" s="7" t="s">
        <v>152</v>
      </c>
      <c r="G2" s="7" t="s">
        <v>153</v>
      </c>
      <c r="H2" s="7" t="s">
        <v>154</v>
      </c>
      <c r="I2" s="7" t="s">
        <v>155</v>
      </c>
      <c r="J2" s="7" t="s">
        <v>156</v>
      </c>
      <c r="K2" s="7" t="s">
        <v>157</v>
      </c>
      <c r="L2" s="7" t="s">
        <v>84</v>
      </c>
      <c r="M2" s="7" t="s">
        <v>158</v>
      </c>
      <c r="N2" s="7" t="s">
        <v>126</v>
      </c>
      <c r="O2" s="7" t="s">
        <v>159</v>
      </c>
      <c r="P2" s="7" t="s">
        <v>8</v>
      </c>
      <c r="Q2" s="14" t="s">
        <v>160</v>
      </c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161</v>
      </c>
      <c r="B3" s="3" t="s">
        <v>617</v>
      </c>
      <c r="C3" s="16" t="s">
        <v>128</v>
      </c>
      <c r="D3" s="16" t="s">
        <v>490</v>
      </c>
      <c r="E3" s="16" t="s">
        <v>618</v>
      </c>
      <c r="F3" s="16" t="s">
        <v>530</v>
      </c>
      <c r="G3" s="16" t="s">
        <v>162</v>
      </c>
      <c r="H3" s="16" t="s">
        <v>163</v>
      </c>
      <c r="I3" s="16">
        <v>5</v>
      </c>
      <c r="J3" s="16">
        <v>4</v>
      </c>
      <c r="K3" s="16">
        <v>2</v>
      </c>
      <c r="L3" s="16">
        <v>4</v>
      </c>
      <c r="M3" s="21">
        <f t="shared" ref="M3:M20" si="0">IF(A3="","",IFERROR((I3+J3)*L3/K3,0))</f>
        <v>18</v>
      </c>
      <c r="N3" s="16" t="str">
        <f t="shared" ref="N3:N20" si="1">IF(M3="","",IF(M3&gt;=16,"Критический",IF(M3&gt;=10,"Высокий",IF(M3&gt;=6,"Средний",IF(M3&gt;=3,"Низкий","Отложить")))))</f>
        <v>Критический</v>
      </c>
      <c r="O3" s="16" t="str">
        <f t="shared" ref="O3:O20" si="2">IF(M3="","",IF(OR(N3="Критический",N3="Высокий"),"Да",IF(N3="Средний","Кандидат","Нет")))</f>
        <v>Да</v>
      </c>
      <c r="P3" s="16" t="s">
        <v>719</v>
      </c>
      <c r="Q3" s="23" t="s">
        <v>396</v>
      </c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164</v>
      </c>
      <c r="B4" s="16" t="s">
        <v>619</v>
      </c>
      <c r="C4" s="16" t="s">
        <v>128</v>
      </c>
      <c r="D4" s="16" t="s">
        <v>490</v>
      </c>
      <c r="E4" s="16" t="s">
        <v>620</v>
      </c>
      <c r="F4" s="16" t="s">
        <v>621</v>
      </c>
      <c r="G4" s="16" t="s">
        <v>162</v>
      </c>
      <c r="H4" s="16" t="s">
        <v>622</v>
      </c>
      <c r="I4" s="16">
        <v>5</v>
      </c>
      <c r="J4" s="16">
        <v>4</v>
      </c>
      <c r="K4" s="16">
        <v>3</v>
      </c>
      <c r="L4" s="16">
        <v>4</v>
      </c>
      <c r="M4" s="21">
        <f t="shared" si="0"/>
        <v>12</v>
      </c>
      <c r="N4" s="16" t="str">
        <f t="shared" si="1"/>
        <v>Высокий</v>
      </c>
      <c r="O4" s="16" t="str">
        <f t="shared" si="2"/>
        <v>Да</v>
      </c>
      <c r="P4" s="16" t="s">
        <v>719</v>
      </c>
      <c r="Q4" s="23" t="s">
        <v>396</v>
      </c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" t="s">
        <v>623</v>
      </c>
      <c r="B5" s="3" t="s">
        <v>624</v>
      </c>
      <c r="C5" s="16" t="s">
        <v>128</v>
      </c>
      <c r="D5" s="16" t="s">
        <v>490</v>
      </c>
      <c r="E5" s="16" t="s">
        <v>625</v>
      </c>
      <c r="F5" s="16" t="s">
        <v>626</v>
      </c>
      <c r="G5" s="16" t="s">
        <v>627</v>
      </c>
      <c r="H5" s="16" t="s">
        <v>321</v>
      </c>
      <c r="I5" s="16">
        <v>5</v>
      </c>
      <c r="J5" s="16">
        <v>4</v>
      </c>
      <c r="K5" s="16">
        <v>3</v>
      </c>
      <c r="L5" s="16">
        <v>4</v>
      </c>
      <c r="M5" s="21">
        <f t="shared" si="0"/>
        <v>12</v>
      </c>
      <c r="N5" s="16" t="str">
        <f t="shared" si="1"/>
        <v>Высокий</v>
      </c>
      <c r="O5" s="16" t="str">
        <f t="shared" si="2"/>
        <v>Да</v>
      </c>
      <c r="P5" s="16" t="s">
        <v>719</v>
      </c>
      <c r="Q5" s="23" t="s">
        <v>404</v>
      </c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628</v>
      </c>
      <c r="B6" s="3" t="s">
        <v>629</v>
      </c>
      <c r="C6" s="16" t="s">
        <v>565</v>
      </c>
      <c r="D6" s="16" t="s">
        <v>497</v>
      </c>
      <c r="E6" s="16" t="s">
        <v>630</v>
      </c>
      <c r="F6" s="16" t="s">
        <v>631</v>
      </c>
      <c r="G6" s="16" t="s">
        <v>632</v>
      </c>
      <c r="H6" s="16" t="s">
        <v>163</v>
      </c>
      <c r="I6" s="16">
        <v>4</v>
      </c>
      <c r="J6" s="16">
        <v>4</v>
      </c>
      <c r="K6" s="16">
        <v>2</v>
      </c>
      <c r="L6" s="16">
        <v>3</v>
      </c>
      <c r="M6" s="21">
        <f t="shared" si="0"/>
        <v>12</v>
      </c>
      <c r="N6" s="16" t="str">
        <f t="shared" si="1"/>
        <v>Высокий</v>
      </c>
      <c r="O6" s="16" t="str">
        <f t="shared" si="2"/>
        <v>Да</v>
      </c>
      <c r="P6" s="16" t="s">
        <v>719</v>
      </c>
      <c r="Q6" s="23" t="s">
        <v>383</v>
      </c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3" t="s">
        <v>633</v>
      </c>
      <c r="B7" s="3" t="s">
        <v>634</v>
      </c>
      <c r="C7" s="16" t="s">
        <v>131</v>
      </c>
      <c r="D7" s="16" t="s">
        <v>490</v>
      </c>
      <c r="E7" s="16" t="s">
        <v>635</v>
      </c>
      <c r="F7" s="16" t="s">
        <v>539</v>
      </c>
      <c r="G7" s="16" t="s">
        <v>162</v>
      </c>
      <c r="H7" s="16" t="s">
        <v>636</v>
      </c>
      <c r="I7" s="16">
        <v>3</v>
      </c>
      <c r="J7" s="16">
        <v>5</v>
      </c>
      <c r="K7" s="16">
        <v>2</v>
      </c>
      <c r="L7" s="16">
        <v>3</v>
      </c>
      <c r="M7" s="21">
        <f t="shared" si="0"/>
        <v>12</v>
      </c>
      <c r="N7" s="16" t="str">
        <f t="shared" si="1"/>
        <v>Высокий</v>
      </c>
      <c r="O7" s="16" t="str">
        <f t="shared" si="2"/>
        <v>Да</v>
      </c>
      <c r="P7" s="16" t="s">
        <v>719</v>
      </c>
      <c r="Q7" s="23" t="s">
        <v>396</v>
      </c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3" t="s">
        <v>637</v>
      </c>
      <c r="B8" s="16" t="s">
        <v>638</v>
      </c>
      <c r="C8" s="16" t="s">
        <v>541</v>
      </c>
      <c r="D8" s="16" t="s">
        <v>497</v>
      </c>
      <c r="E8" s="16" t="s">
        <v>639</v>
      </c>
      <c r="F8" s="16" t="s">
        <v>640</v>
      </c>
      <c r="G8" s="16" t="s">
        <v>162</v>
      </c>
      <c r="H8" s="16" t="s">
        <v>163</v>
      </c>
      <c r="I8" s="16">
        <v>3</v>
      </c>
      <c r="J8" s="16">
        <v>5</v>
      </c>
      <c r="K8" s="16">
        <v>3</v>
      </c>
      <c r="L8" s="16">
        <v>4</v>
      </c>
      <c r="M8" s="21">
        <f t="shared" si="0"/>
        <v>10.666666666666666</v>
      </c>
      <c r="N8" s="16" t="str">
        <f t="shared" si="1"/>
        <v>Высокий</v>
      </c>
      <c r="O8" s="16" t="str">
        <f t="shared" si="2"/>
        <v>Да</v>
      </c>
      <c r="P8" s="16" t="s">
        <v>719</v>
      </c>
      <c r="Q8" s="23" t="s">
        <v>391</v>
      </c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3" t="s">
        <v>641</v>
      </c>
      <c r="B9" s="3" t="s">
        <v>642</v>
      </c>
      <c r="C9" s="16" t="s">
        <v>599</v>
      </c>
      <c r="D9" s="16" t="s">
        <v>504</v>
      </c>
      <c r="E9" s="16" t="s">
        <v>643</v>
      </c>
      <c r="F9" s="16" t="s">
        <v>644</v>
      </c>
      <c r="G9" s="16" t="s">
        <v>162</v>
      </c>
      <c r="H9" s="16" t="s">
        <v>163</v>
      </c>
      <c r="I9" s="16">
        <v>4</v>
      </c>
      <c r="J9" s="16">
        <v>3</v>
      </c>
      <c r="K9" s="16">
        <v>2</v>
      </c>
      <c r="L9" s="16">
        <v>4</v>
      </c>
      <c r="M9" s="21">
        <f t="shared" si="0"/>
        <v>14</v>
      </c>
      <c r="N9" s="16" t="str">
        <f t="shared" si="1"/>
        <v>Высокий</v>
      </c>
      <c r="O9" s="16" t="str">
        <f t="shared" si="2"/>
        <v>Да</v>
      </c>
      <c r="P9" s="16" t="s">
        <v>719</v>
      </c>
      <c r="Q9" s="23" t="s">
        <v>410</v>
      </c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3" t="s">
        <v>645</v>
      </c>
      <c r="B10" s="3" t="s">
        <v>646</v>
      </c>
      <c r="C10" s="16" t="s">
        <v>541</v>
      </c>
      <c r="D10" s="16" t="s">
        <v>497</v>
      </c>
      <c r="E10" s="16" t="s">
        <v>647</v>
      </c>
      <c r="F10" s="16" t="s">
        <v>648</v>
      </c>
      <c r="G10" s="16" t="s">
        <v>632</v>
      </c>
      <c r="H10" s="16" t="s">
        <v>163</v>
      </c>
      <c r="I10" s="16">
        <v>3</v>
      </c>
      <c r="J10" s="16">
        <v>4</v>
      </c>
      <c r="K10" s="16">
        <v>1</v>
      </c>
      <c r="L10" s="16">
        <v>3</v>
      </c>
      <c r="M10" s="21">
        <f t="shared" si="0"/>
        <v>21</v>
      </c>
      <c r="N10" s="16" t="str">
        <f t="shared" si="1"/>
        <v>Критический</v>
      </c>
      <c r="O10" s="16" t="str">
        <f t="shared" si="2"/>
        <v>Да</v>
      </c>
      <c r="P10" s="16" t="s">
        <v>719</v>
      </c>
      <c r="Q10" s="23" t="s">
        <v>391</v>
      </c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3" t="s">
        <v>649</v>
      </c>
      <c r="B11" s="3" t="s">
        <v>650</v>
      </c>
      <c r="C11" s="16" t="s">
        <v>558</v>
      </c>
      <c r="D11" s="16" t="s">
        <v>490</v>
      </c>
      <c r="E11" s="16" t="s">
        <v>651</v>
      </c>
      <c r="F11" s="16" t="s">
        <v>143</v>
      </c>
      <c r="G11" s="16" t="s">
        <v>632</v>
      </c>
      <c r="H11" s="16" t="s">
        <v>166</v>
      </c>
      <c r="I11" s="16">
        <v>5</v>
      </c>
      <c r="J11" s="16">
        <v>4</v>
      </c>
      <c r="K11" s="16">
        <v>4</v>
      </c>
      <c r="L11" s="16">
        <v>3</v>
      </c>
      <c r="M11" s="21">
        <f t="shared" si="0"/>
        <v>6.75</v>
      </c>
      <c r="N11" s="16" t="str">
        <f t="shared" si="1"/>
        <v>Средний</v>
      </c>
      <c r="O11" s="16" t="str">
        <f t="shared" si="2"/>
        <v>Кандидат</v>
      </c>
      <c r="P11" s="16" t="s">
        <v>719</v>
      </c>
      <c r="Q11" s="23" t="s">
        <v>396</v>
      </c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3" t="s">
        <v>652</v>
      </c>
      <c r="B12" s="16" t="s">
        <v>653</v>
      </c>
      <c r="C12" s="16" t="s">
        <v>565</v>
      </c>
      <c r="D12" s="16" t="s">
        <v>497</v>
      </c>
      <c r="E12" s="16" t="s">
        <v>654</v>
      </c>
      <c r="F12" s="16" t="s">
        <v>655</v>
      </c>
      <c r="G12" s="16" t="s">
        <v>632</v>
      </c>
      <c r="H12" s="16" t="s">
        <v>166</v>
      </c>
      <c r="I12" s="16">
        <v>3</v>
      </c>
      <c r="J12" s="16">
        <v>3</v>
      </c>
      <c r="K12" s="16">
        <v>2</v>
      </c>
      <c r="L12" s="16">
        <v>3</v>
      </c>
      <c r="M12" s="21">
        <f t="shared" si="0"/>
        <v>9</v>
      </c>
      <c r="N12" s="16" t="str">
        <f t="shared" si="1"/>
        <v>Средний</v>
      </c>
      <c r="O12" s="16" t="str">
        <f t="shared" si="2"/>
        <v>Кандидат</v>
      </c>
      <c r="P12" s="16" t="s">
        <v>719</v>
      </c>
      <c r="Q12" s="23" t="s">
        <v>383</v>
      </c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3" t="s">
        <v>656</v>
      </c>
      <c r="B13" s="16" t="s">
        <v>657</v>
      </c>
      <c r="C13" s="16" t="s">
        <v>549</v>
      </c>
      <c r="D13" s="16" t="s">
        <v>490</v>
      </c>
      <c r="E13" s="16" t="s">
        <v>658</v>
      </c>
      <c r="F13" s="16" t="s">
        <v>143</v>
      </c>
      <c r="G13" s="16" t="s">
        <v>632</v>
      </c>
      <c r="H13" s="16" t="s">
        <v>166</v>
      </c>
      <c r="I13" s="16">
        <v>3</v>
      </c>
      <c r="J13" s="16">
        <v>3</v>
      </c>
      <c r="K13" s="16">
        <v>2</v>
      </c>
      <c r="L13" s="16">
        <v>3</v>
      </c>
      <c r="M13" s="21">
        <f t="shared" si="0"/>
        <v>9</v>
      </c>
      <c r="N13" s="16" t="str">
        <f t="shared" si="1"/>
        <v>Средний</v>
      </c>
      <c r="O13" s="16" t="str">
        <f t="shared" si="2"/>
        <v>Кандидат</v>
      </c>
      <c r="P13" s="16" t="s">
        <v>719</v>
      </c>
      <c r="Q13" s="23" t="s">
        <v>418</v>
      </c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3" t="s">
        <v>659</v>
      </c>
      <c r="B14" s="3" t="s">
        <v>660</v>
      </c>
      <c r="C14" s="16" t="s">
        <v>128</v>
      </c>
      <c r="D14" s="16" t="s">
        <v>490</v>
      </c>
      <c r="E14" s="16" t="s">
        <v>661</v>
      </c>
      <c r="F14" s="16" t="s">
        <v>662</v>
      </c>
      <c r="G14" s="16" t="s">
        <v>627</v>
      </c>
      <c r="H14" s="16" t="s">
        <v>166</v>
      </c>
      <c r="I14" s="16">
        <v>4</v>
      </c>
      <c r="J14" s="16">
        <v>4</v>
      </c>
      <c r="K14" s="16">
        <v>4</v>
      </c>
      <c r="L14" s="16">
        <v>3</v>
      </c>
      <c r="M14" s="21">
        <f t="shared" si="0"/>
        <v>6</v>
      </c>
      <c r="N14" s="16" t="str">
        <f t="shared" si="1"/>
        <v>Средний</v>
      </c>
      <c r="O14" s="16" t="str">
        <f t="shared" si="2"/>
        <v>Кандидат</v>
      </c>
      <c r="P14" s="16" t="s">
        <v>719</v>
      </c>
      <c r="Q14" s="23" t="s">
        <v>404</v>
      </c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3" t="s">
        <v>663</v>
      </c>
      <c r="B15" s="16" t="s">
        <v>664</v>
      </c>
      <c r="C15" s="16" t="s">
        <v>573</v>
      </c>
      <c r="D15" s="16" t="s">
        <v>497</v>
      </c>
      <c r="E15" s="16" t="s">
        <v>665</v>
      </c>
      <c r="F15" s="16" t="s">
        <v>626</v>
      </c>
      <c r="G15" s="16" t="s">
        <v>632</v>
      </c>
      <c r="H15" s="16" t="s">
        <v>166</v>
      </c>
      <c r="I15" s="16">
        <v>3</v>
      </c>
      <c r="J15" s="16">
        <v>2</v>
      </c>
      <c r="K15" s="16">
        <v>4</v>
      </c>
      <c r="L15" s="16">
        <v>3</v>
      </c>
      <c r="M15" s="21">
        <f t="shared" si="0"/>
        <v>3.75</v>
      </c>
      <c r="N15" s="16" t="str">
        <f t="shared" si="1"/>
        <v>Низкий</v>
      </c>
      <c r="O15" s="16" t="str">
        <f t="shared" si="2"/>
        <v>Нет</v>
      </c>
      <c r="P15" s="16" t="s">
        <v>719</v>
      </c>
      <c r="Q15" s="23" t="s">
        <v>396</v>
      </c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3" t="s">
        <v>666</v>
      </c>
      <c r="B16" s="3" t="s">
        <v>667</v>
      </c>
      <c r="C16" s="16" t="s">
        <v>591</v>
      </c>
      <c r="D16" s="16" t="s">
        <v>518</v>
      </c>
      <c r="E16" s="16" t="s">
        <v>668</v>
      </c>
      <c r="F16" s="16" t="s">
        <v>598</v>
      </c>
      <c r="G16" s="16" t="s">
        <v>627</v>
      </c>
      <c r="H16" s="16" t="s">
        <v>166</v>
      </c>
      <c r="I16" s="16">
        <v>3</v>
      </c>
      <c r="J16" s="16">
        <v>5</v>
      </c>
      <c r="K16" s="16">
        <v>5</v>
      </c>
      <c r="L16" s="16">
        <v>3</v>
      </c>
      <c r="M16" s="21">
        <f t="shared" si="0"/>
        <v>4.8</v>
      </c>
      <c r="N16" s="16" t="str">
        <f t="shared" si="1"/>
        <v>Низкий</v>
      </c>
      <c r="O16" s="16" t="str">
        <f t="shared" si="2"/>
        <v>Нет</v>
      </c>
      <c r="P16" s="16" t="s">
        <v>719</v>
      </c>
      <c r="Q16" s="23" t="s">
        <v>418</v>
      </c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3" t="s">
        <v>669</v>
      </c>
      <c r="B17" s="16" t="s">
        <v>670</v>
      </c>
      <c r="C17" s="16" t="s">
        <v>581</v>
      </c>
      <c r="D17" s="16" t="s">
        <v>518</v>
      </c>
      <c r="E17" s="16" t="s">
        <v>671</v>
      </c>
      <c r="F17" s="16" t="s">
        <v>672</v>
      </c>
      <c r="G17" s="16" t="s">
        <v>673</v>
      </c>
      <c r="H17" s="16" t="s">
        <v>321</v>
      </c>
      <c r="I17" s="16">
        <v>2</v>
      </c>
      <c r="J17" s="16">
        <v>3</v>
      </c>
      <c r="K17" s="16">
        <v>5</v>
      </c>
      <c r="L17" s="16">
        <v>2</v>
      </c>
      <c r="M17" s="21">
        <f t="shared" si="0"/>
        <v>2</v>
      </c>
      <c r="N17" s="16" t="str">
        <f t="shared" si="1"/>
        <v>Отложить</v>
      </c>
      <c r="O17" s="16" t="str">
        <f t="shared" si="2"/>
        <v>Нет</v>
      </c>
      <c r="P17" s="16" t="s">
        <v>719</v>
      </c>
      <c r="Q17" s="23" t="s">
        <v>418</v>
      </c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3" t="s">
        <v>674</v>
      </c>
      <c r="B18" s="16" t="s">
        <v>675</v>
      </c>
      <c r="C18" s="16" t="s">
        <v>581</v>
      </c>
      <c r="D18" s="16" t="s">
        <v>518</v>
      </c>
      <c r="E18" s="16" t="s">
        <v>676</v>
      </c>
      <c r="F18" s="16" t="s">
        <v>589</v>
      </c>
      <c r="G18" s="16" t="s">
        <v>627</v>
      </c>
      <c r="H18" s="16" t="s">
        <v>321</v>
      </c>
      <c r="I18" s="16">
        <v>3</v>
      </c>
      <c r="J18" s="16">
        <v>3</v>
      </c>
      <c r="K18" s="16">
        <v>4</v>
      </c>
      <c r="L18" s="16">
        <v>2</v>
      </c>
      <c r="M18" s="21">
        <f t="shared" si="0"/>
        <v>3</v>
      </c>
      <c r="N18" s="16" t="str">
        <f t="shared" si="1"/>
        <v>Низкий</v>
      </c>
      <c r="O18" s="16" t="str">
        <f t="shared" si="2"/>
        <v>Нет</v>
      </c>
      <c r="P18" s="16" t="s">
        <v>719</v>
      </c>
      <c r="Q18" s="23" t="s">
        <v>418</v>
      </c>
      <c r="R18" s="2"/>
      <c r="S18" s="2"/>
      <c r="T18" s="2"/>
      <c r="U18" s="2"/>
      <c r="V18" s="2"/>
      <c r="W18" s="2"/>
      <c r="X18" s="2"/>
      <c r="Y18" s="2"/>
      <c r="Z18" s="2"/>
    </row>
    <row r="19" spans="1:26" ht="14.25">
      <c r="A19" s="3" t="s">
        <v>677</v>
      </c>
      <c r="B19" s="3" t="s">
        <v>678</v>
      </c>
      <c r="C19" s="16" t="s">
        <v>128</v>
      </c>
      <c r="D19" s="16" t="s">
        <v>490</v>
      </c>
      <c r="E19" s="16" t="s">
        <v>740</v>
      </c>
      <c r="F19" s="16" t="s">
        <v>662</v>
      </c>
      <c r="G19" s="16" t="s">
        <v>627</v>
      </c>
      <c r="H19" s="16" t="s">
        <v>321</v>
      </c>
      <c r="I19" s="16">
        <v>4</v>
      </c>
      <c r="J19" s="16">
        <v>3</v>
      </c>
      <c r="K19" s="16">
        <v>5</v>
      </c>
      <c r="L19" s="16">
        <v>2</v>
      </c>
      <c r="M19" s="21">
        <f t="shared" si="0"/>
        <v>2.8</v>
      </c>
      <c r="N19" s="16" t="str">
        <f t="shared" si="1"/>
        <v>Отложить</v>
      </c>
      <c r="O19" s="16" t="str">
        <f t="shared" si="2"/>
        <v>Нет</v>
      </c>
      <c r="P19" s="16" t="s">
        <v>719</v>
      </c>
      <c r="Q19" s="23" t="s">
        <v>404</v>
      </c>
      <c r="R19" s="2"/>
      <c r="S19" s="2"/>
      <c r="T19" s="2"/>
      <c r="U19" s="2"/>
      <c r="V19" s="2"/>
      <c r="W19" s="2"/>
      <c r="X19" s="2"/>
      <c r="Y19" s="2"/>
      <c r="Z19" s="2"/>
    </row>
    <row r="20" spans="1:26" ht="14.25">
      <c r="A20" s="4" t="s">
        <v>679</v>
      </c>
      <c r="B20" s="17" t="s">
        <v>680</v>
      </c>
      <c r="C20" s="17" t="s">
        <v>581</v>
      </c>
      <c r="D20" s="17" t="s">
        <v>518</v>
      </c>
      <c r="E20" s="17" t="s">
        <v>681</v>
      </c>
      <c r="F20" s="17" t="s">
        <v>682</v>
      </c>
      <c r="G20" s="17" t="s">
        <v>673</v>
      </c>
      <c r="H20" s="17" t="s">
        <v>321</v>
      </c>
      <c r="I20" s="17">
        <v>2</v>
      </c>
      <c r="J20" s="17">
        <v>2</v>
      </c>
      <c r="K20" s="17">
        <v>4</v>
      </c>
      <c r="L20" s="17">
        <v>2</v>
      </c>
      <c r="M20" s="22">
        <f t="shared" si="0"/>
        <v>2</v>
      </c>
      <c r="N20" s="17" t="str">
        <f t="shared" si="1"/>
        <v>Отложить</v>
      </c>
      <c r="O20" s="17" t="str">
        <f t="shared" si="2"/>
        <v>Нет</v>
      </c>
      <c r="P20" s="17" t="s">
        <v>719</v>
      </c>
      <c r="Q20" s="18" t="s">
        <v>418</v>
      </c>
      <c r="R20" s="2"/>
      <c r="S20" s="2"/>
      <c r="T20" s="2"/>
      <c r="U20" s="2"/>
      <c r="V20" s="2"/>
      <c r="W20" s="2"/>
      <c r="X20" s="2"/>
      <c r="Y20" s="2"/>
      <c r="Z20" s="2"/>
    </row>
  </sheetData>
  <mergeCells count="1">
    <mergeCell ref="A1:Q1"/>
  </mergeCells>
  <dataValidations count="2">
    <dataValidation type="list" sqref="I3:K20" xr:uid="{00000000-0002-0000-0600-000003000000}">
      <formula1>"1,2,3,4,5"</formula1>
    </dataValidation>
    <dataValidation type="list" sqref="L3:L20" xr:uid="{00000000-0002-0000-0600-000004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600-000000000000}">
          <x14:formula1>
            <xm:f>Справочники!$J$3:$J$11</xm:f>
          </x14:formula1>
          <xm:sqref>D3:D20</xm:sqref>
        </x14:dataValidation>
        <x14:dataValidation type="list" xr:uid="{00000000-0002-0000-0600-000001000000}">
          <x14:formula1>
            <xm:f>Справочники!$D$26:$D$31</xm:f>
          </x14:formula1>
          <xm:sqref>G3:G20</xm:sqref>
        </x14:dataValidation>
        <x14:dataValidation type="list" xr:uid="{00000000-0002-0000-0600-000002000000}">
          <x14:formula1>
            <xm:f>Справочники!$G$26:$G$30</xm:f>
          </x14:formula1>
          <xm:sqref>H3:H20</xm:sqref>
        </x14:dataValidation>
        <x14:dataValidation type="list" xr:uid="{00000000-0002-0000-0600-000005000000}">
          <x14:formula1>
            <xm:f>Справочники!$J$14:$J$18</xm:f>
          </x14:formula1>
          <xm:sqref>P3:P20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"/>
  <sheetViews>
    <sheetView workbookViewId="0"/>
  </sheetViews>
  <sheetFormatPr defaultRowHeight="13.5"/>
  <cols>
    <col min="1" max="1" width="17.1875" customWidth="1"/>
    <col min="2" max="2" width="46.625" customWidth="1"/>
    <col min="3" max="4" width="22.4375" customWidth="1"/>
    <col min="5" max="5" width="24.5625" customWidth="1"/>
    <col min="6" max="6" width="36.125" customWidth="1"/>
    <col min="7" max="7" width="23.5" customWidth="1"/>
    <col min="8" max="8" width="25.625" customWidth="1"/>
    <col min="9" max="9" width="19.3125" customWidth="1"/>
    <col min="10" max="10" width="14.0625" customWidth="1"/>
    <col min="11" max="11" width="19.3125" customWidth="1"/>
    <col min="12" max="12" width="28.75" customWidth="1"/>
    <col min="13" max="13" width="21.4375" customWidth="1"/>
    <col min="14" max="14" width="30.875" customWidth="1"/>
    <col min="15" max="26" width="10.5625" customWidth="1"/>
  </cols>
  <sheetData>
    <row r="1" spans="1:26" ht="20" customHeight="1">
      <c r="A1" s="27" t="s">
        <v>167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168</v>
      </c>
      <c r="B2" s="7" t="s">
        <v>169</v>
      </c>
      <c r="C2" s="7" t="s">
        <v>170</v>
      </c>
      <c r="D2" s="7" t="s">
        <v>150</v>
      </c>
      <c r="E2" s="7" t="s">
        <v>171</v>
      </c>
      <c r="F2" s="7" t="s">
        <v>172</v>
      </c>
      <c r="G2" s="7" t="s">
        <v>173</v>
      </c>
      <c r="H2" s="7" t="s">
        <v>84</v>
      </c>
      <c r="I2" s="7" t="s">
        <v>174</v>
      </c>
      <c r="J2" s="7" t="s">
        <v>175</v>
      </c>
      <c r="K2" s="7" t="s">
        <v>176</v>
      </c>
      <c r="L2" s="7" t="s">
        <v>177</v>
      </c>
      <c r="M2" s="7" t="s">
        <v>178</v>
      </c>
      <c r="N2" s="14" t="s">
        <v>63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179</v>
      </c>
      <c r="B3" s="3" t="s">
        <v>683</v>
      </c>
      <c r="C3" s="16" t="s">
        <v>180</v>
      </c>
      <c r="D3" s="16" t="s">
        <v>128</v>
      </c>
      <c r="E3" s="16" t="s">
        <v>161</v>
      </c>
      <c r="F3" s="16">
        <v>5</v>
      </c>
      <c r="G3" s="16">
        <v>5</v>
      </c>
      <c r="H3" s="16">
        <v>4</v>
      </c>
      <c r="I3" s="16">
        <v>2</v>
      </c>
      <c r="J3" s="16">
        <v>1</v>
      </c>
      <c r="K3" s="21">
        <f t="shared" ref="K3:K10" si="0">IF(A3="","",IFERROR((F3+G3+H3)*((6-J3)/5)/I3,0))</f>
        <v>7</v>
      </c>
      <c r="L3" s="16" t="str">
        <f t="shared" ref="L3:L10" si="1">IF(K3="","",IF(K3&gt;=6,"Включить в первую версию",IF(K3&gt;=4,"Включить после проверки",IF(K3&gt;=2.5,"Проверить дополнительно",IF(K3&gt;=1.5,"Отложить","Исключить")))))</f>
        <v>Включить в первую версию</v>
      </c>
      <c r="M3" s="16" t="s">
        <v>181</v>
      </c>
      <c r="N3" s="23" t="s">
        <v>684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182</v>
      </c>
      <c r="B4" s="3" t="s">
        <v>685</v>
      </c>
      <c r="C4" s="16" t="s">
        <v>686</v>
      </c>
      <c r="D4" s="16" t="s">
        <v>128</v>
      </c>
      <c r="E4" s="16" t="s">
        <v>623</v>
      </c>
      <c r="F4" s="16">
        <v>5</v>
      </c>
      <c r="G4" s="16">
        <v>5</v>
      </c>
      <c r="H4" s="16">
        <v>4</v>
      </c>
      <c r="I4" s="16">
        <v>2</v>
      </c>
      <c r="J4" s="16">
        <v>1</v>
      </c>
      <c r="K4" s="21">
        <f t="shared" si="0"/>
        <v>7</v>
      </c>
      <c r="L4" s="16" t="str">
        <f t="shared" si="1"/>
        <v>Включить в первую версию</v>
      </c>
      <c r="M4" s="16" t="s">
        <v>181</v>
      </c>
      <c r="N4" s="23" t="s">
        <v>684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" t="s">
        <v>687</v>
      </c>
      <c r="B5" s="16" t="s">
        <v>688</v>
      </c>
      <c r="C5" s="16" t="s">
        <v>686</v>
      </c>
      <c r="D5" s="16" t="s">
        <v>565</v>
      </c>
      <c r="E5" s="16" t="s">
        <v>628</v>
      </c>
      <c r="F5" s="16">
        <v>4</v>
      </c>
      <c r="G5" s="16">
        <v>5</v>
      </c>
      <c r="H5" s="16">
        <v>3</v>
      </c>
      <c r="I5" s="16">
        <v>2</v>
      </c>
      <c r="J5" s="16">
        <v>1</v>
      </c>
      <c r="K5" s="21">
        <f t="shared" si="0"/>
        <v>6</v>
      </c>
      <c r="L5" s="16" t="str">
        <f t="shared" si="1"/>
        <v>Включить в первую версию</v>
      </c>
      <c r="M5" s="16" t="s">
        <v>181</v>
      </c>
      <c r="N5" s="23" t="s">
        <v>689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690</v>
      </c>
      <c r="B6" s="16" t="s">
        <v>691</v>
      </c>
      <c r="C6" s="16" t="s">
        <v>686</v>
      </c>
      <c r="D6" s="16" t="s">
        <v>541</v>
      </c>
      <c r="E6" s="16" t="s">
        <v>637</v>
      </c>
      <c r="F6" s="16">
        <v>3</v>
      </c>
      <c r="G6" s="16">
        <v>5</v>
      </c>
      <c r="H6" s="16">
        <v>4</v>
      </c>
      <c r="I6" s="16">
        <v>2</v>
      </c>
      <c r="J6" s="16">
        <v>1</v>
      </c>
      <c r="K6" s="21">
        <f t="shared" si="0"/>
        <v>6</v>
      </c>
      <c r="L6" s="16" t="str">
        <f t="shared" si="1"/>
        <v>Включить в первую версию</v>
      </c>
      <c r="M6" s="16" t="s">
        <v>181</v>
      </c>
      <c r="N6" s="23" t="s">
        <v>692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3" t="s">
        <v>693</v>
      </c>
      <c r="B7" s="3" t="s">
        <v>694</v>
      </c>
      <c r="C7" s="16" t="s">
        <v>686</v>
      </c>
      <c r="D7" s="16" t="s">
        <v>599</v>
      </c>
      <c r="E7" s="16" t="s">
        <v>641</v>
      </c>
      <c r="F7" s="16">
        <v>4</v>
      </c>
      <c r="G7" s="16">
        <v>4</v>
      </c>
      <c r="H7" s="16">
        <v>4</v>
      </c>
      <c r="I7" s="16">
        <v>2</v>
      </c>
      <c r="J7" s="16">
        <v>1</v>
      </c>
      <c r="K7" s="21">
        <f t="shared" si="0"/>
        <v>6</v>
      </c>
      <c r="L7" s="16" t="str">
        <f t="shared" si="1"/>
        <v>Включить в первую версию</v>
      </c>
      <c r="M7" s="16" t="s">
        <v>181</v>
      </c>
      <c r="N7" s="23" t="s">
        <v>695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3" t="s">
        <v>696</v>
      </c>
      <c r="B8" s="16" t="s">
        <v>697</v>
      </c>
      <c r="C8" s="16" t="s">
        <v>698</v>
      </c>
      <c r="D8" s="16" t="s">
        <v>558</v>
      </c>
      <c r="E8" s="16" t="s">
        <v>649</v>
      </c>
      <c r="F8" s="16">
        <v>5</v>
      </c>
      <c r="G8" s="16">
        <v>5</v>
      </c>
      <c r="H8" s="16">
        <v>4</v>
      </c>
      <c r="I8" s="16">
        <v>4</v>
      </c>
      <c r="J8" s="16">
        <v>2</v>
      </c>
      <c r="K8" s="21">
        <f t="shared" si="0"/>
        <v>2.8000000000000003</v>
      </c>
      <c r="L8" s="16" t="str">
        <f t="shared" si="1"/>
        <v>Проверить дополнительно</v>
      </c>
      <c r="M8" s="16" t="s">
        <v>699</v>
      </c>
      <c r="N8" s="23" t="s">
        <v>700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3" t="s">
        <v>701</v>
      </c>
      <c r="B9" s="16" t="s">
        <v>702</v>
      </c>
      <c r="C9" s="16" t="s">
        <v>686</v>
      </c>
      <c r="D9" s="16" t="s">
        <v>591</v>
      </c>
      <c r="E9" s="16" t="s">
        <v>666</v>
      </c>
      <c r="F9" s="16">
        <v>4</v>
      </c>
      <c r="G9" s="16">
        <v>5</v>
      </c>
      <c r="H9" s="16">
        <v>3</v>
      </c>
      <c r="I9" s="16">
        <v>3</v>
      </c>
      <c r="J9" s="16">
        <v>2</v>
      </c>
      <c r="K9" s="21">
        <f t="shared" si="0"/>
        <v>3.2000000000000006</v>
      </c>
      <c r="L9" s="16" t="str">
        <f t="shared" si="1"/>
        <v>Проверить дополнительно</v>
      </c>
      <c r="M9" s="16" t="s">
        <v>703</v>
      </c>
      <c r="N9" s="23" t="s">
        <v>704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705</v>
      </c>
      <c r="B10" s="17" t="s">
        <v>706</v>
      </c>
      <c r="C10" s="17" t="s">
        <v>686</v>
      </c>
      <c r="D10" s="17" t="s">
        <v>128</v>
      </c>
      <c r="E10" s="17" t="s">
        <v>677</v>
      </c>
      <c r="F10" s="17">
        <v>4</v>
      </c>
      <c r="G10" s="17">
        <v>3</v>
      </c>
      <c r="H10" s="17">
        <v>2</v>
      </c>
      <c r="I10" s="17">
        <v>5</v>
      </c>
      <c r="J10" s="17">
        <v>4</v>
      </c>
      <c r="K10" s="22">
        <f t="shared" si="0"/>
        <v>0.72</v>
      </c>
      <c r="L10" s="17" t="str">
        <f t="shared" si="1"/>
        <v>Исключить</v>
      </c>
      <c r="M10" s="17" t="s">
        <v>707</v>
      </c>
      <c r="N10" s="18" t="s">
        <v>708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</sheetData>
  <mergeCells count="1">
    <mergeCell ref="A1:N1"/>
  </mergeCells>
  <dataValidations count="2">
    <dataValidation type="list" sqref="F3:J10" xr:uid="{00000000-0002-0000-0700-000000000000}">
      <formula1>"1,2,3,4,5"</formula1>
    </dataValidation>
    <dataValidation type="list" sqref="H3:H10" xr:uid="{00000000-0002-0000-0700-000001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2000000}">
          <x14:formula1>
            <xm:f>Справочники!$A$37:$A$41</xm:f>
          </x14:formula1>
          <xm:sqref>L3:L10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2"/>
  <sheetViews>
    <sheetView workbookViewId="0"/>
  </sheetViews>
  <sheetFormatPr defaultRowHeight="13.5"/>
  <cols>
    <col min="1" max="1" width="29.8125" customWidth="1"/>
    <col min="2" max="2" width="39.25" customWidth="1"/>
    <col min="3" max="3" width="52.5625" customWidth="1"/>
    <col min="4" max="4" width="29.8125" customWidth="1"/>
    <col min="5" max="5" width="50.8125" customWidth="1"/>
    <col min="6" max="6" width="14.0625" customWidth="1"/>
    <col min="7" max="7" width="10.5625" customWidth="1"/>
    <col min="8" max="8" width="11.9375" customWidth="1"/>
    <col min="9" max="9" width="15.125" customWidth="1"/>
    <col min="10" max="26" width="10.5625" customWidth="1"/>
  </cols>
  <sheetData>
    <row r="1" spans="1:26" ht="20" customHeight="1">
      <c r="A1" s="27" t="s">
        <v>732</v>
      </c>
      <c r="B1" s="27"/>
      <c r="C1" s="27"/>
      <c r="D1" s="27"/>
      <c r="E1" s="27"/>
      <c r="F1" s="27"/>
      <c r="G1" s="27"/>
      <c r="H1" s="27"/>
      <c r="I1" s="28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184</v>
      </c>
      <c r="B2" s="7" t="s">
        <v>185</v>
      </c>
      <c r="C2" s="7" t="s">
        <v>186</v>
      </c>
      <c r="D2" s="7" t="s">
        <v>187</v>
      </c>
      <c r="E2" s="7" t="s">
        <v>188</v>
      </c>
      <c r="F2" s="7" t="s">
        <v>189</v>
      </c>
      <c r="G2" s="7" t="s">
        <v>190</v>
      </c>
      <c r="H2" s="7" t="s">
        <v>8</v>
      </c>
      <c r="I2" s="14" t="s">
        <v>63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11</v>
      </c>
      <c r="B3" s="16" t="s">
        <v>191</v>
      </c>
      <c r="C3" s="3" t="s">
        <v>192</v>
      </c>
      <c r="D3" s="16" t="s">
        <v>10</v>
      </c>
      <c r="E3" s="16" t="s">
        <v>193</v>
      </c>
      <c r="F3" s="16">
        <f>COUNTA('Банк анализа'!A3:A14)</f>
        <v>12</v>
      </c>
      <c r="G3" s="16">
        <v>5</v>
      </c>
      <c r="H3" s="16" t="str">
        <f t="shared" ref="H3:H12" si="0">IF(F3&gt;=G3,"Пройдено","Недостаточно")</f>
        <v>Пройдено</v>
      </c>
      <c r="I3" s="23" t="s">
        <v>712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" t="s">
        <v>194</v>
      </c>
      <c r="B4" s="16" t="s">
        <v>195</v>
      </c>
      <c r="C4" s="3" t="s">
        <v>196</v>
      </c>
      <c r="D4" s="16" t="s">
        <v>10</v>
      </c>
      <c r="E4" s="3" t="s">
        <v>197</v>
      </c>
      <c r="F4" s="16">
        <f>COUNTIF('Банк анализа'!G3:G14,"&gt;=3")</f>
        <v>12</v>
      </c>
      <c r="G4" s="16">
        <v>3</v>
      </c>
      <c r="H4" s="16" t="str">
        <f t="shared" si="0"/>
        <v>Пройдено</v>
      </c>
      <c r="I4" s="23" t="s">
        <v>712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3" t="s">
        <v>15</v>
      </c>
      <c r="B5" s="16" t="s">
        <v>198</v>
      </c>
      <c r="C5" s="3" t="s">
        <v>199</v>
      </c>
      <c r="D5" s="16" t="s">
        <v>15</v>
      </c>
      <c r="E5" s="16" t="s">
        <v>200</v>
      </c>
      <c r="F5" s="16">
        <f>COUNTA('Бизнес-логика'!A3:A8)</f>
        <v>6</v>
      </c>
      <c r="G5" s="16">
        <v>3</v>
      </c>
      <c r="H5" s="16" t="str">
        <f t="shared" si="0"/>
        <v>Пройдено</v>
      </c>
      <c r="I5" s="23" t="s">
        <v>712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3" t="s">
        <v>20</v>
      </c>
      <c r="B6" s="16" t="s">
        <v>201</v>
      </c>
      <c r="C6" s="3" t="s">
        <v>202</v>
      </c>
      <c r="D6" s="16" t="s">
        <v>20</v>
      </c>
      <c r="E6" s="16" t="s">
        <v>203</v>
      </c>
      <c r="F6" s="16">
        <f>COUNTA('Роли и сегменты'!A3:A7)</f>
        <v>5</v>
      </c>
      <c r="G6" s="16">
        <v>2</v>
      </c>
      <c r="H6" s="16" t="str">
        <f t="shared" si="0"/>
        <v>Пройдено</v>
      </c>
      <c r="I6" s="23" t="s">
        <v>712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3" t="s">
        <v>204</v>
      </c>
      <c r="B7" s="3" t="s">
        <v>205</v>
      </c>
      <c r="C7" s="3" t="s">
        <v>206</v>
      </c>
      <c r="D7" s="16" t="s">
        <v>25</v>
      </c>
      <c r="E7" s="16" t="s">
        <v>207</v>
      </c>
      <c r="F7" s="16">
        <f>COUNTA('Пользовательские сценарии'!A3:A12)</f>
        <v>10</v>
      </c>
      <c r="G7" s="16">
        <v>5</v>
      </c>
      <c r="H7" s="16" t="str">
        <f t="shared" si="0"/>
        <v>Пройдено</v>
      </c>
      <c r="I7" s="23" t="s">
        <v>712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3" t="s">
        <v>208</v>
      </c>
      <c r="B8" s="16" t="s">
        <v>209</v>
      </c>
      <c r="C8" s="3" t="s">
        <v>210</v>
      </c>
      <c r="D8" s="16" t="s">
        <v>25</v>
      </c>
      <c r="E8" s="3" t="s">
        <v>211</v>
      </c>
      <c r="F8" s="16">
        <f>COUNTIF('Пользовательские сценарии'!E3:E12,"Монетизационный")</f>
        <v>3</v>
      </c>
      <c r="G8" s="16">
        <v>1</v>
      </c>
      <c r="H8" s="16" t="str">
        <f t="shared" si="0"/>
        <v>Пройдено</v>
      </c>
      <c r="I8" s="23" t="s">
        <v>712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3" t="s">
        <v>212</v>
      </c>
      <c r="B9" s="16" t="s">
        <v>213</v>
      </c>
      <c r="C9" s="3" t="s">
        <v>214</v>
      </c>
      <c r="D9" s="16" t="s">
        <v>35</v>
      </c>
      <c r="E9" s="16" t="s">
        <v>215</v>
      </c>
      <c r="F9" s="16">
        <f>COUNTA('Функциональные требования'!A3:A20)</f>
        <v>18</v>
      </c>
      <c r="G9" s="16">
        <v>5</v>
      </c>
      <c r="H9" s="16" t="str">
        <f t="shared" si="0"/>
        <v>Пройдено</v>
      </c>
      <c r="I9" s="23" t="s">
        <v>712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3" t="s">
        <v>159</v>
      </c>
      <c r="B10" s="16" t="s">
        <v>216</v>
      </c>
      <c r="C10" s="3" t="s">
        <v>217</v>
      </c>
      <c r="D10" s="16" t="s">
        <v>35</v>
      </c>
      <c r="E10" s="16" t="s">
        <v>218</v>
      </c>
      <c r="F10" s="16">
        <f>COUNTIF('Функциональные требования'!O3:O20,"Да")</f>
        <v>8</v>
      </c>
      <c r="G10" s="16">
        <v>3</v>
      </c>
      <c r="H10" s="16" t="str">
        <f t="shared" si="0"/>
        <v>Пройдено</v>
      </c>
      <c r="I10" s="23" t="s">
        <v>712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3" t="s">
        <v>40</v>
      </c>
      <c r="B11" s="16" t="s">
        <v>219</v>
      </c>
      <c r="C11" s="3" t="s">
        <v>220</v>
      </c>
      <c r="D11" s="16" t="s">
        <v>40</v>
      </c>
      <c r="E11" s="16" t="s">
        <v>221</v>
      </c>
      <c r="F11" s="16">
        <f>COUNTA(Приоритизация!A3:A10)</f>
        <v>8</v>
      </c>
      <c r="G11" s="16">
        <v>5</v>
      </c>
      <c r="H11" s="16" t="str">
        <f t="shared" si="0"/>
        <v>Пройдено</v>
      </c>
      <c r="I11" s="23" t="s">
        <v>712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222</v>
      </c>
      <c r="B12" s="4" t="s">
        <v>223</v>
      </c>
      <c r="C12" s="4" t="s">
        <v>224</v>
      </c>
      <c r="D12" s="17" t="s">
        <v>45</v>
      </c>
      <c r="E12" s="17" t="s">
        <v>225</v>
      </c>
      <c r="F12" s="17">
        <f>COUNTIF(H3:H11,"Пройдено")</f>
        <v>9</v>
      </c>
      <c r="G12" s="17">
        <v>7</v>
      </c>
      <c r="H12" s="17" t="str">
        <f t="shared" si="0"/>
        <v>Пройдено</v>
      </c>
      <c r="I12" s="18" t="s">
        <v>712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2"/>
  <sheetViews>
    <sheetView workbookViewId="0"/>
  </sheetViews>
  <sheetFormatPr defaultRowHeight="13.5"/>
  <cols>
    <col min="1" max="1" width="37.1875" customWidth="1"/>
    <col min="2" max="2" width="52.5625" customWidth="1"/>
    <col min="3" max="3" width="10.9375" customWidth="1"/>
    <col min="4" max="4" width="32.9375" customWidth="1"/>
    <col min="5" max="5" width="10.5625" customWidth="1"/>
    <col min="6" max="6" width="29.8125" customWidth="1"/>
    <col min="7" max="9" width="14.0625" customWidth="1"/>
    <col min="10" max="26" width="10.5625" customWidth="1"/>
  </cols>
  <sheetData>
    <row r="1" spans="1:26" ht="20" customHeight="1">
      <c r="A1" s="27" t="s">
        <v>226</v>
      </c>
      <c r="B1" s="27"/>
      <c r="C1" s="27"/>
      <c r="D1" s="27"/>
      <c r="E1" s="31"/>
      <c r="F1" s="27"/>
      <c r="G1" s="27"/>
      <c r="H1" s="27"/>
      <c r="I1" s="27"/>
      <c r="J1" s="31"/>
      <c r="K1" s="31"/>
      <c r="L1" s="3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29" t="s">
        <v>227</v>
      </c>
      <c r="B2" s="29"/>
      <c r="C2" s="29"/>
      <c r="D2" s="30"/>
      <c r="E2" s="2"/>
      <c r="F2" s="29" t="s">
        <v>228</v>
      </c>
      <c r="G2" s="29"/>
      <c r="H2" s="29"/>
      <c r="I2" s="30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7" t="s">
        <v>229</v>
      </c>
      <c r="B3" s="7" t="s">
        <v>230</v>
      </c>
      <c r="C3" s="7" t="s">
        <v>231</v>
      </c>
      <c r="D3" s="14" t="s">
        <v>232</v>
      </c>
      <c r="E3" s="2"/>
      <c r="F3" s="7" t="s">
        <v>126</v>
      </c>
      <c r="G3" s="7" t="s">
        <v>204</v>
      </c>
      <c r="H3" s="7" t="s">
        <v>212</v>
      </c>
      <c r="I3" s="14" t="s">
        <v>233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11" t="s">
        <v>234</v>
      </c>
      <c r="B4" s="16">
        <f>COUNTA('Банк анализа'!A3:A14)</f>
        <v>12</v>
      </c>
      <c r="C4" s="8" t="s">
        <v>235</v>
      </c>
      <c r="D4" s="15" t="s">
        <v>236</v>
      </c>
      <c r="E4" s="2"/>
      <c r="F4" s="11" t="s">
        <v>237</v>
      </c>
      <c r="G4" s="16">
        <f>COUNTIF('Пользовательские сценарии'!S3:S12,F4)</f>
        <v>2</v>
      </c>
      <c r="H4" s="16">
        <f>COUNTIF('Функциональные требования'!N3:N20,F4)</f>
        <v>2</v>
      </c>
      <c r="I4" s="23">
        <f>COUNTIF(Приоритизация!L3:L10,"*"&amp;F4&amp;"*")</f>
        <v>0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1" t="s">
        <v>238</v>
      </c>
      <c r="B5" s="16">
        <f>COUNTIF('Банк анализа'!G3:G14,"&gt;=3")</f>
        <v>12</v>
      </c>
      <c r="C5" s="8" t="s">
        <v>235</v>
      </c>
      <c r="D5" s="15" t="s">
        <v>239</v>
      </c>
      <c r="E5" s="2"/>
      <c r="F5" s="11" t="s">
        <v>240</v>
      </c>
      <c r="G5" s="16">
        <f>COUNTIF('Пользовательские сценарии'!S3:S12,F5)</f>
        <v>3</v>
      </c>
      <c r="H5" s="16">
        <f>COUNTIF('Функциональные требования'!N3:N20,F5)</f>
        <v>6</v>
      </c>
      <c r="I5" s="23">
        <f>COUNTIF(Приоритизация!L3:L10,"*"&amp;F5&amp;"*")</f>
        <v>0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11" t="s">
        <v>241</v>
      </c>
      <c r="B6" s="16">
        <f>COUNTA('Бизнес-логика'!A3:A8)</f>
        <v>6</v>
      </c>
      <c r="C6" s="8" t="s">
        <v>235</v>
      </c>
      <c r="D6" s="15" t="s">
        <v>242</v>
      </c>
      <c r="E6" s="2"/>
      <c r="F6" s="11" t="s">
        <v>243</v>
      </c>
      <c r="G6" s="16">
        <f>COUNTIF('Пользовательские сценарии'!S3:S12,F6)</f>
        <v>0</v>
      </c>
      <c r="H6" s="16">
        <f>COUNTIF('Функциональные требования'!N3:N20,F6)</f>
        <v>4</v>
      </c>
      <c r="I6" s="23">
        <f>COUNTIF(Приоритизация!L3:L10,"*"&amp;F6&amp;"*")</f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11" t="s">
        <v>244</v>
      </c>
      <c r="B7" s="16">
        <f>IFERROR(AVERAGEIF('Бизнес-логика'!M3:M8,"&gt;0",'Бизнес-логика'!M3:M8),0)</f>
        <v>0.625</v>
      </c>
      <c r="C7" s="8" t="s">
        <v>245</v>
      </c>
      <c r="D7" s="15" t="s">
        <v>246</v>
      </c>
      <c r="E7" s="2"/>
      <c r="F7" s="11" t="s">
        <v>247</v>
      </c>
      <c r="G7" s="16">
        <f>COUNTIF('Пользовательские сценарии'!S3:S12,F7)</f>
        <v>4</v>
      </c>
      <c r="H7" s="16">
        <f>COUNTIF('Функциональные требования'!N3:N20,F7)</f>
        <v>3</v>
      </c>
      <c r="I7" s="23">
        <f>COUNTIF(Приоритизация!L3:L10,"*"&amp;F7&amp;"*")</f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1" t="s">
        <v>248</v>
      </c>
      <c r="B8" s="16">
        <f>COUNTA('Роли и сегменты'!A3:A7)</f>
        <v>5</v>
      </c>
      <c r="C8" s="8" t="s">
        <v>235</v>
      </c>
      <c r="D8" s="15" t="s">
        <v>249</v>
      </c>
      <c r="E8" s="2"/>
      <c r="F8" s="12" t="s">
        <v>250</v>
      </c>
      <c r="G8" s="17">
        <f>COUNTIF('Пользовательские сценарии'!S3:S12,F8)</f>
        <v>1</v>
      </c>
      <c r="H8" s="17">
        <f>COUNTIF('Функциональные требования'!N3:N20,F8)</f>
        <v>3</v>
      </c>
      <c r="I8" s="18">
        <f>COUNTIF(Приоритизация!L3:L10,"*"&amp;F8&amp;"*")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1" t="s">
        <v>251</v>
      </c>
      <c r="B9" s="16">
        <f>COUNTA('Пользовательские сценарии'!A3:A12)</f>
        <v>10</v>
      </c>
      <c r="C9" s="8" t="s">
        <v>235</v>
      </c>
      <c r="D9" s="15" t="s">
        <v>252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1" t="s">
        <v>253</v>
      </c>
      <c r="B10" s="16">
        <f>COUNTIF('Пользовательские сценарии'!S3:S12,"Критический")+COUNTIF('Пользовательские сценарии'!S3:S12,"Высокий")</f>
        <v>5</v>
      </c>
      <c r="C10" s="8" t="s">
        <v>235</v>
      </c>
      <c r="D10" s="15" t="s">
        <v>254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11" t="s">
        <v>255</v>
      </c>
      <c r="B11" s="16">
        <f>COUNTA('Функциональные требования'!A3:A20)</f>
        <v>18</v>
      </c>
      <c r="C11" s="8" t="s">
        <v>235</v>
      </c>
      <c r="D11" s="15" t="s">
        <v>256</v>
      </c>
      <c r="E11" s="2"/>
      <c r="F11" s="33" t="s">
        <v>257</v>
      </c>
      <c r="G11" s="33"/>
      <c r="H11" s="33"/>
      <c r="I11" s="34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8" t="s">
        <v>258</v>
      </c>
      <c r="B12" s="16">
        <f>COUNTIF('Функциональные требования'!O3:O20,"Да")</f>
        <v>8</v>
      </c>
      <c r="C12" s="8" t="s">
        <v>235</v>
      </c>
      <c r="D12" s="15" t="s">
        <v>259</v>
      </c>
      <c r="E12" s="2"/>
      <c r="F12" s="7" t="s">
        <v>184</v>
      </c>
      <c r="G12" s="7" t="s">
        <v>189</v>
      </c>
      <c r="H12" s="7" t="s">
        <v>190</v>
      </c>
      <c r="I12" s="14" t="s">
        <v>8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8" t="s">
        <v>260</v>
      </c>
      <c r="B13" s="16">
        <f>COUNTIF(Связность!H3:H12,"Пройдено")</f>
        <v>10</v>
      </c>
      <c r="C13" s="8" t="s">
        <v>261</v>
      </c>
      <c r="D13" s="15" t="s">
        <v>262</v>
      </c>
      <c r="E13" s="2"/>
      <c r="F13" s="11" t="str">
        <f>Связность!A3</f>
        <v>Единая доказательная база</v>
      </c>
      <c r="G13" s="16">
        <f>Связность!F3</f>
        <v>12</v>
      </c>
      <c r="H13" s="16">
        <f>Связность!G3</f>
        <v>5</v>
      </c>
      <c r="I13" s="23" t="str">
        <f>Связность!H3</f>
        <v>Пройдено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9" t="s">
        <v>263</v>
      </c>
      <c r="B14" s="25">
        <f>IFERROR(COUNTIF(Связность!H3:H12,"Пройдено")/10,0)</f>
        <v>1</v>
      </c>
      <c r="C14" s="9" t="s">
        <v>264</v>
      </c>
      <c r="D14" s="10" t="s">
        <v>265</v>
      </c>
      <c r="E14" s="2"/>
      <c r="F14" s="11" t="str">
        <f>Связность!A4</f>
        <v>Подтвержденные основания</v>
      </c>
      <c r="G14" s="16">
        <f>Связность!F4</f>
        <v>12</v>
      </c>
      <c r="H14" s="16">
        <f>Связность!G4</f>
        <v>3</v>
      </c>
      <c r="I14" s="23" t="str">
        <f>Связность!H4</f>
        <v>Пройдено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2"/>
      <c r="B15" s="2"/>
      <c r="C15" s="2"/>
      <c r="D15" s="2"/>
      <c r="E15" s="2"/>
      <c r="F15" s="11" t="str">
        <f>Связность!A5</f>
        <v>Бизнес-логика</v>
      </c>
      <c r="G15" s="16">
        <f>Связность!F5</f>
        <v>6</v>
      </c>
      <c r="H15" s="16">
        <f>Связность!G5</f>
        <v>3</v>
      </c>
      <c r="I15" s="23" t="str">
        <f>Связность!H5</f>
        <v>Пройдено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2"/>
      <c r="B16" s="2"/>
      <c r="C16" s="2"/>
      <c r="D16" s="2"/>
      <c r="E16" s="2"/>
      <c r="F16" s="11" t="str">
        <f>Связность!A6</f>
        <v>Роли и сегменты</v>
      </c>
      <c r="G16" s="16">
        <f>Связность!F6</f>
        <v>5</v>
      </c>
      <c r="H16" s="16">
        <f>Связность!G6</f>
        <v>2</v>
      </c>
      <c r="I16" s="23" t="str">
        <f>Связность!H6</f>
        <v>Пройдено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0" customHeight="1">
      <c r="A17" s="33" t="s">
        <v>266</v>
      </c>
      <c r="B17" s="33"/>
      <c r="C17" s="35"/>
      <c r="D17" s="36"/>
      <c r="E17" s="2"/>
      <c r="F17" s="11" t="str">
        <f>Связность!A7</f>
        <v>Сценарии</v>
      </c>
      <c r="G17" s="16">
        <f>Связность!F7</f>
        <v>10</v>
      </c>
      <c r="H17" s="16">
        <f>Связность!G7</f>
        <v>5</v>
      </c>
      <c r="I17" s="23" t="str">
        <f>Связность!H7</f>
        <v>Пройдено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8.5">
      <c r="A18" s="8" t="s">
        <v>267</v>
      </c>
      <c r="B18" s="26" t="s">
        <v>733</v>
      </c>
      <c r="C18" s="1"/>
      <c r="D18" s="1"/>
      <c r="E18" s="2"/>
      <c r="F18" s="11" t="str">
        <f>Связность!A8</f>
        <v>Монетизационные сценарии</v>
      </c>
      <c r="G18" s="16">
        <f>Связность!F8</f>
        <v>3</v>
      </c>
      <c r="H18" s="16">
        <f>Связность!G8</f>
        <v>1</v>
      </c>
      <c r="I18" s="23" t="str">
        <f>Связность!H8</f>
        <v>Пройдено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8.5">
      <c r="A19" s="8" t="s">
        <v>268</v>
      </c>
      <c r="B19" s="26" t="s">
        <v>738</v>
      </c>
      <c r="C19" s="1"/>
      <c r="D19" s="1"/>
      <c r="E19" s="2"/>
      <c r="F19" s="11" t="str">
        <f>Связность!A9</f>
        <v>Требования</v>
      </c>
      <c r="G19" s="16">
        <f>Связность!F9</f>
        <v>18</v>
      </c>
      <c r="H19" s="16">
        <f>Связность!G9</f>
        <v>5</v>
      </c>
      <c r="I19" s="23" t="str">
        <f>Связность!H9</f>
        <v>Пройдено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8.5">
      <c r="A20" s="8" t="s">
        <v>269</v>
      </c>
      <c r="B20" s="26" t="s">
        <v>270</v>
      </c>
      <c r="C20" s="1"/>
      <c r="D20" s="1"/>
      <c r="E20" s="2"/>
      <c r="F20" s="11" t="str">
        <f>Связность!A10</f>
        <v>MVP</v>
      </c>
      <c r="G20" s="16">
        <f>Связность!F10</f>
        <v>8</v>
      </c>
      <c r="H20" s="16">
        <f>Связность!G10</f>
        <v>3</v>
      </c>
      <c r="I20" s="23" t="str">
        <f>Связность!H10</f>
        <v>Пройдено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8.5">
      <c r="A21" s="8" t="s">
        <v>271</v>
      </c>
      <c r="B21" s="26" t="s">
        <v>272</v>
      </c>
      <c r="C21" s="1"/>
      <c r="D21" s="1"/>
      <c r="E21" s="2"/>
      <c r="F21" s="11" t="str">
        <f>Связность!A11</f>
        <v>Приоритизация</v>
      </c>
      <c r="G21" s="16">
        <f>Связность!F11</f>
        <v>8</v>
      </c>
      <c r="H21" s="16">
        <f>Связность!G11</f>
        <v>5</v>
      </c>
      <c r="I21" s="23" t="str">
        <f>Связность!H11</f>
        <v>Пройдено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8.5">
      <c r="A22" s="9" t="s">
        <v>273</v>
      </c>
      <c r="B22" s="13" t="s">
        <v>274</v>
      </c>
      <c r="C22" s="1"/>
      <c r="D22" s="1"/>
      <c r="E22" s="2"/>
      <c r="F22" s="12" t="str">
        <f>Связность!A12</f>
        <v>Общая связность</v>
      </c>
      <c r="G22" s="17">
        <f>Связность!F12</f>
        <v>9</v>
      </c>
      <c r="H22" s="17">
        <f>Связность!G12</f>
        <v>7</v>
      </c>
      <c r="I22" s="18" t="str">
        <f>Связность!H12</f>
        <v>Пройдено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</sheetData>
  <mergeCells count="5">
    <mergeCell ref="A1:L1"/>
    <mergeCell ref="A2:D2"/>
    <mergeCell ref="F2:I2"/>
    <mergeCell ref="F11:I11"/>
    <mergeCell ref="A17:D17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41"/>
  <sheetViews>
    <sheetView workbookViewId="0"/>
  </sheetViews>
  <sheetFormatPr defaultRowHeight="13.5"/>
  <cols>
    <col min="1" max="1" width="50.8125" customWidth="1"/>
    <col min="2" max="2" width="24.5625" customWidth="1"/>
    <col min="3" max="3" width="22.4375" customWidth="1"/>
    <col min="4" max="4" width="30.875" customWidth="1"/>
    <col min="5" max="5" width="18.25" customWidth="1"/>
    <col min="6" max="6" width="52.5625" customWidth="1"/>
    <col min="7" max="7" width="45.5625" customWidth="1"/>
    <col min="8" max="9" width="10.5625" customWidth="1"/>
    <col min="10" max="10" width="28.75" customWidth="1"/>
    <col min="11" max="26" width="10.5625" customWidth="1"/>
  </cols>
  <sheetData>
    <row r="1" spans="1:26" ht="20" customHeight="1">
      <c r="A1" s="27" t="s">
        <v>275</v>
      </c>
      <c r="B1" s="31"/>
      <c r="C1" s="31"/>
      <c r="D1" s="27"/>
      <c r="E1" s="31"/>
      <c r="F1" s="31"/>
      <c r="G1" s="27"/>
      <c r="H1" s="31"/>
      <c r="I1" s="31"/>
      <c r="J1" s="27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2"/>
    </row>
    <row r="2" spans="1:26" ht="14.25">
      <c r="A2" s="23" t="s">
        <v>127</v>
      </c>
      <c r="B2" s="2"/>
      <c r="C2" s="2"/>
      <c r="D2" s="23" t="s">
        <v>276</v>
      </c>
      <c r="E2" s="2"/>
      <c r="F2" s="2"/>
      <c r="G2" s="23" t="s">
        <v>277</v>
      </c>
      <c r="H2" s="2"/>
      <c r="I2" s="2"/>
      <c r="J2" s="23" t="s">
        <v>278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15" t="s">
        <v>279</v>
      </c>
      <c r="B3" s="2"/>
      <c r="C3" s="2"/>
      <c r="D3" s="15" t="s">
        <v>110</v>
      </c>
      <c r="E3" s="2"/>
      <c r="F3" s="2"/>
      <c r="G3" s="15" t="s">
        <v>734</v>
      </c>
      <c r="H3" s="2"/>
      <c r="I3" s="2"/>
      <c r="J3" s="15" t="s">
        <v>280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15" t="s">
        <v>65</v>
      </c>
      <c r="B4" s="2"/>
      <c r="C4" s="2"/>
      <c r="D4" s="15" t="s">
        <v>66</v>
      </c>
      <c r="E4" s="2"/>
      <c r="F4" s="2"/>
      <c r="G4" s="15" t="s">
        <v>735</v>
      </c>
      <c r="H4" s="2"/>
      <c r="I4" s="2"/>
      <c r="J4" s="15" t="s">
        <v>132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5" t="s">
        <v>68</v>
      </c>
      <c r="B5" s="2"/>
      <c r="C5" s="2"/>
      <c r="D5" s="15" t="s">
        <v>69</v>
      </c>
      <c r="E5" s="2"/>
      <c r="F5" s="2"/>
      <c r="G5" s="26" t="s">
        <v>736</v>
      </c>
      <c r="H5" s="2"/>
      <c r="I5" s="2"/>
      <c r="J5" s="15" t="s">
        <v>91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26" t="s">
        <v>281</v>
      </c>
      <c r="B6" s="2"/>
      <c r="C6" s="2"/>
      <c r="D6" s="15" t="s">
        <v>282</v>
      </c>
      <c r="E6" s="2"/>
      <c r="F6" s="2"/>
      <c r="G6" s="10" t="s">
        <v>737</v>
      </c>
      <c r="H6" s="2"/>
      <c r="I6" s="2"/>
      <c r="J6" s="15" t="s">
        <v>283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26" t="s">
        <v>284</v>
      </c>
      <c r="B7" s="2"/>
      <c r="C7" s="2"/>
      <c r="D7" s="15" t="s">
        <v>72</v>
      </c>
      <c r="E7" s="2"/>
      <c r="F7" s="2"/>
      <c r="G7" s="2"/>
      <c r="H7" s="2"/>
      <c r="I7" s="2"/>
      <c r="J7" s="15" t="s">
        <v>94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26" t="s">
        <v>285</v>
      </c>
      <c r="B8" s="2"/>
      <c r="C8" s="2"/>
      <c r="D8" s="15" t="s">
        <v>286</v>
      </c>
      <c r="E8" s="2"/>
      <c r="F8" s="2"/>
      <c r="G8" s="2"/>
      <c r="H8" s="2"/>
      <c r="I8" s="2"/>
      <c r="J8" s="15" t="s">
        <v>287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26" t="s">
        <v>288</v>
      </c>
      <c r="B9" s="2"/>
      <c r="C9" s="2"/>
      <c r="D9" s="15" t="s">
        <v>289</v>
      </c>
      <c r="E9" s="2"/>
      <c r="F9" s="2"/>
      <c r="G9" s="2"/>
      <c r="H9" s="2"/>
      <c r="I9" s="2"/>
      <c r="J9" s="15" t="s">
        <v>290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5" t="s">
        <v>71</v>
      </c>
      <c r="B10" s="2"/>
      <c r="C10" s="2"/>
      <c r="D10" s="15" t="s">
        <v>291</v>
      </c>
      <c r="E10" s="2"/>
      <c r="F10" s="2"/>
      <c r="G10" s="2"/>
      <c r="H10" s="2"/>
      <c r="I10" s="2"/>
      <c r="J10" s="15" t="s">
        <v>292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15" t="s">
        <v>293</v>
      </c>
      <c r="B11" s="2"/>
      <c r="C11" s="2"/>
      <c r="D11" s="10" t="s">
        <v>294</v>
      </c>
      <c r="E11" s="2"/>
      <c r="F11" s="2"/>
      <c r="G11" s="2"/>
      <c r="H11" s="2"/>
      <c r="I11" s="2"/>
      <c r="J11" s="10" t="s">
        <v>295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26" t="s">
        <v>296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23" t="s">
        <v>297</v>
      </c>
      <c r="B13" s="2"/>
      <c r="C13" s="2"/>
      <c r="D13" s="23" t="s">
        <v>115</v>
      </c>
      <c r="E13" s="2"/>
      <c r="F13" s="2"/>
      <c r="G13" s="23" t="s">
        <v>126</v>
      </c>
      <c r="H13" s="2"/>
      <c r="I13" s="2"/>
      <c r="J13" s="23" t="s">
        <v>8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15" t="s">
        <v>137</v>
      </c>
      <c r="B14" s="2"/>
      <c r="C14" s="2"/>
      <c r="D14" s="15" t="s">
        <v>130</v>
      </c>
      <c r="E14" s="2"/>
      <c r="F14" s="2"/>
      <c r="G14" s="15" t="s">
        <v>237</v>
      </c>
      <c r="H14" s="2"/>
      <c r="I14" s="2"/>
      <c r="J14" s="15" t="s">
        <v>298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15" t="s">
        <v>138</v>
      </c>
      <c r="B15" s="2"/>
      <c r="C15" s="2"/>
      <c r="D15" s="15" t="s">
        <v>299</v>
      </c>
      <c r="E15" s="2"/>
      <c r="F15" s="2"/>
      <c r="G15" s="15" t="s">
        <v>240</v>
      </c>
      <c r="H15" s="2"/>
      <c r="I15" s="2"/>
      <c r="J15" s="15" t="s">
        <v>719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15" t="s">
        <v>139</v>
      </c>
      <c r="B16" s="2"/>
      <c r="C16" s="2"/>
      <c r="D16" s="15" t="s">
        <v>134</v>
      </c>
      <c r="E16" s="2"/>
      <c r="F16" s="2"/>
      <c r="G16" s="15" t="s">
        <v>243</v>
      </c>
      <c r="H16" s="2"/>
      <c r="I16" s="2"/>
      <c r="J16" s="15" t="s">
        <v>96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15" t="s">
        <v>300</v>
      </c>
      <c r="B17" s="2"/>
      <c r="C17" s="2"/>
      <c r="D17" s="15" t="s">
        <v>301</v>
      </c>
      <c r="E17" s="2"/>
      <c r="F17" s="2"/>
      <c r="G17" s="15" t="s">
        <v>247</v>
      </c>
      <c r="H17" s="2"/>
      <c r="I17" s="2"/>
      <c r="J17" s="15" t="s">
        <v>302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15" t="s">
        <v>129</v>
      </c>
      <c r="B18" s="2"/>
      <c r="C18" s="2"/>
      <c r="D18" s="15" t="s">
        <v>303</v>
      </c>
      <c r="E18" s="2"/>
      <c r="F18" s="2"/>
      <c r="G18" s="10" t="s">
        <v>250</v>
      </c>
      <c r="H18" s="2"/>
      <c r="I18" s="2"/>
      <c r="J18" s="10" t="s">
        <v>304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>
      <c r="A19" s="15" t="s">
        <v>133</v>
      </c>
      <c r="B19" s="2"/>
      <c r="C19" s="2"/>
      <c r="D19" s="15" t="s">
        <v>305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>
      <c r="A20" s="15" t="s">
        <v>141</v>
      </c>
      <c r="B20" s="2"/>
      <c r="C20" s="2"/>
      <c r="D20" s="10" t="s">
        <v>306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>
      <c r="A21" s="15" t="s">
        <v>142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>
      <c r="A22" s="15" t="s">
        <v>143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>
      <c r="A23" s="15" t="s">
        <v>307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>
      <c r="A24" s="15" t="s">
        <v>308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>
      <c r="A25" s="23" t="s">
        <v>77</v>
      </c>
      <c r="B25" s="2"/>
      <c r="C25" s="2"/>
      <c r="D25" s="23" t="s">
        <v>153</v>
      </c>
      <c r="E25" s="2"/>
      <c r="F25" s="2"/>
      <c r="G25" s="23" t="s">
        <v>154</v>
      </c>
      <c r="H25" s="2"/>
      <c r="I25" s="2"/>
      <c r="J25" s="23" t="s">
        <v>309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>
      <c r="A26" s="15" t="s">
        <v>90</v>
      </c>
      <c r="B26" s="2"/>
      <c r="C26" s="2"/>
      <c r="D26" s="15" t="s">
        <v>162</v>
      </c>
      <c r="E26" s="2"/>
      <c r="F26" s="2"/>
      <c r="G26" s="15" t="s">
        <v>310</v>
      </c>
      <c r="H26" s="2"/>
      <c r="I26" s="2"/>
      <c r="J26" s="15" t="s">
        <v>95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>
      <c r="A27" s="15" t="s">
        <v>311</v>
      </c>
      <c r="B27" s="2"/>
      <c r="C27" s="2"/>
      <c r="D27" s="15" t="s">
        <v>165</v>
      </c>
      <c r="E27" s="2"/>
      <c r="F27" s="2"/>
      <c r="G27" s="15" t="s">
        <v>312</v>
      </c>
      <c r="H27" s="2"/>
      <c r="I27" s="2"/>
      <c r="J27" s="15" t="s">
        <v>313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>
      <c r="A28" s="15" t="s">
        <v>93</v>
      </c>
      <c r="B28" s="2"/>
      <c r="C28" s="2"/>
      <c r="D28" s="15" t="s">
        <v>314</v>
      </c>
      <c r="E28" s="2"/>
      <c r="F28" s="2"/>
      <c r="G28" s="15" t="s">
        <v>163</v>
      </c>
      <c r="H28" s="2"/>
      <c r="I28" s="2"/>
      <c r="J28" s="15" t="s">
        <v>315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>
      <c r="A29" s="15" t="s">
        <v>316</v>
      </c>
      <c r="B29" s="2"/>
      <c r="C29" s="2"/>
      <c r="D29" s="15" t="s">
        <v>317</v>
      </c>
      <c r="E29" s="2"/>
      <c r="F29" s="2"/>
      <c r="G29" s="15" t="s">
        <v>166</v>
      </c>
      <c r="H29" s="2"/>
      <c r="I29" s="2"/>
      <c r="J29" s="15" t="s">
        <v>318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>
      <c r="A30" s="15" t="s">
        <v>319</v>
      </c>
      <c r="B30" s="2"/>
      <c r="C30" s="2"/>
      <c r="D30" s="15" t="s">
        <v>320</v>
      </c>
      <c r="E30" s="2"/>
      <c r="F30" s="2"/>
      <c r="G30" s="10" t="s">
        <v>321</v>
      </c>
      <c r="H30" s="2"/>
      <c r="I30" s="2"/>
      <c r="J30" s="15" t="s">
        <v>322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>
      <c r="A31" s="15" t="s">
        <v>323</v>
      </c>
      <c r="B31" s="2"/>
      <c r="C31" s="2"/>
      <c r="D31" s="10" t="s">
        <v>324</v>
      </c>
      <c r="E31" s="2"/>
      <c r="F31" s="2"/>
      <c r="G31" s="2"/>
      <c r="H31" s="2"/>
      <c r="I31" s="2"/>
      <c r="J31" s="15" t="s">
        <v>325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>
      <c r="A32" s="15" t="s">
        <v>326</v>
      </c>
      <c r="B32" s="2"/>
      <c r="C32" s="2"/>
      <c r="D32" s="2"/>
      <c r="E32" s="2"/>
      <c r="F32" s="2"/>
      <c r="G32" s="2"/>
      <c r="H32" s="2"/>
      <c r="I32" s="2"/>
      <c r="J32" s="15" t="s">
        <v>327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>
      <c r="A33" s="15" t="s">
        <v>328</v>
      </c>
      <c r="B33" s="2"/>
      <c r="C33" s="2"/>
      <c r="D33" s="2"/>
      <c r="E33" s="2"/>
      <c r="F33" s="2"/>
      <c r="G33" s="2"/>
      <c r="H33" s="2"/>
      <c r="I33" s="2"/>
      <c r="J33" s="15" t="s">
        <v>329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>
      <c r="A34" s="15" t="s">
        <v>330</v>
      </c>
      <c r="B34" s="2"/>
      <c r="C34" s="2"/>
      <c r="D34" s="2"/>
      <c r="E34" s="2"/>
      <c r="F34" s="2"/>
      <c r="G34" s="2"/>
      <c r="H34" s="2"/>
      <c r="I34" s="2"/>
      <c r="J34" s="10" t="s">
        <v>331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>
      <c r="A35" s="15" t="s">
        <v>332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>
      <c r="A36" s="16" t="s">
        <v>333</v>
      </c>
      <c r="B36" s="16" t="s">
        <v>334</v>
      </c>
      <c r="C36" s="16" t="s">
        <v>335</v>
      </c>
      <c r="D36" s="16" t="s">
        <v>336</v>
      </c>
      <c r="E36" s="16" t="s">
        <v>337</v>
      </c>
      <c r="F36" s="15" t="s">
        <v>338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>
      <c r="A37" s="8" t="s">
        <v>339</v>
      </c>
      <c r="B37" s="8" t="s">
        <v>340</v>
      </c>
      <c r="C37" s="8" t="s">
        <v>341</v>
      </c>
      <c r="D37" s="8" t="s">
        <v>342</v>
      </c>
      <c r="E37" s="8" t="s">
        <v>343</v>
      </c>
      <c r="F37" s="26" t="s">
        <v>344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>
      <c r="A38" s="8" t="s">
        <v>345</v>
      </c>
      <c r="B38" s="8" t="s">
        <v>346</v>
      </c>
      <c r="C38" s="8" t="s">
        <v>347</v>
      </c>
      <c r="D38" s="8" t="s">
        <v>348</v>
      </c>
      <c r="E38" s="8" t="s">
        <v>349</v>
      </c>
      <c r="F38" s="26" t="s">
        <v>350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>
      <c r="A39" s="8" t="s">
        <v>351</v>
      </c>
      <c r="B39" s="8" t="s">
        <v>352</v>
      </c>
      <c r="C39" s="8" t="s">
        <v>353</v>
      </c>
      <c r="D39" s="8" t="s">
        <v>354</v>
      </c>
      <c r="E39" s="8" t="s">
        <v>355</v>
      </c>
      <c r="F39" s="26" t="s">
        <v>356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>
      <c r="A40" s="8" t="s">
        <v>357</v>
      </c>
      <c r="B40" s="9" t="s">
        <v>358</v>
      </c>
      <c r="C40" s="9" t="s">
        <v>359</v>
      </c>
      <c r="D40" s="9" t="s">
        <v>360</v>
      </c>
      <c r="E40" s="9" t="s">
        <v>361</v>
      </c>
      <c r="F40" s="13" t="s">
        <v>362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>
      <c r="A41" s="10" t="s">
        <v>363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</sheetData>
  <mergeCells count="1">
    <mergeCell ref="A1: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Инструкция</vt:lpstr>
      <vt:lpstr>Банк анализа</vt:lpstr>
      <vt:lpstr>Бизнес-логика</vt:lpstr>
      <vt:lpstr>Роли и сегменты</vt:lpstr>
      <vt:lpstr>Пользовательские сценарии</vt:lpstr>
      <vt:lpstr>Карта сценариев</vt:lpstr>
      <vt:lpstr>Функциональные требования</vt:lpstr>
      <vt:lpstr>Приоритизация</vt:lpstr>
      <vt:lpstr>Связность</vt:lpstr>
      <vt:lpstr>Дашборд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2026-10-06T21:30:35Z</dcterms:modified>
</cp:coreProperties>
</file>