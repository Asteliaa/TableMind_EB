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6_ЦП_Канвас_сценарии_релизы\Excel\"/>
    </mc:Choice>
  </mc:AlternateContent>
  <xr:revisionPtr revIDLastSave="0" documentId="13_ncr:1_{4A68F4CC-0E3C-4BBC-9D37-FBF7F969332A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Справочники" sheetId="1" r:id="rId1"/>
    <sheet name="Инструкция" sheetId="2" r:id="rId2"/>
    <sheet name="Исходные данные" sheetId="3" r:id="rId3"/>
    <sheet name="Проблемы клиентов" sheetId="4" r:id="rId4"/>
    <sheet name="Конкурентные решения" sheetId="5" r:id="rId5"/>
    <sheet name="Ценностные предложения" sheetId="6" r:id="rId6"/>
    <sheet name="Цифровой товар" sheetId="7" r:id="rId7"/>
    <sheet name="Единица монетизации" sheetId="8" r:id="rId8"/>
    <sheet name="Бизнес-модель" sheetId="9" r:id="rId9"/>
    <sheet name="Проверка связности" sheetId="10" r:id="rId10"/>
    <sheet name="Дашборд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7" i="6" l="1"/>
  <c r="L6" i="6"/>
  <c r="L5" i="6"/>
  <c r="L4" i="6"/>
  <c r="B4" i="11"/>
  <c r="L4" i="9"/>
  <c r="M6" i="8"/>
  <c r="N6" i="8" s="1"/>
  <c r="H6" i="8"/>
  <c r="M5" i="8"/>
  <c r="N5" i="8" s="1"/>
  <c r="H5" i="8"/>
  <c r="M4" i="8"/>
  <c r="N4" i="8" s="1"/>
  <c r="H4" i="8"/>
  <c r="K6" i="7"/>
  <c r="L6" i="7" s="1"/>
  <c r="J6" i="7"/>
  <c r="K5" i="7"/>
  <c r="L5" i="7" s="1"/>
  <c r="J5" i="7"/>
  <c r="K4" i="7"/>
  <c r="L4" i="7" s="1"/>
  <c r="J4" i="7"/>
  <c r="K6" i="6"/>
  <c r="K5" i="6"/>
  <c r="J15" i="5"/>
  <c r="K15" i="5" s="1"/>
  <c r="J14" i="5"/>
  <c r="K14" i="5" s="1"/>
  <c r="J13" i="5"/>
  <c r="K13" i="5" s="1"/>
  <c r="J12" i="5"/>
  <c r="K12" i="5" s="1"/>
  <c r="J11" i="5"/>
  <c r="K11" i="5" s="1"/>
  <c r="J10" i="5"/>
  <c r="K10" i="5" s="1"/>
  <c r="J9" i="5"/>
  <c r="K9" i="5" s="1"/>
  <c r="J8" i="5"/>
  <c r="K8" i="5" s="1"/>
  <c r="J7" i="5"/>
  <c r="K7" i="5" s="1"/>
  <c r="J6" i="5"/>
  <c r="K6" i="5" s="1"/>
  <c r="J5" i="5"/>
  <c r="K5" i="5" s="1"/>
  <c r="J4" i="5"/>
  <c r="K4" i="5" s="1"/>
  <c r="K9" i="4"/>
  <c r="L9" i="4" s="1"/>
  <c r="K8" i="4"/>
  <c r="L8" i="4" s="1"/>
  <c r="K7" i="4"/>
  <c r="L7" i="4" s="1"/>
  <c r="K6" i="4"/>
  <c r="L6" i="4" s="1"/>
  <c r="K5" i="4"/>
  <c r="L5" i="4" s="1"/>
  <c r="K4" i="4"/>
  <c r="K7" i="6" l="1"/>
  <c r="G5" i="10"/>
  <c r="H5" i="10" s="1"/>
  <c r="G6" i="10"/>
  <c r="H6" i="10" s="1"/>
  <c r="G7" i="10"/>
  <c r="H7" i="10" s="1"/>
  <c r="B9" i="11"/>
  <c r="B7" i="11"/>
  <c r="B6" i="11"/>
  <c r="B5" i="11"/>
  <c r="K4" i="6"/>
  <c r="G4" i="10" s="1"/>
  <c r="L4" i="4"/>
  <c r="B8" i="11" l="1"/>
  <c r="H4" i="10"/>
  <c r="F4" i="11"/>
  <c r="F7" i="11"/>
  <c r="F6" i="11"/>
  <c r="F5" i="11"/>
  <c r="G6" i="11" l="1"/>
  <c r="G4" i="11"/>
  <c r="G5" i="11"/>
  <c r="F13" i="11"/>
  <c r="F12" i="11"/>
  <c r="F11" i="11"/>
  <c r="G7" i="11"/>
  <c r="G11" i="11" l="1"/>
  <c r="G12" i="11"/>
  <c r="G13" i="11"/>
</calcChain>
</file>

<file path=xl/sharedStrings.xml><?xml version="1.0" encoding="utf-8"?>
<sst xmlns="http://schemas.openxmlformats.org/spreadsheetml/2006/main" count="638" uniqueCount="447">
  <si>
    <t>Справочники для выпадающих списков и шкал</t>
  </si>
  <si>
    <t>Используются на расчетных листах для унификации классификации, оценок и статусов.</t>
  </si>
  <si>
    <t>Шкала_1_5</t>
  </si>
  <si>
    <t>Сегменты</t>
  </si>
  <si>
    <t>Тип_проблемы</t>
  </si>
  <si>
    <t>Тип_ценности</t>
  </si>
  <si>
    <t>Тип_ЦП</t>
  </si>
  <si>
    <t>Тип_цифрового_товара</t>
  </si>
  <si>
    <t>Единица_монетизации</t>
  </si>
  <si>
    <t>Периодичность</t>
  </si>
  <si>
    <t>Статус</t>
  </si>
  <si>
    <t>Да_нет</t>
  </si>
  <si>
    <t>Элемент_БМ</t>
  </si>
  <si>
    <t>Решение_проверки</t>
  </si>
  <si>
    <t>Приоритет</t>
  </si>
  <si>
    <t>B2B</t>
  </si>
  <si>
    <t>Функциональная</t>
  </si>
  <si>
    <t>Экономия времени</t>
  </si>
  <si>
    <t>Устранение боли</t>
  </si>
  <si>
    <t>Веб-сервис</t>
  </si>
  <si>
    <t>Пользователь</t>
  </si>
  <si>
    <t>Разово</t>
  </si>
  <si>
    <t>Черновик</t>
  </si>
  <si>
    <t>Да</t>
  </si>
  <si>
    <t>Клиентские сегменты</t>
  </si>
  <si>
    <t>Проходят проверку</t>
  </si>
  <si>
    <t>Критический</t>
  </si>
  <si>
    <t>B2C</t>
  </si>
  <si>
    <t>Экономическая</t>
  </si>
  <si>
    <t>Снижение затрат</t>
  </si>
  <si>
    <t>Усиление результата</t>
  </si>
  <si>
    <t>Мобильное приложение</t>
  </si>
  <si>
    <t>Рабочее место</t>
  </si>
  <si>
    <t>Ежемесячно</t>
  </si>
  <si>
    <t>Нет</t>
  </si>
  <si>
    <t>Ценностное предложение</t>
  </si>
  <si>
    <t>Высокий</t>
  </si>
  <si>
    <t>B2B2C</t>
  </si>
  <si>
    <t>Организационная</t>
  </si>
  <si>
    <t>Снижение риска</t>
  </si>
  <si>
    <t>Повышение удобства</t>
  </si>
  <si>
    <t>Личный кабинет</t>
  </si>
  <si>
    <t>Транзакция</t>
  </si>
  <si>
    <t>Ежеквартально</t>
  </si>
  <si>
    <t>Готово</t>
  </si>
  <si>
    <t>Каналы</t>
  </si>
  <si>
    <t>Недостаточно данных</t>
  </si>
  <si>
    <t>Средний</t>
  </si>
  <si>
    <t>Государственный сектор</t>
  </si>
  <si>
    <t>Информационная</t>
  </si>
  <si>
    <t>Повышение точности</t>
  </si>
  <si>
    <t>Автоматизация процесса</t>
  </si>
  <si>
    <t>Платформа</t>
  </si>
  <si>
    <t>Проект</t>
  </si>
  <si>
    <t>Ежегодно</t>
  </si>
  <si>
    <t>Отклонить</t>
  </si>
  <si>
    <t>Отношения с клиентами</t>
  </si>
  <si>
    <t>Низкий</t>
  </si>
  <si>
    <t>Смешанный сегмент</t>
  </si>
  <si>
    <t>Эмоциональная</t>
  </si>
  <si>
    <t>Рост дохода</t>
  </si>
  <si>
    <t>Новая возможность</t>
  </si>
  <si>
    <t>Расширение/модуль</t>
  </si>
  <si>
    <t>Объем данных</t>
  </si>
  <si>
    <t>По использованию</t>
  </si>
  <si>
    <t>Потоки доходов</t>
  </si>
  <si>
    <t>Техническая</t>
  </si>
  <si>
    <t>Контроль и прозрачность</t>
  </si>
  <si>
    <t>Дифференциация</t>
  </si>
  <si>
    <t>Прикладной программный интерфейс</t>
  </si>
  <si>
    <t>Операция</t>
  </si>
  <si>
    <t>Подписка</t>
  </si>
  <si>
    <t>Ключевые ресурсы</t>
  </si>
  <si>
    <t>Правовая/регуляторная</t>
  </si>
  <si>
    <t>Доступность</t>
  </si>
  <si>
    <t>Снижение барьера входа</t>
  </si>
  <si>
    <t>Цифровой контент</t>
  </si>
  <si>
    <t>Пакет функций</t>
  </si>
  <si>
    <t>Комиссия</t>
  </si>
  <si>
    <t>Ключевые виды деятельности</t>
  </si>
  <si>
    <t>Персонализация</t>
  </si>
  <si>
    <t>Аналитический сервис</t>
  </si>
  <si>
    <t>Результат/отчет</t>
  </si>
  <si>
    <t>Смешанная модель</t>
  </si>
  <si>
    <t>Ключевые партнеры</t>
  </si>
  <si>
    <t>Маркетплейс</t>
  </si>
  <si>
    <t>Доступ к аудитории</t>
  </si>
  <si>
    <t>Структура затрат</t>
  </si>
  <si>
    <t>Книга предназначена для перехода от анализа проблем и конкурентов к проверяемому ценностному предложению, цифровому товару и единице монетизации.</t>
  </si>
  <si>
    <t>Раздел</t>
  </si>
  <si>
    <t>Результат</t>
  </si>
  <si>
    <t>1. Исходные данные</t>
  </si>
  <si>
    <t>Контролируемая база доказательств.</t>
  </si>
  <si>
    <t>2. Проблемы клиентов</t>
  </si>
  <si>
    <t>Каждая проблема оценивается по частоте, интенсивности, срочности, незакрытости конкурентами, готовности платить и доказательности.</t>
  </si>
  <si>
    <t>Рейтинг проблем для выбора опорной проблемы.</t>
  </si>
  <si>
    <t>3. Конкурентные решения</t>
  </si>
  <si>
    <t>По каждому конкуренту фиксируется, как он закрывает проблему и насколько убедительно оформляет свое решение.</t>
  </si>
  <si>
    <t>Понимание рыночного стандарта и пробелов.</t>
  </si>
  <si>
    <t>4. Ценностные предложения</t>
  </si>
  <si>
    <t>Для выбранных проблем формулируется обещаемый результат, разрыв рынка и итоговая формулировка ценностного предложения.</t>
  </si>
  <si>
    <t>Готовая формула ценности для клиента.</t>
  </si>
  <si>
    <t>5. Цифровой товар</t>
  </si>
  <si>
    <t>Проверяемое описание товара как носителя ценности.</t>
  </si>
  <si>
    <t>6. Единица монетизации</t>
  </si>
  <si>
    <t>Экономическая единица бизнес-модели.</t>
  </si>
  <si>
    <t>7. Связь с бизнес-моделью</t>
  </si>
  <si>
    <t>Проверяется, как товар и ценность связаны с клиентами, каналами, отношениями, ресурсами, доходами и затратами.</t>
  </si>
  <si>
    <t>Согласованная бизнес-модель.</t>
  </si>
  <si>
    <t>8. Проверка связности</t>
  </si>
  <si>
    <t>Итоговое решение о готовности концепции.</t>
  </si>
  <si>
    <t>Исходные данные анализа</t>
  </si>
  <si>
    <t>Единый реестр источников, на основании которых выделяются проблемы, конкурентные решения и признаки ценности.</t>
  </si>
  <si>
    <t>ID источника</t>
  </si>
  <si>
    <t>Дата сбора</t>
  </si>
  <si>
    <t>Тип источника</t>
  </si>
  <si>
    <t>Площадка/сайт</t>
  </si>
  <si>
    <t>Компания/товар</t>
  </si>
  <si>
    <t>Ссылка</t>
  </si>
  <si>
    <t>Фрагмент факта</t>
  </si>
  <si>
    <t>Какая проблема/решение подтверждается</t>
  </si>
  <si>
    <t>Достоверность 1–5</t>
  </si>
  <si>
    <t>Комментарий</t>
  </si>
  <si>
    <t>SRC-001</t>
  </si>
  <si>
    <t>Отзывы</t>
  </si>
  <si>
    <t>SRC-002</t>
  </si>
  <si>
    <t>Анализ проблем клиентов</t>
  </si>
  <si>
    <t>Приоритет проблемы рассчитывается по частоте, интенсивности, срочности, незакрытости конкурентами, готовности платить и доказательности.</t>
  </si>
  <si>
    <t>ID проблемы</t>
  </si>
  <si>
    <t>Сегмент</t>
  </si>
  <si>
    <t>Тип проблемы</t>
  </si>
  <si>
    <t>Формулировка проблемы клиента</t>
  </si>
  <si>
    <t>Частота 1–5</t>
  </si>
  <si>
    <t>Интенсивность 1–5</t>
  </si>
  <si>
    <t>Срочность 1–5</t>
  </si>
  <si>
    <t>Незакрытость конкурентами 1–5</t>
  </si>
  <si>
    <t>Готовность платить 1–5</t>
  </si>
  <si>
    <t>Доказательность 1–5</t>
  </si>
  <si>
    <t>Индекс проблемы</t>
  </si>
  <si>
    <t>P-001</t>
  </si>
  <si>
    <t>P-002</t>
  </si>
  <si>
    <t>Анализ конкурентных решений</t>
  </si>
  <si>
    <t>Лист показывает, какие проблемы конкуренты уже закрывают, где находится рыночный стандарт и где сохраняется пространство для дифференциации.</t>
  </si>
  <si>
    <t>Компания</t>
  </si>
  <si>
    <t>Сайт</t>
  </si>
  <si>
    <t>Как конкурент решает проблему</t>
  </si>
  <si>
    <t>Покрытие проблемы 1–5</t>
  </si>
  <si>
    <t>Ясность обещания 1–5</t>
  </si>
  <si>
    <t>Полнота товара 1–5</t>
  </si>
  <si>
    <t>Удобство доступа 1–5</t>
  </si>
  <si>
    <t>Индекс силы решения</t>
  </si>
  <si>
    <t>Уровень решения</t>
  </si>
  <si>
    <t>Формулирование ценностного предложения</t>
  </si>
  <si>
    <t>Ценностное предложение связывает опорную проблему клиента, конкурентный пробел и обещаемый измеримый результат.</t>
  </si>
  <si>
    <t>ID ЦП</t>
  </si>
  <si>
    <t>Опорная проблема</t>
  </si>
  <si>
    <t>Конкурентный пробел</t>
  </si>
  <si>
    <t>Обещаемый результат</t>
  </si>
  <si>
    <t>Механизм создания ценности</t>
  </si>
  <si>
    <t>Формулировка ценностного предложения</t>
  </si>
  <si>
    <t>Тип ЦП</t>
  </si>
  <si>
    <t>Тип ценности</t>
  </si>
  <si>
    <t>VP-001</t>
  </si>
  <si>
    <t>Описание цифрового товара как носителя ценности</t>
  </si>
  <si>
    <t>На листе ценностное предложение переводится в состав цифрового товара, функции, пользовательский сценарий и условия доступа.</t>
  </si>
  <si>
    <t>ID товара</t>
  </si>
  <si>
    <t>Название цифрового товара</t>
  </si>
  <si>
    <t>Тип цифрового товара</t>
  </si>
  <si>
    <t>Клиентская задача</t>
  </si>
  <si>
    <t>Базовая функция</t>
  </si>
  <si>
    <t>Расширенные функции</t>
  </si>
  <si>
    <t>Данные/алгоритмы как часть ценности</t>
  </si>
  <si>
    <t>Условия доступа и использования</t>
  </si>
  <si>
    <t>Носитель ценности</t>
  </si>
  <si>
    <t>Индекс товарной оформленности</t>
  </si>
  <si>
    <t>PR-001</t>
  </si>
  <si>
    <t>Определение единицы монетизации</t>
  </si>
  <si>
    <t>Единица монетизации показывает, за что именно платит клиент и как цифровой товар становится источником выручки.</t>
  </si>
  <si>
    <t>ID монетизации</t>
  </si>
  <si>
    <t>Единица монетизации</t>
  </si>
  <si>
    <t>Что покупает клиент</t>
  </si>
  <si>
    <t>Базовая цена</t>
  </si>
  <si>
    <t>Кол-во единиц в месяц</t>
  </si>
  <si>
    <t>Расчетная выручка</t>
  </si>
  <si>
    <t>Обоснование готовности платить</t>
  </si>
  <si>
    <t>Связь с ценностью 1–5</t>
  </si>
  <si>
    <t>Простота тарификации 1–5</t>
  </si>
  <si>
    <t>Повторяемость 1–5</t>
  </si>
  <si>
    <t>Монетизационный потенциал</t>
  </si>
  <si>
    <t>M-001</t>
  </si>
  <si>
    <t>Связь цифрового товара с бизнес-моделью</t>
  </si>
  <si>
    <t>Лист фиксирует, как ценностное предложение, цифровой товар и монетизация превращаются в элементы бизнес-модели.</t>
  </si>
  <si>
    <t>ID модели</t>
  </si>
  <si>
    <t>Индекс полноты бизнес-модели</t>
  </si>
  <si>
    <t>BM-001</t>
  </si>
  <si>
    <t>Итоговая проверка нужна для выявления разрывов между выбранной проблемой, обещанной ценностью, цифровым товаром и экономикой бизнес-модели.</t>
  </si>
  <si>
    <t>ID проверки</t>
  </si>
  <si>
    <t>Индекс связности</t>
  </si>
  <si>
    <t>Решение</t>
  </si>
  <si>
    <t>Главный разрыв</t>
  </si>
  <si>
    <t>Что доработать</t>
  </si>
  <si>
    <t>CHK-001</t>
  </si>
  <si>
    <t>Сводный дашборд разработки ценностного предложения и цифрового товара</t>
  </si>
  <si>
    <t>Расчетные показатели обновляются после заполнения рабочих листов.</t>
  </si>
  <si>
    <t>Показатель</t>
  </si>
  <si>
    <t>Значение</t>
  </si>
  <si>
    <t>Интерпретация</t>
  </si>
  <si>
    <t>Приоритет проблемы</t>
  </si>
  <si>
    <t>Количество</t>
  </si>
  <si>
    <t>Доля</t>
  </si>
  <si>
    <t>Количество выявленных проблем</t>
  </si>
  <si>
    <t>Объем базы проблем для выбора опорной проблемы.</t>
  </si>
  <si>
    <t>Максимальный индекс проблемы</t>
  </si>
  <si>
    <t>Наиболее значимая проблема по текущей оценке.</t>
  </si>
  <si>
    <t>Готовых ценностных предложений</t>
  </si>
  <si>
    <t>Количество формулировок, прошедших минимальную проверку полноты.</t>
  </si>
  <si>
    <t>Готовых цифровых товаров</t>
  </si>
  <si>
    <t>Количество описаний товара с достаточной оформленностью.</t>
  </si>
  <si>
    <t>Средний индекс связности</t>
  </si>
  <si>
    <t>Согласованность цепочки проблема → ценность → товар → монетизация → бизнес-модель.</t>
  </si>
  <si>
    <t>Расчетная выручка по заполненным единицам</t>
  </si>
  <si>
    <t>Сумма расчетной месячной выручки по листу монетизации.</t>
  </si>
  <si>
    <t>Решение проверки</t>
  </si>
  <si>
    <t>Отчет ЛР1</t>
  </si>
  <si>
    <t>Вордстат</t>
  </si>
  <si>
    <t>запросы о таблицах Excel</t>
  </si>
  <si>
    <t>ЛР1, раздел 2.4</t>
  </si>
  <si>
    <t>Спрос проблемный, прямого запроса на аудит мало</t>
  </si>
  <si>
    <t>ЛР1</t>
  </si>
  <si>
    <t>Отчет ЛР2-3</t>
  </si>
  <si>
    <t>Расчеты</t>
  </si>
  <si>
    <t>рынок</t>
  </si>
  <si>
    <t>ЛР2-3, раздел 2.10</t>
  </si>
  <si>
    <t>Платежеспособность достаточная</t>
  </si>
  <si>
    <t>ЛР2-3</t>
  </si>
  <si>
    <t>SRC-003</t>
  </si>
  <si>
    <t>Отчет ЛР4</t>
  </si>
  <si>
    <t>Similarweb</t>
  </si>
  <si>
    <t>12 сайтов</t>
  </si>
  <si>
    <t>ЛР4, раздел 2.2</t>
  </si>
  <si>
    <t>Заменители дают 73 % релевантного трафика; CR3 52 %</t>
  </si>
  <si>
    <t>Критичная сила - заменители</t>
  </si>
  <si>
    <t>ЛР4</t>
  </si>
  <si>
    <t>SRC-004</t>
  </si>
  <si>
    <t>G2</t>
  </si>
  <si>
    <t>PerfectXL</t>
  </si>
  <si>
    <t>https://www.g2.com/search?query=perfectxl</t>
  </si>
  <si>
    <t>0 отзывов на G2 и Trustpilot</t>
  </si>
  <si>
    <t>У прямых конкурентов нет публичных отзывов</t>
  </si>
  <si>
    <t>03.10.2026</t>
  </si>
  <si>
    <t>SRC-005</t>
  </si>
  <si>
    <t>Datarails</t>
  </si>
  <si>
    <t>https://www.g2.com/search?query=datarails</t>
  </si>
  <si>
    <t>386 отзывов, 4,6</t>
  </si>
  <si>
    <t>Платформы сильнее в доверии</t>
  </si>
  <si>
    <t>SRC-006</t>
  </si>
  <si>
    <t>Страница цен</t>
  </si>
  <si>
    <t>perfectxl.com</t>
  </si>
  <si>
    <t>https://www.perfectxl.com/pricing/</t>
  </si>
  <si>
    <t>SRC-007</t>
  </si>
  <si>
    <t>shortcut.ai</t>
  </si>
  <si>
    <t>Shortcut</t>
  </si>
  <si>
    <t>https://www.shortcut.ai/pricing</t>
  </si>
  <si>
    <t>Лестница тарифов с бесплатным входом</t>
  </si>
  <si>
    <t>SRC-008</t>
  </si>
  <si>
    <t>Главная страница</t>
  </si>
  <si>
    <t>https://www.shortcut.ai/</t>
  </si>
  <si>
    <t>SOC 2 Type II, нулевое хранение данных</t>
  </si>
  <si>
    <t>Безопасность - обязательный признак доверия</t>
  </si>
  <si>
    <t>SRC-009</t>
  </si>
  <si>
    <t>numerous.ai</t>
  </si>
  <si>
    <t>Numerous.ai</t>
  </si>
  <si>
    <t>https://www.numerous.ai/pricing</t>
  </si>
  <si>
    <t>Массовый AI-помощник дешев и не проверяет</t>
  </si>
  <si>
    <t>SRC-010</t>
  </si>
  <si>
    <t>Каталог</t>
  </si>
  <si>
    <t>AppSource</t>
  </si>
  <si>
    <t>формулы Excel</t>
  </si>
  <si>
    <t>https://appsource.microsoft.com/</t>
  </si>
  <si>
    <t>По запросу formula checker найден 1 результат, по excel audit - 138</t>
  </si>
  <si>
    <t>Ниша проверки формул в магазине почти пуста</t>
  </si>
  <si>
    <t>SRC-011</t>
  </si>
  <si>
    <t>Документ проекта</t>
  </si>
  <si>
    <t>ПЗ1</t>
  </si>
  <si>
    <t>концепция</t>
  </si>
  <si>
    <t>ПЗ1, раздел 1.1</t>
  </si>
  <si>
    <t>Ошибки есть в 86-94 % реальных таблиц; AI-надстройки лидеров сами требуют проверки</t>
  </si>
  <si>
    <t>Проблема массовая</t>
  </si>
  <si>
    <t>SRC-012</t>
  </si>
  <si>
    <t>datasnipper.com</t>
  </si>
  <si>
    <t>DataSnipper</t>
  </si>
  <si>
    <t>https://www.datasnipper.com/</t>
  </si>
  <si>
    <t>SOC 2, GDPR, AI Act; клиенты RSM, Mazars, BDO, Grant Thornton</t>
  </si>
  <si>
    <t>Доверие аудиторов строится на соответствии</t>
  </si>
  <si>
    <t>SRC-013</t>
  </si>
  <si>
    <t>arixcel.com</t>
  </si>
  <si>
    <t>Arixcel</t>
  </si>
  <si>
    <t>https://www.arixcel.com/</t>
  </si>
  <si>
    <t>Нишевый инструмент без цены и отзывов</t>
  </si>
  <si>
    <t>SRC-014</t>
  </si>
  <si>
    <t>Отчет ЛР5</t>
  </si>
  <si>
    <t>Excel</t>
  </si>
  <si>
    <t>цифровой товар</t>
  </si>
  <si>
    <t>ЛР5, раздел 2.4</t>
  </si>
  <si>
    <t>Минимальный товар и зоны дифференциации</t>
  </si>
  <si>
    <t>ЛР5</t>
  </si>
  <si>
    <t>Скрытые ошибки в формулах обнаруживаются после передачи модели заказчику, инвестору или аудитору</t>
  </si>
  <si>
    <t>ПЗ1: ошибки в 86-94 % таблиц</t>
  </si>
  <si>
    <t>Результат AI-помощника в Excel нельзя подтвердить без ручной проверки</t>
  </si>
  <si>
    <t>ПЗ1, ЛР4: заменители</t>
  </si>
  <si>
    <t>P-003</t>
  </si>
  <si>
    <t>Ручная проверка модели занимает часы и зависит от опыта проверяющего</t>
  </si>
  <si>
    <t>P-004</t>
  </si>
  <si>
    <t>Финансовая</t>
  </si>
  <si>
    <t>Специализированные инструменты дороги, цена скрыта, публичных отзывов нет</t>
  </si>
  <si>
    <t>SRC-004, SRC-006</t>
  </si>
  <si>
    <t>P-005</t>
  </si>
  <si>
    <t>Неясно, безопасно ли загружать файл с финансовыми данными во внешний сервис</t>
  </si>
  <si>
    <t>SRC-008, SRC-012</t>
  </si>
  <si>
    <t>P-006</t>
  </si>
  <si>
    <t>Нет отчета с доказательствами, который можно передать заказчику или аудитору</t>
  </si>
  <si>
    <t>https://perfectxl.com</t>
  </si>
  <si>
    <t>Risk Finder и Formula Inspector находят риски и ошибки формул</t>
  </si>
  <si>
    <t>Автоматизирует ручной обзор структуры модели</t>
  </si>
  <si>
    <t>Безопасность и соответствие на главной странице не показаны</t>
  </si>
  <si>
    <t>https://arixcel.com</t>
  </si>
  <si>
    <t>Карта формул показывает несогласованные формулы и жестко заданные числа</t>
  </si>
  <si>
    <t>https://shortcut.ai</t>
  </si>
  <si>
    <t>Агент прослеживает формулы до исходных файлов, заявленная точность 76 %</t>
  </si>
  <si>
    <t>SOC 2 Type II, нулевое хранение данных, частные шлюзы моделей</t>
  </si>
  <si>
    <t>https://numerous.ai</t>
  </si>
  <si>
    <t>Функция AI в ячейке ускоряет работу, но не проверяет результат</t>
  </si>
  <si>
    <t>https://datarails.com</t>
  </si>
  <si>
    <t>Аудируемые отчеты, закрытие месяца и журнал изменений</t>
  </si>
  <si>
    <t>https://datasnipper.com</t>
  </si>
  <si>
    <t>Доказательства аудита связываются с документами и сохраняются</t>
  </si>
  <si>
    <t>SOC 2, GDPR, AI Act, отсутствие обучения на данных клиента</t>
  </si>
  <si>
    <t>Microsoft 365 Copilot</t>
  </si>
  <si>
    <t>https://microsoft.com</t>
  </si>
  <si>
    <t>Скрытые ошибки в формулах проявляются после передачи модели.</t>
  </si>
  <si>
    <t>Специализированные инструменты находят риски, но не доказывают находки и не дают отзывов.</t>
  </si>
  <si>
    <t>Передавать модель заказчику без скрытых ошибок.</t>
  </si>
  <si>
    <t>Движок проверки правил и инвариантов; каждая находка подтверждена вычислением.</t>
  </si>
  <si>
    <t>Для финансовых аналитиков, бухгалтеров и консультантов, которые передают Excel-модели заказчикам, TableMind находит скрытые ошибки формул до отправки файла и доказывает каждую находку вычислением, поэтому модель можно сдавать без риска неверных чисел.</t>
  </si>
  <si>
    <t>ядро предложения</t>
  </si>
  <si>
    <t>VP-002</t>
  </si>
  <si>
    <t>Результат AI-помощника в Excel нельзя подтвердить.</t>
  </si>
  <si>
    <t>Универсальные AI-ассистенты генерируют формулы, но не проверяют их.</t>
  </si>
  <si>
    <t>Пользоваться AI и быть уверенным в числах.</t>
  </si>
  <si>
    <t>Для тех, кто строит таблицы с помощью AI-помощников, TableMind независимо проверяет результат движком и показывает доказательство каждой ошибки, поэтому использование AI не увеличивает риск.</t>
  </si>
  <si>
    <t>дифференциация</t>
  </si>
  <si>
    <t>VP-003</t>
  </si>
  <si>
    <t>Неясно, безопасно ли загружать файл с финансовыми данными.</t>
  </si>
  <si>
    <t>Безопасность раскрыта у Shortcut и DataSnipper, у специализированных инструментов - нет.</t>
  </si>
  <si>
    <t>Проверять файл без утечки данных.</t>
  </si>
  <si>
    <t>Обработка без долгого хранения, соответствие GDPR, прозрачная политика данных.</t>
  </si>
  <si>
    <t>Для компаний с финансовыми данными TableMind проверяет файл без хранения содержимого дольше сессии и с соблюдением GDPR, поэтому проверку можно разрешить без согласования с безопасностью.</t>
  </si>
  <si>
    <t>Устранение барьера</t>
  </si>
  <si>
    <t>Доверие</t>
  </si>
  <si>
    <t>обязательный разрыв</t>
  </si>
  <si>
    <t>VP-004</t>
  </si>
  <si>
    <t>Нет отчета с доказательствами для заказчика или аудитора.</t>
  </si>
  <si>
    <t>Отчеты аудита есть у платформ, но не у недорогих инструментов.</t>
  </si>
  <si>
    <t>Передать проверенную модель с подтверждающим отчетом.</t>
  </si>
  <si>
    <t>Отчет с перечнем находок, ячейками, объяснениями и сверкой текста с ячейками.</t>
  </si>
  <si>
    <t>Для консультантов и аудиторов TableMind выдает отчет о проверке с перечнем находок и ссылками на ячейки, поэтому проверка модели становится передаваемым документом, а не устным заверением.</t>
  </si>
  <si>
    <t>зона дифференциации</t>
  </si>
  <si>
    <t>TableMind Web Audit</t>
  </si>
  <si>
    <t>Проверить файл Excel на ошибки до передачи.</t>
  </si>
  <si>
    <t>Загрузка xlsx, поиск ошибок формул, отчет аудита.</t>
  </si>
  <si>
    <t>Объяснения, исправления, история проверок.</t>
  </si>
  <si>
    <t>Правила и инварианты, база проверок, движок вычислений.</t>
  </si>
  <si>
    <t>MVP 31.03.2027</t>
  </si>
  <si>
    <t>PR-002</t>
  </si>
  <si>
    <t>TableMind для Excel</t>
  </si>
  <si>
    <t>Надстройка</t>
  </si>
  <si>
    <t>Проверять результат AI прямо в Excel.</t>
  </si>
  <si>
    <t>Проверка текущей книги в Excel и подсветка находок.</t>
  </si>
  <si>
    <t>Проверка после каждой правки, интеграция с AppSource.</t>
  </si>
  <si>
    <t>Движок проверки, правила, сверка текста с ячейками.</t>
  </si>
  <si>
    <t>бета v1, июль 2027</t>
  </si>
  <si>
    <t>PR-003</t>
  </si>
  <si>
    <t>TableMind Team</t>
  </si>
  <si>
    <t>Командный сервис</t>
  </si>
  <si>
    <t>Согласовать проверку модели командой и передать отчет.</t>
  </si>
  <si>
    <t>Командные места, общий журнал находок.</t>
  </si>
  <si>
    <t>Роли, комментарии, шаблоны отчетов.</t>
  </si>
  <si>
    <t>Журнал изменений, шаблоны отчетов.</t>
  </si>
  <si>
    <t>следующий релиз</t>
  </si>
  <si>
    <t>Файл (разовый аудит)</t>
  </si>
  <si>
    <t>Одна проверка файла с отчетом.</t>
  </si>
  <si>
    <t>M-002</t>
  </si>
  <si>
    <t>Пользователь Pro</t>
  </si>
  <si>
    <t>Постоянный доступ к веб-аудиту и надстройке.</t>
  </si>
  <si>
    <t>M-003</t>
  </si>
  <si>
    <t>Место Team</t>
  </si>
  <si>
    <t>Место в командном рабочем пространстве.</t>
  </si>
  <si>
    <t>финансовые аналитики и FP&amp;A, бухгалтеры и аудиторы, консультанты, МСП с финансовой функцией</t>
  </si>
  <si>
    <t>независимая проверка Excel-моделей с доказательством каждой находки</t>
  </si>
  <si>
    <t>поиск по проблемным запросам, AppSource, партнерские фирмы, Product Hunt</t>
  </si>
  <si>
    <t>бесплатный старт, самообслуживание, шаблоны отчетов, обучение</t>
  </si>
  <si>
    <t>движок проверки, база правил, eval-набор, соответствие GDPR</t>
  </si>
  <si>
    <t>развитие правил, оценка точности, контент и партнерства</t>
  </si>
  <si>
    <t>Microsoft AppSource, бухгалтерские и консалтинговые фирмы, провайдеры LLM и облака</t>
  </si>
  <si>
    <t>вычисления и LLM, разработка, продвижение, поддержка</t>
  </si>
  <si>
    <t>гипотеза ЛР5</t>
  </si>
  <si>
    <t>Нет отзывов и кейсов</t>
  </si>
  <si>
    <t>Собрать пилотные отзывы после MVP</t>
  </si>
  <si>
    <t>CHK-002</t>
  </si>
  <si>
    <t>Надстройка выйдет позже веб-версии</t>
  </si>
  <si>
    <t>Показать проверку AI в веб-версии до выхода надстройки</t>
  </si>
  <si>
    <t>CHK-003</t>
  </si>
  <si>
    <t>Сертификации SOC 2 пока нет</t>
  </si>
  <si>
    <t>Описать политику данных и план SOC 2</t>
  </si>
  <si>
    <t>CHK-004</t>
  </si>
  <si>
    <t>Team выходит со следующим релизом</t>
  </si>
  <si>
    <t>Включить базовый отчет в Pro уже в первом релизе</t>
  </si>
  <si>
    <t>Заполнено частично</t>
  </si>
  <si>
    <t>-</t>
  </si>
  <si>
    <t>Формулирование ценностного предложения и цифрового товара</t>
  </si>
  <si>
    <t>Содержание</t>
  </si>
  <si>
    <t>Фиксируются источники - отзывы, сайты конкурентов, страницы тарифов, описания функций, кейсы, часто задаваемые вопросы.</t>
  </si>
  <si>
    <t>Ценностное предложение переводится в состав цифрового товара - функции, данные, сценарии использования и условия доступа.</t>
  </si>
  <si>
    <t>Определяется, за что именно платит клиент - пользователь, доступ, транзакция, операция, объем данных, результат, пакет функций.</t>
  </si>
  <si>
    <t>Оценивается, не разорвана ли цепочка - проблема → ценность → товар → монетизация → бизнес-модель.</t>
  </si>
  <si>
    <t>Структура намерений 4 578 запросов - проблемные 36,6 %, AI 45,3 %, проверка 8,6 %, услуги 2,3 %</t>
  </si>
  <si>
    <t>SAM 35 млн у.е. в год; индекс платежеспособности сегментов 2,4</t>
  </si>
  <si>
    <t>Отдельный инструмент от 69 у.е. в месяц; пакеты без цен</t>
  </si>
  <si>
    <t>Цена специализированных аналогов выше Pro 19 у.е.</t>
  </si>
  <si>
    <t>Free, Pro 89 у.е., Teams 284 у.е. + 89 у.е. за место</t>
  </si>
  <si>
    <t>8,9 у.е. в месяц, 7 дней пробного периода</t>
  </si>
  <si>
    <t>Надстройка - логика формул, сравнение, карта формул; цены нет</t>
  </si>
  <si>
    <t>Стандарт - надстройка Excel (7 из 7); разрывы - поиск ошибок, безопасность, пробный доступ (по 3 из 7)</t>
  </si>
  <si>
    <t>оценка по ЛР2-3 - экономия 4,5-5 часов в месяц</t>
  </si>
  <si>
    <t>SRC-012 - рынок аудита требует следов проверки</t>
  </si>
  <si>
    <t>Цена от 69 у.е. в месяц, пакеты без цен, отзывов нет</t>
  </si>
  <si>
    <t>Встроенный AI в Excel за 16 у.е.; результат требует проверки пользователем</t>
  </si>
  <si>
    <t>Независимая проверка результата AI - LLM предлагает, движок доказывает.</t>
  </si>
  <si>
    <t>Free, разовый аудит 9 у.е., подписка Pro 19 у.е.; личный кабинет.</t>
  </si>
  <si>
    <t>Установка из AppSource, подписка Pro 19 у.е..</t>
  </si>
  <si>
    <t>Team 29 у.е. за место в месяц.</t>
  </si>
  <si>
    <t>Низкий порог первой покупки; ориентир - месяц дешевого AI-помощника 7,1-8,9 у.е..</t>
  </si>
  <si>
    <t>Цена на медиане персональных подписок (19,2 у.е.) и в 3,6 раза ниже PerfectXL.</t>
  </si>
  <si>
    <t>Дешевле места Shortcut (около 89 у.е.) и выше медианы командных мест.</t>
  </si>
  <si>
    <t>разовый аудит 9 у.е., Pro 19 у.е. в месяц, Team 29 у.е. за место</t>
  </si>
  <si>
    <t>Проверка связности - проблема → ценность → товар → монетизация → бизнес-модель</t>
  </si>
  <si>
    <t>Частично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</si>
</sst>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3" fillId="4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4" fillId="0" borderId="4" xfId="1" applyFont="1" applyBorder="1" applyAlignment="1">
      <alignment horizontal="left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3" fontId="4" fillId="0" borderId="1" xfId="1" applyNumberFormat="1" applyFont="1" applyBorder="1" applyAlignment="1">
      <alignment horizontal="center" vertical="center" wrapText="1"/>
    </xf>
    <xf numFmtId="3" fontId="4" fillId="0" borderId="2" xfId="1" applyNumberFormat="1" applyFont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9" fontId="4" fillId="0" borderId="3" xfId="1" applyNumberFormat="1" applyFont="1" applyBorder="1" applyAlignment="1">
      <alignment horizontal="center" vertical="center" wrapText="1"/>
    </xf>
    <xf numFmtId="9" fontId="4" fillId="0" borderId="4" xfId="1" applyNumberFormat="1" applyFont="1" applyBorder="1" applyAlignment="1">
      <alignment horizontal="center" vertical="center" wrapText="1"/>
    </xf>
    <xf numFmtId="3" fontId="4" fillId="3" borderId="2" xfId="1" applyNumberFormat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3" borderId="4" xfId="1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122"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spPr>
            <a:solidFill>
              <a:srgbClr val="1F4E79"/>
            </a:solidFill>
          </c:spPr>
          <c:invertIfNegative val="1"/>
          <c:cat>
            <c:strRef>
              <c:f>Дашборд!$E$4:$E$7</c:f>
              <c:strCache>
                <c:ptCount val="4"/>
                <c:pt idx="0">
                  <c:v>Критический</c:v>
                </c:pt>
                <c:pt idx="1">
                  <c:v>Высокий</c:v>
                </c:pt>
                <c:pt idx="2">
                  <c:v>Средний</c:v>
                </c:pt>
                <c:pt idx="3">
                  <c:v>Низкий</c:v>
                </c:pt>
              </c:strCache>
            </c:strRef>
          </c:cat>
          <c:val>
            <c:numRef>
              <c:f>Дашборд!$F$4:$F$7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37E6-4406-8BB6-4B91E1E57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2</xdr:col>
      <xdr:colOff>1379537</xdr:colOff>
      <xdr:row>34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ourceDataTable" displayName="SourceDataTable" ref="A3:J17" headerRowDxfId="121" dataDxfId="120" totalsRowDxfId="119">
  <tableColumns count="10">
    <tableColumn id="1" xr3:uid="{00000000-0010-0000-0000-000001000000}" name="ID источника" dataDxfId="118"/>
    <tableColumn id="2" xr3:uid="{00000000-0010-0000-0000-000002000000}" name="Дата сбора" dataDxfId="117"/>
    <tableColumn id="3" xr3:uid="{00000000-0010-0000-0000-000003000000}" name="Тип источника" dataDxfId="116"/>
    <tableColumn id="4" xr3:uid="{00000000-0010-0000-0000-000004000000}" name="Площадка/сайт" dataDxfId="115"/>
    <tableColumn id="5" xr3:uid="{00000000-0010-0000-0000-000005000000}" name="Компания/товар" dataDxfId="114"/>
    <tableColumn id="6" xr3:uid="{00000000-0010-0000-0000-000006000000}" name="Ссылка" dataDxfId="113"/>
    <tableColumn id="7" xr3:uid="{00000000-0010-0000-0000-000007000000}" name="Фрагмент факта" dataDxfId="112"/>
    <tableColumn id="8" xr3:uid="{00000000-0010-0000-0000-000008000000}" name="Какая проблема/решение подтверждается" dataDxfId="111"/>
    <tableColumn id="9" xr3:uid="{00000000-0010-0000-0000-000009000000}" name="Достоверность 1–5" dataDxfId="110"/>
    <tableColumn id="10" xr3:uid="{00000000-0010-0000-0000-00000A000000}" name="Комментарий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oblemsTable" displayName="ProblemsTable" ref="A3:M9" headerRowDxfId="108" dataDxfId="107" totalsRowDxfId="106">
  <tableColumns count="13">
    <tableColumn id="1" xr3:uid="{00000000-0010-0000-0100-000001000000}" name="ID проблемы" dataDxfId="105"/>
    <tableColumn id="2" xr3:uid="{00000000-0010-0000-0100-000002000000}" name="Сегмент" dataDxfId="104"/>
    <tableColumn id="3" xr3:uid="{00000000-0010-0000-0100-000003000000}" name="Тип проблемы" dataDxfId="103"/>
    <tableColumn id="4" xr3:uid="{00000000-0010-0000-0100-000004000000}" name="Формулировка проблемы клиента" dataDxfId="102"/>
    <tableColumn id="5" xr3:uid="{00000000-0010-0000-0100-000005000000}" name="Частота 1–5" dataDxfId="101"/>
    <tableColumn id="6" xr3:uid="{00000000-0010-0000-0100-000006000000}" name="Интенсивность 1–5" dataDxfId="100"/>
    <tableColumn id="7" xr3:uid="{00000000-0010-0000-0100-000007000000}" name="Срочность 1–5" dataDxfId="99"/>
    <tableColumn id="8" xr3:uid="{00000000-0010-0000-0100-000008000000}" name="Незакрытость конкурентами 1–5" dataDxfId="98"/>
    <tableColumn id="9" xr3:uid="{00000000-0010-0000-0100-000009000000}" name="Готовность платить 1–5" dataDxfId="97"/>
    <tableColumn id="10" xr3:uid="{00000000-0010-0000-0100-00000A000000}" name="Доказательность 1–5" dataDxfId="96"/>
    <tableColumn id="11" xr3:uid="{00000000-0010-0000-0100-00000B000000}" name="Индекс проблемы" dataDxfId="95"/>
    <tableColumn id="12" xr3:uid="{00000000-0010-0000-0100-00000C000000}" name="Приоритет" dataDxfId="94"/>
    <tableColumn id="13" xr3:uid="{00000000-0010-0000-0100-00000D000000}" name="Комментарий" dataDxfId="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etitorSolutionsTable" displayName="CompetitorSolutionsTable" ref="A3:L15" headerRowDxfId="92" dataDxfId="91" totalsRowDxfId="90">
  <tableColumns count="12">
    <tableColumn id="1" xr3:uid="{00000000-0010-0000-0200-000001000000}" name="Компания" dataDxfId="89"/>
    <tableColumn id="2" xr3:uid="{00000000-0010-0000-0200-000002000000}" name="Сайт" dataDxfId="88"/>
    <tableColumn id="3" xr3:uid="{00000000-0010-0000-0200-000003000000}" name="ID проблемы" dataDxfId="87"/>
    <tableColumn id="4" xr3:uid="{00000000-0010-0000-0200-000004000000}" name="Как конкурент решает проблему" dataDxfId="86"/>
    <tableColumn id="5" xr3:uid="{00000000-0010-0000-0200-000005000000}" name="Покрытие проблемы 1–5" dataDxfId="85"/>
    <tableColumn id="6" xr3:uid="{00000000-0010-0000-0200-000006000000}" name="Ясность обещания 1–5" dataDxfId="84"/>
    <tableColumn id="7" xr3:uid="{00000000-0010-0000-0200-000007000000}" name="Полнота товара 1–5" dataDxfId="83"/>
    <tableColumn id="8" xr3:uid="{00000000-0010-0000-0200-000008000000}" name="Удобство доступа 1–5" dataDxfId="82"/>
    <tableColumn id="9" xr3:uid="{00000000-0010-0000-0200-000009000000}" name="Доказательность 1–5" dataDxfId="81"/>
    <tableColumn id="10" xr3:uid="{00000000-0010-0000-0200-00000A000000}" name="Индекс силы решения" dataDxfId="80"/>
    <tableColumn id="11" xr3:uid="{00000000-0010-0000-0200-00000B000000}" name="Уровень решения" dataDxfId="79"/>
    <tableColumn id="12" xr3:uid="{00000000-0010-0000-0200-00000C000000}" name="Комментарий" dataDxfId="7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aluePropositionsTable" displayName="ValuePropositionsTable" ref="A3:M7" headerRowDxfId="77" dataDxfId="76" totalsRowDxfId="75">
  <tableColumns count="13">
    <tableColumn id="1" xr3:uid="{00000000-0010-0000-0300-000001000000}" name="ID ЦП" dataDxfId="74"/>
    <tableColumn id="2" xr3:uid="{00000000-0010-0000-0300-000002000000}" name="ID проблемы" dataDxfId="73"/>
    <tableColumn id="3" xr3:uid="{00000000-0010-0000-0300-000003000000}" name="Сегмент" dataDxfId="72"/>
    <tableColumn id="4" xr3:uid="{00000000-0010-0000-0300-000004000000}" name="Опорная проблема" dataDxfId="71"/>
    <tableColumn id="5" xr3:uid="{00000000-0010-0000-0300-000005000000}" name="Конкурентный пробел" dataDxfId="70"/>
    <tableColumn id="6" xr3:uid="{00000000-0010-0000-0300-000006000000}" name="Обещаемый результат" dataDxfId="69"/>
    <tableColumn id="7" xr3:uid="{00000000-0010-0000-0300-000007000000}" name="Механизм создания ценности" dataDxfId="68"/>
    <tableColumn id="8" xr3:uid="{00000000-0010-0000-0300-000008000000}" name="Формулировка ценностного предложения" dataDxfId="67"/>
    <tableColumn id="9" xr3:uid="{00000000-0010-0000-0300-000009000000}" name="Тип ЦП" dataDxfId="66"/>
    <tableColumn id="10" xr3:uid="{00000000-0010-0000-0300-00000A000000}" name="Тип ценности" dataDxfId="65"/>
    <tableColumn id="11" xr3:uid="{00000000-0010-0000-0300-00000B000000}" name="Индекс проблемы" dataDxfId="64"/>
    <tableColumn id="12" xr3:uid="{00000000-0010-0000-0300-00000C000000}" name="Статус" dataDxfId="63"/>
    <tableColumn id="13" xr3:uid="{00000000-0010-0000-0300-00000D000000}" name="Комментарий" dataDxfId="6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gitalProductTable" displayName="DigitalProductTable" ref="A3:M6" headerRowDxfId="61" dataDxfId="60" totalsRowDxfId="59">
  <tableColumns count="13">
    <tableColumn id="1" xr3:uid="{00000000-0010-0000-0400-000001000000}" name="ID товара" dataDxfId="58"/>
    <tableColumn id="2" xr3:uid="{00000000-0010-0000-0400-000002000000}" name="ID ЦП" dataDxfId="57"/>
    <tableColumn id="3" xr3:uid="{00000000-0010-0000-0400-000003000000}" name="Название цифрового товара" dataDxfId="56"/>
    <tableColumn id="4" xr3:uid="{00000000-0010-0000-0400-000004000000}" name="Тип цифрового товара" dataDxfId="55"/>
    <tableColumn id="5" xr3:uid="{00000000-0010-0000-0400-000005000000}" name="Клиентская задача" dataDxfId="54"/>
    <tableColumn id="6" xr3:uid="{00000000-0010-0000-0400-000006000000}" name="Базовая функция" dataDxfId="53"/>
    <tableColumn id="7" xr3:uid="{00000000-0010-0000-0400-000007000000}" name="Расширенные функции" dataDxfId="52"/>
    <tableColumn id="8" xr3:uid="{00000000-0010-0000-0400-000008000000}" name="Данные/алгоритмы как часть ценности" dataDxfId="51"/>
    <tableColumn id="9" xr3:uid="{00000000-0010-0000-0400-000009000000}" name="Условия доступа и использования" dataDxfId="50"/>
    <tableColumn id="10" xr3:uid="{00000000-0010-0000-0400-00000A000000}" name="Носитель ценности" dataDxfId="49"/>
    <tableColumn id="11" xr3:uid="{00000000-0010-0000-0400-00000B000000}" name="Индекс товарной оформленности" dataDxfId="48"/>
    <tableColumn id="12" xr3:uid="{00000000-0010-0000-0400-00000C000000}" name="Статус" dataDxfId="47"/>
    <tableColumn id="13" xr3:uid="{00000000-0010-0000-0400-00000D000000}" name="Комментарий" dataDxfId="4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etizationTable" displayName="MonetizationTable" ref="A3:N6" headerRowDxfId="45" dataDxfId="44" totalsRowDxfId="43">
  <tableColumns count="14">
    <tableColumn id="1" xr3:uid="{00000000-0010-0000-0500-000001000000}" name="ID монетизации" dataDxfId="42"/>
    <tableColumn id="2" xr3:uid="{00000000-0010-0000-0500-000002000000}" name="ID товара" dataDxfId="41"/>
    <tableColumn id="3" xr3:uid="{00000000-0010-0000-0500-000003000000}" name="Единица монетизации" dataDxfId="40"/>
    <tableColumn id="4" xr3:uid="{00000000-0010-0000-0500-000004000000}" name="Что покупает клиент" dataDxfId="39"/>
    <tableColumn id="5" xr3:uid="{00000000-0010-0000-0500-000005000000}" name="Периодичность" dataDxfId="38"/>
    <tableColumn id="6" xr3:uid="{00000000-0010-0000-0500-000006000000}" name="Базовая цена" dataDxfId="37"/>
    <tableColumn id="7" xr3:uid="{00000000-0010-0000-0500-000007000000}" name="Кол-во единиц в месяц" dataDxfId="36"/>
    <tableColumn id="8" xr3:uid="{00000000-0010-0000-0500-000008000000}" name="Расчетная выручка" dataDxfId="35"/>
    <tableColumn id="9" xr3:uid="{00000000-0010-0000-0500-000009000000}" name="Обоснование готовности платить" dataDxfId="34"/>
    <tableColumn id="10" xr3:uid="{00000000-0010-0000-0500-00000A000000}" name="Связь с ценностью 1–5" dataDxfId="33"/>
    <tableColumn id="11" xr3:uid="{00000000-0010-0000-0500-00000B000000}" name="Простота тарификации 1–5" dataDxfId="32"/>
    <tableColumn id="12" xr3:uid="{00000000-0010-0000-0500-00000C000000}" name="Повторяемость 1–5" dataDxfId="31"/>
    <tableColumn id="13" xr3:uid="{00000000-0010-0000-0500-00000D000000}" name="Монетизационный потенциал" dataDxfId="30"/>
    <tableColumn id="14" xr3:uid="{00000000-0010-0000-0500-00000E000000}" name="Статус" dataDxfId="2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BusinessModelTable" displayName="BusinessModelTable" ref="A3:M4" headerRowDxfId="28" dataDxfId="27" totalsRowDxfId="26">
  <tableColumns count="13">
    <tableColumn id="1" xr3:uid="{00000000-0010-0000-0600-000001000000}" name="ID модели" dataDxfId="25"/>
    <tableColumn id="2" xr3:uid="{00000000-0010-0000-0600-000002000000}" name="ID товара" dataDxfId="24"/>
    <tableColumn id="3" xr3:uid="{00000000-0010-0000-0600-000003000000}" name="Клиентские сегменты" dataDxfId="23"/>
    <tableColumn id="4" xr3:uid="{00000000-0010-0000-0600-000004000000}" name="Ценностное предложение" dataDxfId="22"/>
    <tableColumn id="5" xr3:uid="{00000000-0010-0000-0600-000005000000}" name="Каналы" dataDxfId="21"/>
    <tableColumn id="6" xr3:uid="{00000000-0010-0000-0600-000006000000}" name="Отношения с клиентами" dataDxfId="20"/>
    <tableColumn id="7" xr3:uid="{00000000-0010-0000-0600-000007000000}" name="Потоки доходов" dataDxfId="19"/>
    <tableColumn id="8" xr3:uid="{00000000-0010-0000-0600-000008000000}" name="Ключевые ресурсы" dataDxfId="18"/>
    <tableColumn id="9" xr3:uid="{00000000-0010-0000-0600-000009000000}" name="Ключевые виды деятельности" dataDxfId="17"/>
    <tableColumn id="10" xr3:uid="{00000000-0010-0000-0600-00000A000000}" name="Ключевые партнеры" dataDxfId="16"/>
    <tableColumn id="11" xr3:uid="{00000000-0010-0000-0600-00000B000000}" name="Структура затрат" dataDxfId="15"/>
    <tableColumn id="12" xr3:uid="{00000000-0010-0000-0600-00000C000000}" name="Индекс полноты бизнес-модели" dataDxfId="14"/>
    <tableColumn id="13" xr3:uid="{00000000-0010-0000-0600-00000D000000}" name="Комментарий" dataDxfId="1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herenceCheckTable" displayName="CoherenceCheckTable" ref="A3:J7" headerRowDxfId="12" dataDxfId="11" totalsRowDxfId="10">
  <tableColumns count="10">
    <tableColumn id="1" xr3:uid="{00000000-0010-0000-0700-000001000000}" name="ID проверки" dataDxfId="9"/>
    <tableColumn id="2" xr3:uid="{00000000-0010-0000-0700-000002000000}" name="ID проблемы" dataDxfId="8"/>
    <tableColumn id="3" xr3:uid="{00000000-0010-0000-0700-000003000000}" name="ID ЦП" dataDxfId="7"/>
    <tableColumn id="4" xr3:uid="{00000000-0010-0000-0700-000004000000}" name="ID товара" dataDxfId="6"/>
    <tableColumn id="5" xr3:uid="{00000000-0010-0000-0700-000005000000}" name="ID монетизации" dataDxfId="5"/>
    <tableColumn id="6" xr3:uid="{00000000-0010-0000-0700-000006000000}" name="ID модели" dataDxfId="4"/>
    <tableColumn id="7" xr3:uid="{00000000-0010-0000-0700-000007000000}" name="Индекс связности" dataDxfId="3"/>
    <tableColumn id="8" xr3:uid="{00000000-0010-0000-0700-000008000000}" name="Решение" dataDxfId="2"/>
    <tableColumn id="9" xr3:uid="{00000000-0010-0000-0700-000009000000}" name="Главный разрыв" dataDxfId="1"/>
    <tableColumn id="10" xr3:uid="{00000000-0010-0000-0700-00000A000000}" name="Что доработать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selection sqref="A1:M1"/>
    </sheetView>
  </sheetViews>
  <sheetFormatPr defaultRowHeight="13.5"/>
  <cols>
    <col min="1" max="1" width="13" customWidth="1"/>
    <col min="2" max="2" width="26.6875" customWidth="1"/>
    <col min="3" max="3" width="25.625" customWidth="1"/>
    <col min="4" max="4" width="27.6875" customWidth="1"/>
    <col min="5" max="5" width="26.6875" customWidth="1"/>
    <col min="6" max="6" width="37.1875" customWidth="1"/>
    <col min="7" max="7" width="23.5" customWidth="1"/>
    <col min="8" max="8" width="20.375" customWidth="1"/>
    <col min="9" max="9" width="22.4375" customWidth="1"/>
    <col min="10" max="10" width="10.5625" customWidth="1"/>
    <col min="11" max="11" width="30.875" customWidth="1"/>
    <col min="12" max="12" width="23.5" customWidth="1"/>
    <col min="13" max="13" width="15.125" customWidth="1"/>
  </cols>
  <sheetData>
    <row r="1" spans="1:13" ht="20" customHeight="1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20" customHeight="1">
      <c r="A2" s="22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13" ht="14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5" t="s">
        <v>14</v>
      </c>
    </row>
    <row r="4" spans="1:13" ht="14.25">
      <c r="A4" s="2">
        <v>1</v>
      </c>
      <c r="B4" s="2" t="s">
        <v>15</v>
      </c>
      <c r="C4" s="2" t="s">
        <v>16</v>
      </c>
      <c r="D4" s="2" t="s">
        <v>17</v>
      </c>
      <c r="E4" s="2" t="s">
        <v>18</v>
      </c>
      <c r="F4" s="2" t="s">
        <v>19</v>
      </c>
      <c r="G4" s="2" t="s">
        <v>20</v>
      </c>
      <c r="H4" s="2" t="s">
        <v>21</v>
      </c>
      <c r="I4" s="2" t="s">
        <v>22</v>
      </c>
      <c r="J4" s="2" t="s">
        <v>23</v>
      </c>
      <c r="K4" s="2" t="s">
        <v>24</v>
      </c>
      <c r="L4" s="2" t="s">
        <v>25</v>
      </c>
      <c r="M4" s="6" t="s">
        <v>26</v>
      </c>
    </row>
    <row r="5" spans="1:13" ht="14.25">
      <c r="A5" s="2">
        <v>2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32</v>
      </c>
      <c r="H5" s="2" t="s">
        <v>33</v>
      </c>
      <c r="I5" s="2" t="s">
        <v>417</v>
      </c>
      <c r="J5" s="2" t="s">
        <v>34</v>
      </c>
      <c r="K5" s="2" t="s">
        <v>35</v>
      </c>
      <c r="L5" s="2" t="s">
        <v>446</v>
      </c>
      <c r="M5" s="6" t="s">
        <v>36</v>
      </c>
    </row>
    <row r="6" spans="1:13" ht="14.25">
      <c r="A6" s="2">
        <v>3</v>
      </c>
      <c r="B6" s="2" t="s">
        <v>37</v>
      </c>
      <c r="C6" s="2" t="s">
        <v>38</v>
      </c>
      <c r="D6" s="2" t="s">
        <v>39</v>
      </c>
      <c r="E6" s="2" t="s">
        <v>40</v>
      </c>
      <c r="F6" s="2" t="s">
        <v>41</v>
      </c>
      <c r="G6" s="2" t="s">
        <v>42</v>
      </c>
      <c r="H6" s="2" t="s">
        <v>43</v>
      </c>
      <c r="I6" s="2" t="s">
        <v>44</v>
      </c>
      <c r="J6" s="2" t="s">
        <v>418</v>
      </c>
      <c r="K6" s="2" t="s">
        <v>45</v>
      </c>
      <c r="L6" s="2" t="s">
        <v>46</v>
      </c>
      <c r="M6" s="6" t="s">
        <v>47</v>
      </c>
    </row>
    <row r="7" spans="1:13" ht="14.25">
      <c r="A7" s="2">
        <v>4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52</v>
      </c>
      <c r="G7" s="2" t="s">
        <v>53</v>
      </c>
      <c r="H7" s="2" t="s">
        <v>54</v>
      </c>
      <c r="I7" s="2" t="s">
        <v>55</v>
      </c>
      <c r="J7" s="2" t="s">
        <v>418</v>
      </c>
      <c r="K7" s="2" t="s">
        <v>56</v>
      </c>
      <c r="L7" s="2" t="s">
        <v>418</v>
      </c>
      <c r="M7" s="6" t="s">
        <v>57</v>
      </c>
    </row>
    <row r="8" spans="1:13" ht="14.25">
      <c r="A8" s="2">
        <v>5</v>
      </c>
      <c r="B8" s="2" t="s">
        <v>58</v>
      </c>
      <c r="C8" s="2" t="s">
        <v>59</v>
      </c>
      <c r="D8" s="2" t="s">
        <v>60</v>
      </c>
      <c r="E8" s="2" t="s">
        <v>61</v>
      </c>
      <c r="F8" s="2" t="s">
        <v>62</v>
      </c>
      <c r="G8" s="2" t="s">
        <v>63</v>
      </c>
      <c r="H8" s="2" t="s">
        <v>64</v>
      </c>
      <c r="I8" s="2" t="s">
        <v>418</v>
      </c>
      <c r="J8" s="2" t="s">
        <v>418</v>
      </c>
      <c r="K8" s="2" t="s">
        <v>65</v>
      </c>
      <c r="L8" s="2" t="s">
        <v>418</v>
      </c>
      <c r="M8" s="6" t="s">
        <v>418</v>
      </c>
    </row>
    <row r="9" spans="1:13" ht="14.25">
      <c r="A9" s="2" t="s">
        <v>418</v>
      </c>
      <c r="B9" s="2" t="s">
        <v>418</v>
      </c>
      <c r="C9" s="2" t="s">
        <v>66</v>
      </c>
      <c r="D9" s="2" t="s">
        <v>67</v>
      </c>
      <c r="E9" s="2" t="s">
        <v>68</v>
      </c>
      <c r="F9" s="7" t="s">
        <v>69</v>
      </c>
      <c r="G9" s="2" t="s">
        <v>70</v>
      </c>
      <c r="H9" s="2" t="s">
        <v>71</v>
      </c>
      <c r="I9" s="2" t="s">
        <v>418</v>
      </c>
      <c r="J9" s="2" t="s">
        <v>418</v>
      </c>
      <c r="K9" s="2" t="s">
        <v>72</v>
      </c>
      <c r="L9" s="2" t="s">
        <v>418</v>
      </c>
      <c r="M9" s="6" t="s">
        <v>418</v>
      </c>
    </row>
    <row r="10" spans="1:13" ht="14.25">
      <c r="A10" s="2" t="s">
        <v>418</v>
      </c>
      <c r="B10" s="2" t="s">
        <v>418</v>
      </c>
      <c r="C10" s="2" t="s">
        <v>73</v>
      </c>
      <c r="D10" s="2" t="s">
        <v>74</v>
      </c>
      <c r="E10" s="2" t="s">
        <v>75</v>
      </c>
      <c r="F10" s="2" t="s">
        <v>76</v>
      </c>
      <c r="G10" s="2" t="s">
        <v>77</v>
      </c>
      <c r="H10" s="2" t="s">
        <v>78</v>
      </c>
      <c r="I10" s="2" t="s">
        <v>418</v>
      </c>
      <c r="J10" s="2" t="s">
        <v>418</v>
      </c>
      <c r="K10" s="2" t="s">
        <v>79</v>
      </c>
      <c r="L10" s="2" t="s">
        <v>418</v>
      </c>
      <c r="M10" s="6" t="s">
        <v>418</v>
      </c>
    </row>
    <row r="11" spans="1:13" ht="14.25">
      <c r="A11" s="2" t="s">
        <v>418</v>
      </c>
      <c r="B11" s="2" t="s">
        <v>418</v>
      </c>
      <c r="C11" s="2" t="s">
        <v>418</v>
      </c>
      <c r="D11" s="2" t="s">
        <v>80</v>
      </c>
      <c r="E11" s="2" t="s">
        <v>418</v>
      </c>
      <c r="F11" s="2" t="s">
        <v>81</v>
      </c>
      <c r="G11" s="2" t="s">
        <v>82</v>
      </c>
      <c r="H11" s="2" t="s">
        <v>83</v>
      </c>
      <c r="I11" s="2" t="s">
        <v>418</v>
      </c>
      <c r="J11" s="2" t="s">
        <v>418</v>
      </c>
      <c r="K11" s="2" t="s">
        <v>84</v>
      </c>
      <c r="L11" s="2" t="s">
        <v>418</v>
      </c>
      <c r="M11" s="6" t="s">
        <v>418</v>
      </c>
    </row>
    <row r="12" spans="1:13" ht="14.25">
      <c r="A12" s="3" t="s">
        <v>418</v>
      </c>
      <c r="B12" s="3" t="s">
        <v>418</v>
      </c>
      <c r="C12" s="3" t="s">
        <v>418</v>
      </c>
      <c r="D12" s="3" t="s">
        <v>418</v>
      </c>
      <c r="E12" s="3" t="s">
        <v>418</v>
      </c>
      <c r="F12" s="3" t="s">
        <v>85</v>
      </c>
      <c r="G12" s="3" t="s">
        <v>86</v>
      </c>
      <c r="H12" s="3" t="s">
        <v>418</v>
      </c>
      <c r="I12" s="3" t="s">
        <v>418</v>
      </c>
      <c r="J12" s="3" t="s">
        <v>418</v>
      </c>
      <c r="K12" s="3" t="s">
        <v>87</v>
      </c>
      <c r="L12" s="3" t="s">
        <v>418</v>
      </c>
      <c r="M12" s="4" t="s">
        <v>418</v>
      </c>
    </row>
  </sheetData>
  <mergeCells count="2">
    <mergeCell ref="A1:M1"/>
    <mergeCell ref="A2:M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workbookViewId="0"/>
  </sheetViews>
  <sheetFormatPr defaultRowHeight="13.5"/>
  <cols>
    <col min="1" max="1" width="29.8125" customWidth="1"/>
    <col min="2" max="3" width="52.5625" customWidth="1"/>
    <col min="4" max="11" width="10.5625" customWidth="1"/>
  </cols>
  <sheetData>
    <row r="1" spans="1:11" ht="20" customHeight="1">
      <c r="A1" s="20" t="s">
        <v>419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20" customHeight="1">
      <c r="A2" s="22" t="s">
        <v>88</v>
      </c>
      <c r="B2" s="23"/>
      <c r="C2" s="23"/>
      <c r="D2" s="23"/>
      <c r="E2" s="23"/>
      <c r="F2" s="23"/>
      <c r="G2" s="23"/>
      <c r="H2" s="23"/>
      <c r="I2" s="23"/>
      <c r="J2" s="23"/>
      <c r="K2" s="23"/>
    </row>
    <row r="3" spans="1:11" ht="14.25">
      <c r="A3" s="1" t="s">
        <v>89</v>
      </c>
      <c r="B3" s="1" t="s">
        <v>420</v>
      </c>
      <c r="C3" s="5" t="s">
        <v>90</v>
      </c>
      <c r="D3" s="10"/>
      <c r="E3" s="10"/>
      <c r="F3" s="10"/>
      <c r="G3" s="10"/>
      <c r="H3" s="10"/>
      <c r="I3" s="10"/>
      <c r="J3" s="10"/>
      <c r="K3" s="10"/>
    </row>
    <row r="4" spans="1:11" ht="28.5">
      <c r="A4" s="7" t="s">
        <v>91</v>
      </c>
      <c r="B4" s="7" t="s">
        <v>421</v>
      </c>
      <c r="C4" s="11" t="s">
        <v>92</v>
      </c>
      <c r="D4" s="10"/>
      <c r="E4" s="10"/>
      <c r="F4" s="10"/>
      <c r="G4" s="10"/>
      <c r="H4" s="10"/>
      <c r="I4" s="10"/>
      <c r="J4" s="10"/>
      <c r="K4" s="10"/>
    </row>
    <row r="5" spans="1:11" ht="42.75">
      <c r="A5" s="7" t="s">
        <v>93</v>
      </c>
      <c r="B5" s="7" t="s">
        <v>94</v>
      </c>
      <c r="C5" s="11" t="s">
        <v>95</v>
      </c>
      <c r="D5" s="10"/>
      <c r="E5" s="10"/>
      <c r="F5" s="10"/>
      <c r="G5" s="10"/>
      <c r="H5" s="10"/>
      <c r="I5" s="10"/>
      <c r="J5" s="10"/>
      <c r="K5" s="10"/>
    </row>
    <row r="6" spans="1:11" ht="28.5">
      <c r="A6" s="7" t="s">
        <v>96</v>
      </c>
      <c r="B6" s="7" t="s">
        <v>97</v>
      </c>
      <c r="C6" s="11" t="s">
        <v>98</v>
      </c>
      <c r="D6" s="10"/>
      <c r="E6" s="10"/>
      <c r="F6" s="10"/>
      <c r="G6" s="10"/>
      <c r="H6" s="10"/>
      <c r="I6" s="10"/>
      <c r="J6" s="10"/>
      <c r="K6" s="10"/>
    </row>
    <row r="7" spans="1:11" ht="42.75">
      <c r="A7" s="7" t="s">
        <v>99</v>
      </c>
      <c r="B7" s="7" t="s">
        <v>100</v>
      </c>
      <c r="C7" s="11" t="s">
        <v>101</v>
      </c>
      <c r="D7" s="10"/>
      <c r="E7" s="10"/>
      <c r="F7" s="10"/>
      <c r="G7" s="10"/>
      <c r="H7" s="10"/>
      <c r="I7" s="10"/>
      <c r="J7" s="10"/>
      <c r="K7" s="10"/>
    </row>
    <row r="8" spans="1:11" ht="42.75">
      <c r="A8" s="7" t="s">
        <v>102</v>
      </c>
      <c r="B8" s="7" t="s">
        <v>422</v>
      </c>
      <c r="C8" s="11" t="s">
        <v>103</v>
      </c>
      <c r="D8" s="10"/>
      <c r="E8" s="10"/>
      <c r="F8" s="10"/>
      <c r="G8" s="10"/>
      <c r="H8" s="10"/>
      <c r="I8" s="10"/>
      <c r="J8" s="10"/>
      <c r="K8" s="10"/>
    </row>
    <row r="9" spans="1:11" ht="42.75">
      <c r="A9" s="7" t="s">
        <v>104</v>
      </c>
      <c r="B9" s="7" t="s">
        <v>423</v>
      </c>
      <c r="C9" s="11" t="s">
        <v>105</v>
      </c>
      <c r="D9" s="10"/>
      <c r="E9" s="10"/>
      <c r="F9" s="10"/>
      <c r="G9" s="10"/>
      <c r="H9" s="10"/>
      <c r="I9" s="10"/>
      <c r="J9" s="10"/>
      <c r="K9" s="10"/>
    </row>
    <row r="10" spans="1:11" ht="28.5">
      <c r="A10" s="7" t="s">
        <v>106</v>
      </c>
      <c r="B10" s="7" t="s">
        <v>107</v>
      </c>
      <c r="C10" s="6" t="s">
        <v>108</v>
      </c>
      <c r="D10" s="10"/>
      <c r="E10" s="10"/>
      <c r="F10" s="10"/>
      <c r="G10" s="10"/>
      <c r="H10" s="10"/>
      <c r="I10" s="10"/>
      <c r="J10" s="10"/>
      <c r="K10" s="10"/>
    </row>
    <row r="11" spans="1:11" ht="28.5">
      <c r="A11" s="8" t="s">
        <v>109</v>
      </c>
      <c r="B11" s="8" t="s">
        <v>424</v>
      </c>
      <c r="C11" s="9" t="s">
        <v>110</v>
      </c>
      <c r="D11" s="10"/>
      <c r="E11" s="10"/>
      <c r="F11" s="10"/>
      <c r="G11" s="10"/>
      <c r="H11" s="10"/>
      <c r="I11" s="10"/>
      <c r="J11" s="10"/>
      <c r="K11" s="10"/>
    </row>
  </sheetData>
  <mergeCells count="2">
    <mergeCell ref="A1:K1"/>
    <mergeCell ref="A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7"/>
  <sheetViews>
    <sheetView workbookViewId="0"/>
  </sheetViews>
  <sheetFormatPr defaultRowHeight="13.5"/>
  <cols>
    <col min="1" max="1" width="16.1875" customWidth="1"/>
    <col min="2" max="2" width="14.0625" customWidth="1"/>
    <col min="3" max="3" width="20.375" customWidth="1"/>
    <col min="4" max="4" width="19.3125" customWidth="1"/>
    <col min="5" max="5" width="28.75" customWidth="1"/>
    <col min="6" max="6" width="46.625" customWidth="1"/>
    <col min="7" max="8" width="52.5625" customWidth="1"/>
    <col min="9" max="9" width="21.4375" customWidth="1"/>
    <col min="10" max="10" width="15.125" customWidth="1"/>
  </cols>
  <sheetData>
    <row r="1" spans="1:10" ht="20" customHeight="1">
      <c r="A1" s="20" t="s">
        <v>111</v>
      </c>
      <c r="B1" s="21"/>
      <c r="C1" s="21"/>
      <c r="D1" s="21"/>
      <c r="E1" s="21"/>
      <c r="F1" s="21"/>
      <c r="G1" s="21"/>
      <c r="H1" s="21"/>
      <c r="I1" s="21"/>
      <c r="J1" s="21"/>
    </row>
    <row r="2" spans="1:10" ht="20" customHeight="1">
      <c r="A2" s="22" t="s">
        <v>112</v>
      </c>
      <c r="B2" s="23"/>
      <c r="C2" s="23"/>
      <c r="D2" s="23"/>
      <c r="E2" s="23"/>
      <c r="F2" s="23"/>
      <c r="G2" s="23"/>
      <c r="H2" s="23"/>
      <c r="I2" s="23"/>
      <c r="J2" s="23"/>
    </row>
    <row r="3" spans="1:10" ht="14.25">
      <c r="A3" s="1" t="s">
        <v>113</v>
      </c>
      <c r="B3" s="1" t="s">
        <v>114</v>
      </c>
      <c r="C3" s="1" t="s">
        <v>115</v>
      </c>
      <c r="D3" s="1" t="s">
        <v>116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5" t="s">
        <v>122</v>
      </c>
    </row>
    <row r="4" spans="1:10" ht="28.5">
      <c r="A4" s="7" t="s">
        <v>123</v>
      </c>
      <c r="B4" s="12">
        <v>46298</v>
      </c>
      <c r="C4" s="2" t="s">
        <v>223</v>
      </c>
      <c r="D4" s="2" t="s">
        <v>224</v>
      </c>
      <c r="E4" s="2" t="s">
        <v>225</v>
      </c>
      <c r="F4" s="2" t="s">
        <v>226</v>
      </c>
      <c r="G4" s="7" t="s">
        <v>425</v>
      </c>
      <c r="H4" s="7" t="s">
        <v>227</v>
      </c>
      <c r="I4" s="2">
        <v>4</v>
      </c>
      <c r="J4" s="6" t="s">
        <v>228</v>
      </c>
    </row>
    <row r="5" spans="1:10" ht="14.25">
      <c r="A5" s="7" t="s">
        <v>125</v>
      </c>
      <c r="B5" s="12">
        <v>46298</v>
      </c>
      <c r="C5" s="2" t="s">
        <v>229</v>
      </c>
      <c r="D5" s="2" t="s">
        <v>230</v>
      </c>
      <c r="E5" s="2" t="s">
        <v>231</v>
      </c>
      <c r="F5" s="2" t="s">
        <v>232</v>
      </c>
      <c r="G5" s="7" t="s">
        <v>426</v>
      </c>
      <c r="H5" s="7" t="s">
        <v>233</v>
      </c>
      <c r="I5" s="2">
        <v>4</v>
      </c>
      <c r="J5" s="6" t="s">
        <v>234</v>
      </c>
    </row>
    <row r="6" spans="1:10" ht="14.25">
      <c r="A6" s="7" t="s">
        <v>235</v>
      </c>
      <c r="B6" s="12">
        <v>46298</v>
      </c>
      <c r="C6" s="2" t="s">
        <v>236</v>
      </c>
      <c r="D6" s="2" t="s">
        <v>237</v>
      </c>
      <c r="E6" s="2" t="s">
        <v>238</v>
      </c>
      <c r="F6" s="2" t="s">
        <v>239</v>
      </c>
      <c r="G6" s="7" t="s">
        <v>240</v>
      </c>
      <c r="H6" s="2" t="s">
        <v>241</v>
      </c>
      <c r="I6" s="2">
        <v>4</v>
      </c>
      <c r="J6" s="6" t="s">
        <v>242</v>
      </c>
    </row>
    <row r="7" spans="1:10" ht="14.25">
      <c r="A7" s="7" t="s">
        <v>243</v>
      </c>
      <c r="B7" s="12">
        <v>46298</v>
      </c>
      <c r="C7" s="2" t="s">
        <v>124</v>
      </c>
      <c r="D7" s="2" t="s">
        <v>244</v>
      </c>
      <c r="E7" s="2" t="s">
        <v>245</v>
      </c>
      <c r="F7" s="7" t="s">
        <v>246</v>
      </c>
      <c r="G7" s="2" t="s">
        <v>247</v>
      </c>
      <c r="H7" s="7" t="s">
        <v>248</v>
      </c>
      <c r="I7" s="2">
        <v>5</v>
      </c>
      <c r="J7" s="6" t="s">
        <v>249</v>
      </c>
    </row>
    <row r="8" spans="1:10" ht="14.25">
      <c r="A8" s="7" t="s">
        <v>250</v>
      </c>
      <c r="B8" s="12">
        <v>46298</v>
      </c>
      <c r="C8" s="2" t="s">
        <v>124</v>
      </c>
      <c r="D8" s="2" t="s">
        <v>244</v>
      </c>
      <c r="E8" s="2" t="s">
        <v>251</v>
      </c>
      <c r="F8" s="7" t="s">
        <v>252</v>
      </c>
      <c r="G8" s="2" t="s">
        <v>253</v>
      </c>
      <c r="H8" s="2" t="s">
        <v>254</v>
      </c>
      <c r="I8" s="2">
        <v>5</v>
      </c>
      <c r="J8" s="6" t="s">
        <v>249</v>
      </c>
    </row>
    <row r="9" spans="1:10" ht="14.25">
      <c r="A9" s="7" t="s">
        <v>255</v>
      </c>
      <c r="B9" s="12">
        <v>46298</v>
      </c>
      <c r="C9" s="2" t="s">
        <v>256</v>
      </c>
      <c r="D9" s="2" t="s">
        <v>257</v>
      </c>
      <c r="E9" s="2" t="s">
        <v>245</v>
      </c>
      <c r="F9" s="7" t="s">
        <v>258</v>
      </c>
      <c r="G9" s="7" t="s">
        <v>427</v>
      </c>
      <c r="H9" s="7" t="s">
        <v>428</v>
      </c>
      <c r="I9" s="2">
        <v>5</v>
      </c>
      <c r="J9" s="6" t="s">
        <v>249</v>
      </c>
    </row>
    <row r="10" spans="1:10" ht="14.25">
      <c r="A10" s="7" t="s">
        <v>259</v>
      </c>
      <c r="B10" s="12">
        <v>46298</v>
      </c>
      <c r="C10" s="2" t="s">
        <v>256</v>
      </c>
      <c r="D10" s="2" t="s">
        <v>260</v>
      </c>
      <c r="E10" s="2" t="s">
        <v>261</v>
      </c>
      <c r="F10" s="7" t="s">
        <v>262</v>
      </c>
      <c r="G10" s="7" t="s">
        <v>429</v>
      </c>
      <c r="H10" s="7" t="s">
        <v>263</v>
      </c>
      <c r="I10" s="2">
        <v>5</v>
      </c>
      <c r="J10" s="6" t="s">
        <v>249</v>
      </c>
    </row>
    <row r="11" spans="1:10" ht="14.25">
      <c r="A11" s="7" t="s">
        <v>264</v>
      </c>
      <c r="B11" s="12">
        <v>46298</v>
      </c>
      <c r="C11" s="2" t="s">
        <v>265</v>
      </c>
      <c r="D11" s="2" t="s">
        <v>260</v>
      </c>
      <c r="E11" s="2" t="s">
        <v>261</v>
      </c>
      <c r="F11" s="2" t="s">
        <v>266</v>
      </c>
      <c r="G11" s="7" t="s">
        <v>267</v>
      </c>
      <c r="H11" s="7" t="s">
        <v>268</v>
      </c>
      <c r="I11" s="2">
        <v>5</v>
      </c>
      <c r="J11" s="6" t="s">
        <v>249</v>
      </c>
    </row>
    <row r="12" spans="1:10" ht="14.25">
      <c r="A12" s="7" t="s">
        <v>269</v>
      </c>
      <c r="B12" s="12">
        <v>46298</v>
      </c>
      <c r="C12" s="2" t="s">
        <v>256</v>
      </c>
      <c r="D12" s="2" t="s">
        <v>270</v>
      </c>
      <c r="E12" s="2" t="s">
        <v>271</v>
      </c>
      <c r="F12" s="7" t="s">
        <v>272</v>
      </c>
      <c r="G12" s="7" t="s">
        <v>430</v>
      </c>
      <c r="H12" s="7" t="s">
        <v>273</v>
      </c>
      <c r="I12" s="2">
        <v>5</v>
      </c>
      <c r="J12" s="6" t="s">
        <v>249</v>
      </c>
    </row>
    <row r="13" spans="1:10" ht="28.5">
      <c r="A13" s="7" t="s">
        <v>274</v>
      </c>
      <c r="B13" s="12">
        <v>46298</v>
      </c>
      <c r="C13" s="2" t="s">
        <v>275</v>
      </c>
      <c r="D13" s="2" t="s">
        <v>276</v>
      </c>
      <c r="E13" s="2" t="s">
        <v>277</v>
      </c>
      <c r="F13" s="7" t="s">
        <v>278</v>
      </c>
      <c r="G13" s="7" t="s">
        <v>279</v>
      </c>
      <c r="H13" s="7" t="s">
        <v>280</v>
      </c>
      <c r="I13" s="2">
        <v>4</v>
      </c>
      <c r="J13" s="6" t="s">
        <v>249</v>
      </c>
    </row>
    <row r="14" spans="1:10" ht="28.5">
      <c r="A14" s="7" t="s">
        <v>281</v>
      </c>
      <c r="B14" s="12">
        <v>46298</v>
      </c>
      <c r="C14" s="2" t="s">
        <v>282</v>
      </c>
      <c r="D14" s="2" t="s">
        <v>283</v>
      </c>
      <c r="E14" s="2" t="s">
        <v>284</v>
      </c>
      <c r="F14" s="2" t="s">
        <v>285</v>
      </c>
      <c r="G14" s="7" t="s">
        <v>286</v>
      </c>
      <c r="H14" s="2" t="s">
        <v>287</v>
      </c>
      <c r="I14" s="2">
        <v>4</v>
      </c>
      <c r="J14" s="6" t="s">
        <v>283</v>
      </c>
    </row>
    <row r="15" spans="1:10" ht="14.25">
      <c r="A15" s="7" t="s">
        <v>288</v>
      </c>
      <c r="B15" s="12">
        <v>46298</v>
      </c>
      <c r="C15" s="2" t="s">
        <v>265</v>
      </c>
      <c r="D15" s="2" t="s">
        <v>289</v>
      </c>
      <c r="E15" s="2" t="s">
        <v>290</v>
      </c>
      <c r="F15" s="2" t="s">
        <v>291</v>
      </c>
      <c r="G15" s="7" t="s">
        <v>292</v>
      </c>
      <c r="H15" s="7" t="s">
        <v>293</v>
      </c>
      <c r="I15" s="2">
        <v>5</v>
      </c>
      <c r="J15" s="6" t="s">
        <v>249</v>
      </c>
    </row>
    <row r="16" spans="1:10" ht="14.25">
      <c r="A16" s="7" t="s">
        <v>294</v>
      </c>
      <c r="B16" s="12">
        <v>46298</v>
      </c>
      <c r="C16" s="2" t="s">
        <v>265</v>
      </c>
      <c r="D16" s="2" t="s">
        <v>295</v>
      </c>
      <c r="E16" s="2" t="s">
        <v>296</v>
      </c>
      <c r="F16" s="2" t="s">
        <v>297</v>
      </c>
      <c r="G16" s="7" t="s">
        <v>431</v>
      </c>
      <c r="H16" s="7" t="s">
        <v>298</v>
      </c>
      <c r="I16" s="2">
        <v>4</v>
      </c>
      <c r="J16" s="6" t="s">
        <v>249</v>
      </c>
    </row>
    <row r="17" spans="1:10" ht="28.5">
      <c r="A17" s="8" t="s">
        <v>299</v>
      </c>
      <c r="B17" s="13">
        <v>46298</v>
      </c>
      <c r="C17" s="3" t="s">
        <v>300</v>
      </c>
      <c r="D17" s="3" t="s">
        <v>301</v>
      </c>
      <c r="E17" s="3" t="s">
        <v>302</v>
      </c>
      <c r="F17" s="3" t="s">
        <v>303</v>
      </c>
      <c r="G17" s="8" t="s">
        <v>432</v>
      </c>
      <c r="H17" s="8" t="s">
        <v>304</v>
      </c>
      <c r="I17" s="3">
        <v>4</v>
      </c>
      <c r="J17" s="4" t="s">
        <v>305</v>
      </c>
    </row>
  </sheetData>
  <mergeCells count="2">
    <mergeCell ref="A1:J1"/>
    <mergeCell ref="A2:J2"/>
  </mergeCells>
  <dataValidations count="1">
    <dataValidation type="list" sqref="C4:C17" xr:uid="{00000000-0002-0000-0200-000001000000}">
      <formula1>"Отзывы,Сайт конкурента,Тарифы,Описание функций,Кейс,FAQ,Документация,Реклама,Сообщество"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Справочники!$A$4:$A$8</xm:f>
          </x14:formula1>
          <xm:sqref>I4:I17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9"/>
  <sheetViews>
    <sheetView workbookViewId="0"/>
  </sheetViews>
  <sheetFormatPr defaultRowHeight="13.5"/>
  <cols>
    <col min="1" max="1" width="15.125" customWidth="1"/>
    <col min="2" max="2" width="10.9375" customWidth="1"/>
    <col min="3" max="3" width="19.3125" customWidth="1"/>
    <col min="4" max="4" width="52.5625" customWidth="1"/>
    <col min="5" max="5" width="15.125" customWidth="1"/>
    <col min="6" max="6" width="21.4375" customWidth="1"/>
    <col min="7" max="7" width="17.1875" customWidth="1"/>
    <col min="8" max="8" width="34" customWidth="1"/>
    <col min="9" max="9" width="26.6875" customWidth="1"/>
    <col min="10" max="10" width="23.5" customWidth="1"/>
    <col min="11" max="11" width="19.3125" customWidth="1"/>
    <col min="12" max="12" width="15.125" customWidth="1"/>
    <col min="13" max="13" width="51.875" customWidth="1"/>
  </cols>
  <sheetData>
    <row r="1" spans="1:13" ht="20" customHeight="1">
      <c r="A1" s="20" t="s">
        <v>126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20" customHeight="1">
      <c r="A2" s="22" t="s">
        <v>127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13" ht="14.25">
      <c r="A3" s="1" t="s">
        <v>128</v>
      </c>
      <c r="B3" s="1" t="s">
        <v>129</v>
      </c>
      <c r="C3" s="1" t="s">
        <v>130</v>
      </c>
      <c r="D3" s="1" t="s">
        <v>131</v>
      </c>
      <c r="E3" s="1" t="s">
        <v>132</v>
      </c>
      <c r="F3" s="1" t="s">
        <v>133</v>
      </c>
      <c r="G3" s="1" t="s">
        <v>134</v>
      </c>
      <c r="H3" s="1" t="s">
        <v>135</v>
      </c>
      <c r="I3" s="1" t="s">
        <v>136</v>
      </c>
      <c r="J3" s="1" t="s">
        <v>137</v>
      </c>
      <c r="K3" s="1" t="s">
        <v>138</v>
      </c>
      <c r="L3" s="1" t="s">
        <v>14</v>
      </c>
      <c r="M3" s="5" t="s">
        <v>122</v>
      </c>
    </row>
    <row r="4" spans="1:13" ht="28.5">
      <c r="A4" s="7" t="s">
        <v>139</v>
      </c>
      <c r="B4" s="2" t="s">
        <v>15</v>
      </c>
      <c r="C4" s="2" t="s">
        <v>16</v>
      </c>
      <c r="D4" s="7" t="s">
        <v>306</v>
      </c>
      <c r="E4" s="2">
        <v>5</v>
      </c>
      <c r="F4" s="2">
        <v>5</v>
      </c>
      <c r="G4" s="2">
        <v>4</v>
      </c>
      <c r="H4" s="2">
        <v>3</v>
      </c>
      <c r="I4" s="2">
        <v>4</v>
      </c>
      <c r="J4" s="2">
        <v>5</v>
      </c>
      <c r="K4" s="2">
        <f t="shared" ref="K4:K9" si="0">IF(COUNTA(E4:J4)=0,"",ROUND(((E4*0.18)+(F4*0.22)+(G4*0.18)+(H4*0.2)+(I4*0.14)+(J4*0.08))*20,0))</f>
        <v>86</v>
      </c>
      <c r="L4" s="2" t="str">
        <f t="shared" ref="L4:L9" si="1">IF(K4="","",IF(K4&gt;=80,"Критический",IF(K4&gt;=65,"Высокий",IF(K4&gt;=45,"Средний","Низкий"))))</f>
        <v>Критический</v>
      </c>
      <c r="M4" s="6" t="s">
        <v>307</v>
      </c>
    </row>
    <row r="5" spans="1:13" ht="28.5">
      <c r="A5" s="7" t="s">
        <v>140</v>
      </c>
      <c r="B5" s="2" t="s">
        <v>15</v>
      </c>
      <c r="C5" s="2" t="s">
        <v>16</v>
      </c>
      <c r="D5" s="7" t="s">
        <v>308</v>
      </c>
      <c r="E5" s="2">
        <v>4</v>
      </c>
      <c r="F5" s="2">
        <v>4</v>
      </c>
      <c r="G5" s="2">
        <v>4</v>
      </c>
      <c r="H5" s="2">
        <v>4</v>
      </c>
      <c r="I5" s="2">
        <v>4</v>
      </c>
      <c r="J5" s="2">
        <v>4</v>
      </c>
      <c r="K5" s="2">
        <f t="shared" si="0"/>
        <v>80</v>
      </c>
      <c r="L5" s="2" t="str">
        <f t="shared" si="1"/>
        <v>Критический</v>
      </c>
      <c r="M5" s="6" t="s">
        <v>309</v>
      </c>
    </row>
    <row r="6" spans="1:13" ht="28.5">
      <c r="A6" s="7" t="s">
        <v>310</v>
      </c>
      <c r="B6" s="2" t="s">
        <v>15</v>
      </c>
      <c r="C6" s="2" t="s">
        <v>38</v>
      </c>
      <c r="D6" s="7" t="s">
        <v>311</v>
      </c>
      <c r="E6" s="2">
        <v>4</v>
      </c>
      <c r="F6" s="2">
        <v>4</v>
      </c>
      <c r="G6" s="2">
        <v>3</v>
      </c>
      <c r="H6" s="2">
        <v>3</v>
      </c>
      <c r="I6" s="2">
        <v>4</v>
      </c>
      <c r="J6" s="2">
        <v>3</v>
      </c>
      <c r="K6" s="2">
        <f t="shared" si="0"/>
        <v>71</v>
      </c>
      <c r="L6" s="2" t="str">
        <f t="shared" si="1"/>
        <v>Высокий</v>
      </c>
      <c r="M6" s="11" t="s">
        <v>433</v>
      </c>
    </row>
    <row r="7" spans="1:13" ht="28.5">
      <c r="A7" s="7" t="s">
        <v>312</v>
      </c>
      <c r="B7" s="2" t="s">
        <v>15</v>
      </c>
      <c r="C7" s="2" t="s">
        <v>313</v>
      </c>
      <c r="D7" s="7" t="s">
        <v>314</v>
      </c>
      <c r="E7" s="2">
        <v>3</v>
      </c>
      <c r="F7" s="2">
        <v>3</v>
      </c>
      <c r="G7" s="2">
        <v>2</v>
      </c>
      <c r="H7" s="2">
        <v>4</v>
      </c>
      <c r="I7" s="2">
        <v>3</v>
      </c>
      <c r="J7" s="2">
        <v>4</v>
      </c>
      <c r="K7" s="2">
        <f t="shared" si="0"/>
        <v>62</v>
      </c>
      <c r="L7" s="2" t="str">
        <f t="shared" si="1"/>
        <v>Средний</v>
      </c>
      <c r="M7" s="6" t="s">
        <v>315</v>
      </c>
    </row>
    <row r="8" spans="1:13" ht="28.5">
      <c r="A8" s="7" t="s">
        <v>316</v>
      </c>
      <c r="B8" s="2" t="s">
        <v>15</v>
      </c>
      <c r="C8" s="2" t="s">
        <v>49</v>
      </c>
      <c r="D8" s="7" t="s">
        <v>317</v>
      </c>
      <c r="E8" s="2">
        <v>3</v>
      </c>
      <c r="F8" s="2">
        <v>4</v>
      </c>
      <c r="G8" s="2">
        <v>4</v>
      </c>
      <c r="H8" s="2">
        <v>3</v>
      </c>
      <c r="I8" s="2">
        <v>3</v>
      </c>
      <c r="J8" s="2">
        <v>4</v>
      </c>
      <c r="K8" s="2">
        <f t="shared" si="0"/>
        <v>70</v>
      </c>
      <c r="L8" s="2" t="str">
        <f t="shared" si="1"/>
        <v>Высокий</v>
      </c>
      <c r="M8" s="6" t="s">
        <v>318</v>
      </c>
    </row>
    <row r="9" spans="1:13" ht="28.5">
      <c r="A9" s="8" t="s">
        <v>319</v>
      </c>
      <c r="B9" s="3" t="s">
        <v>15</v>
      </c>
      <c r="C9" s="3" t="s">
        <v>38</v>
      </c>
      <c r="D9" s="8" t="s">
        <v>320</v>
      </c>
      <c r="E9" s="3">
        <v>3</v>
      </c>
      <c r="F9" s="3">
        <v>4</v>
      </c>
      <c r="G9" s="3">
        <v>3</v>
      </c>
      <c r="H9" s="3">
        <v>4</v>
      </c>
      <c r="I9" s="3">
        <v>4</v>
      </c>
      <c r="J9" s="3">
        <v>3</v>
      </c>
      <c r="K9" s="3">
        <f t="shared" si="0"/>
        <v>71</v>
      </c>
      <c r="L9" s="3" t="str">
        <f t="shared" si="1"/>
        <v>Высокий</v>
      </c>
      <c r="M9" s="9" t="s">
        <v>434</v>
      </c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300-000000000000}">
          <x14:formula1>
            <xm:f>Справочники!$A$4:$A$8</xm:f>
          </x14:formula1>
          <xm:sqref>E4:J9</xm:sqref>
        </x14:dataValidation>
        <x14:dataValidation type="list" xr:uid="{00000000-0002-0000-0300-000006000000}">
          <x14:formula1>
            <xm:f>Справочники!$B$4:$B$8</xm:f>
          </x14:formula1>
          <xm:sqref>B4:B9</xm:sqref>
        </x14:dataValidation>
        <x14:dataValidation type="list" xr:uid="{00000000-0002-0000-0300-000007000000}">
          <x14:formula1>
            <xm:f>Справочники!$C$4:$C$10</xm:f>
          </x14:formula1>
          <xm:sqref>C4:C9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5"/>
  <sheetViews>
    <sheetView workbookViewId="0"/>
  </sheetViews>
  <sheetFormatPr defaultRowHeight="13.5"/>
  <cols>
    <col min="1" max="1" width="25.625" customWidth="1"/>
    <col min="2" max="2" width="27.6875" customWidth="1"/>
    <col min="3" max="3" width="15.125" customWidth="1"/>
    <col min="4" max="4" width="52.5625" customWidth="1"/>
    <col min="5" max="5" width="25.625" customWidth="1"/>
    <col min="6" max="6" width="24.5625" customWidth="1"/>
    <col min="7" max="7" width="22.4375" customWidth="1"/>
    <col min="8" max="8" width="24.5625" customWidth="1"/>
    <col min="9" max="10" width="23.5" customWidth="1"/>
    <col min="11" max="11" width="21.4375" customWidth="1"/>
    <col min="12" max="12" width="15.125" customWidth="1"/>
  </cols>
  <sheetData>
    <row r="1" spans="1:12" ht="20" customHeight="1">
      <c r="A1" s="20" t="s">
        <v>141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ht="20" customHeight="1">
      <c r="A2" s="22" t="s">
        <v>142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ht="14.25">
      <c r="A3" s="1" t="s">
        <v>143</v>
      </c>
      <c r="B3" s="1" t="s">
        <v>144</v>
      </c>
      <c r="C3" s="1" t="s">
        <v>128</v>
      </c>
      <c r="D3" s="1" t="s">
        <v>145</v>
      </c>
      <c r="E3" s="1" t="s">
        <v>146</v>
      </c>
      <c r="F3" s="1" t="s">
        <v>147</v>
      </c>
      <c r="G3" s="1" t="s">
        <v>148</v>
      </c>
      <c r="H3" s="1" t="s">
        <v>149</v>
      </c>
      <c r="I3" s="1" t="s">
        <v>137</v>
      </c>
      <c r="J3" s="1" t="s">
        <v>150</v>
      </c>
      <c r="K3" s="1" t="s">
        <v>151</v>
      </c>
      <c r="L3" s="5" t="s">
        <v>122</v>
      </c>
    </row>
    <row r="4" spans="1:12" ht="14.25">
      <c r="A4" s="7" t="s">
        <v>245</v>
      </c>
      <c r="B4" s="2" t="s">
        <v>321</v>
      </c>
      <c r="C4" s="2" t="s">
        <v>139</v>
      </c>
      <c r="D4" s="7" t="s">
        <v>322</v>
      </c>
      <c r="E4" s="2">
        <v>4</v>
      </c>
      <c r="F4" s="2">
        <v>4</v>
      </c>
      <c r="G4" s="2">
        <v>4</v>
      </c>
      <c r="H4" s="2">
        <v>3</v>
      </c>
      <c r="I4" s="2">
        <v>4</v>
      </c>
      <c r="J4" s="2">
        <f t="shared" ref="J4:J15" si="0">IF(COUNTA(E4:I4)=0,"",ROUND(((E4*0.25)+(F4*0.2)+(G4*0.2)+(H4*0.15)+(I4*0.2))*20,0))</f>
        <v>77</v>
      </c>
      <c r="K4" s="2" t="str">
        <f t="shared" ref="K4:K15" si="1">IF(J4="","",IF(J4&gt;=80,"Сильное решение",IF(J4&gt;=60,"Рыночный стандарт",IF(J4&gt;=40,"Частичное решение","Слабое решение"))))</f>
        <v>Рыночный стандарт</v>
      </c>
      <c r="L4" s="6" t="s">
        <v>255</v>
      </c>
    </row>
    <row r="5" spans="1:12" ht="14.25">
      <c r="A5" s="7" t="s">
        <v>245</v>
      </c>
      <c r="B5" s="2" t="s">
        <v>321</v>
      </c>
      <c r="C5" s="2" t="s">
        <v>310</v>
      </c>
      <c r="D5" s="7" t="s">
        <v>323</v>
      </c>
      <c r="E5" s="2">
        <v>4</v>
      </c>
      <c r="F5" s="2">
        <v>4</v>
      </c>
      <c r="G5" s="2">
        <v>4</v>
      </c>
      <c r="H5" s="2">
        <v>3</v>
      </c>
      <c r="I5" s="2">
        <v>3</v>
      </c>
      <c r="J5" s="2">
        <f t="shared" si="0"/>
        <v>73</v>
      </c>
      <c r="K5" s="2" t="str">
        <f t="shared" si="1"/>
        <v>Рыночный стандарт</v>
      </c>
      <c r="L5" s="6" t="s">
        <v>255</v>
      </c>
    </row>
    <row r="6" spans="1:12" ht="14.25">
      <c r="A6" s="7" t="s">
        <v>245</v>
      </c>
      <c r="B6" s="2" t="s">
        <v>321</v>
      </c>
      <c r="C6" s="2" t="s">
        <v>312</v>
      </c>
      <c r="D6" s="7" t="s">
        <v>435</v>
      </c>
      <c r="E6" s="2">
        <v>2</v>
      </c>
      <c r="F6" s="2">
        <v>2</v>
      </c>
      <c r="G6" s="2">
        <v>3</v>
      </c>
      <c r="H6" s="2">
        <v>2</v>
      </c>
      <c r="I6" s="2">
        <v>4</v>
      </c>
      <c r="J6" s="2">
        <f t="shared" si="0"/>
        <v>52</v>
      </c>
      <c r="K6" s="2" t="str">
        <f t="shared" si="1"/>
        <v>Частичное решение</v>
      </c>
      <c r="L6" s="6" t="s">
        <v>243</v>
      </c>
    </row>
    <row r="7" spans="1:12" ht="14.25">
      <c r="A7" s="7" t="s">
        <v>245</v>
      </c>
      <c r="B7" s="2" t="s">
        <v>321</v>
      </c>
      <c r="C7" s="2" t="s">
        <v>316</v>
      </c>
      <c r="D7" s="7" t="s">
        <v>324</v>
      </c>
      <c r="E7" s="2">
        <v>1</v>
      </c>
      <c r="F7" s="2">
        <v>1</v>
      </c>
      <c r="G7" s="2">
        <v>1</v>
      </c>
      <c r="H7" s="2">
        <v>2</v>
      </c>
      <c r="I7" s="2">
        <v>3</v>
      </c>
      <c r="J7" s="2">
        <f t="shared" si="0"/>
        <v>31</v>
      </c>
      <c r="K7" s="2" t="str">
        <f t="shared" si="1"/>
        <v>Слабое решение</v>
      </c>
      <c r="L7" s="6" t="s">
        <v>305</v>
      </c>
    </row>
    <row r="8" spans="1:12" ht="28.5">
      <c r="A8" s="7" t="s">
        <v>296</v>
      </c>
      <c r="B8" s="2" t="s">
        <v>325</v>
      </c>
      <c r="C8" s="2" t="s">
        <v>139</v>
      </c>
      <c r="D8" s="7" t="s">
        <v>326</v>
      </c>
      <c r="E8" s="2">
        <v>3</v>
      </c>
      <c r="F8" s="2">
        <v>3</v>
      </c>
      <c r="G8" s="2">
        <v>3</v>
      </c>
      <c r="H8" s="2">
        <v>2</v>
      </c>
      <c r="I8" s="2">
        <v>3</v>
      </c>
      <c r="J8" s="2">
        <f t="shared" si="0"/>
        <v>57</v>
      </c>
      <c r="K8" s="2" t="str">
        <f t="shared" si="1"/>
        <v>Частичное решение</v>
      </c>
      <c r="L8" s="6" t="s">
        <v>294</v>
      </c>
    </row>
    <row r="9" spans="1:12" ht="28.5">
      <c r="A9" s="7" t="s">
        <v>261</v>
      </c>
      <c r="B9" s="2" t="s">
        <v>327</v>
      </c>
      <c r="C9" s="2" t="s">
        <v>140</v>
      </c>
      <c r="D9" s="7" t="s">
        <v>328</v>
      </c>
      <c r="E9" s="2">
        <v>3</v>
      </c>
      <c r="F9" s="2">
        <v>4</v>
      </c>
      <c r="G9" s="2">
        <v>4</v>
      </c>
      <c r="H9" s="2">
        <v>4</v>
      </c>
      <c r="I9" s="2">
        <v>3</v>
      </c>
      <c r="J9" s="2">
        <f t="shared" si="0"/>
        <v>71</v>
      </c>
      <c r="K9" s="2" t="str">
        <f t="shared" si="1"/>
        <v>Рыночный стандарт</v>
      </c>
      <c r="L9" s="6" t="s">
        <v>264</v>
      </c>
    </row>
    <row r="10" spans="1:12" ht="14.25">
      <c r="A10" s="7" t="s">
        <v>261</v>
      </c>
      <c r="B10" s="2" t="s">
        <v>327</v>
      </c>
      <c r="C10" s="2" t="s">
        <v>316</v>
      </c>
      <c r="D10" s="7" t="s">
        <v>329</v>
      </c>
      <c r="E10" s="2">
        <v>5</v>
      </c>
      <c r="F10" s="2">
        <v>5</v>
      </c>
      <c r="G10" s="2">
        <v>4</v>
      </c>
      <c r="H10" s="2">
        <v>4</v>
      </c>
      <c r="I10" s="2">
        <v>4</v>
      </c>
      <c r="J10" s="2">
        <f t="shared" si="0"/>
        <v>89</v>
      </c>
      <c r="K10" s="2" t="str">
        <f t="shared" si="1"/>
        <v>Сильное решение</v>
      </c>
      <c r="L10" s="6" t="s">
        <v>264</v>
      </c>
    </row>
    <row r="11" spans="1:12" ht="14.25">
      <c r="A11" s="7" t="s">
        <v>271</v>
      </c>
      <c r="B11" s="2" t="s">
        <v>330</v>
      </c>
      <c r="C11" s="2" t="s">
        <v>310</v>
      </c>
      <c r="D11" s="7" t="s">
        <v>331</v>
      </c>
      <c r="E11" s="2">
        <v>2</v>
      </c>
      <c r="F11" s="2">
        <v>4</v>
      </c>
      <c r="G11" s="2">
        <v>3</v>
      </c>
      <c r="H11" s="2">
        <v>5</v>
      </c>
      <c r="I11" s="2">
        <v>3</v>
      </c>
      <c r="J11" s="2">
        <f t="shared" si="0"/>
        <v>65</v>
      </c>
      <c r="K11" s="2" t="str">
        <f t="shared" si="1"/>
        <v>Рыночный стандарт</v>
      </c>
      <c r="L11" s="6" t="s">
        <v>269</v>
      </c>
    </row>
    <row r="12" spans="1:12" ht="14.25">
      <c r="A12" s="7" t="s">
        <v>251</v>
      </c>
      <c r="B12" s="2" t="s">
        <v>332</v>
      </c>
      <c r="C12" s="2" t="s">
        <v>319</v>
      </c>
      <c r="D12" s="7" t="s">
        <v>333</v>
      </c>
      <c r="E12" s="2">
        <v>4</v>
      </c>
      <c r="F12" s="2">
        <v>4</v>
      </c>
      <c r="G12" s="2">
        <v>4</v>
      </c>
      <c r="H12" s="2">
        <v>2</v>
      </c>
      <c r="I12" s="2">
        <v>4</v>
      </c>
      <c r="J12" s="2">
        <f t="shared" si="0"/>
        <v>74</v>
      </c>
      <c r="K12" s="2" t="str">
        <f t="shared" si="1"/>
        <v>Рыночный стандарт</v>
      </c>
      <c r="L12" s="6" t="s">
        <v>305</v>
      </c>
    </row>
    <row r="13" spans="1:12" ht="28.5">
      <c r="A13" s="7" t="s">
        <v>290</v>
      </c>
      <c r="B13" s="2" t="s">
        <v>334</v>
      </c>
      <c r="C13" s="2" t="s">
        <v>319</v>
      </c>
      <c r="D13" s="7" t="s">
        <v>335</v>
      </c>
      <c r="E13" s="2">
        <v>5</v>
      </c>
      <c r="F13" s="2">
        <v>5</v>
      </c>
      <c r="G13" s="2">
        <v>4</v>
      </c>
      <c r="H13" s="2">
        <v>2</v>
      </c>
      <c r="I13" s="2">
        <v>5</v>
      </c>
      <c r="J13" s="2">
        <f t="shared" si="0"/>
        <v>87</v>
      </c>
      <c r="K13" s="2" t="str">
        <f t="shared" si="1"/>
        <v>Сильное решение</v>
      </c>
      <c r="L13" s="6" t="s">
        <v>288</v>
      </c>
    </row>
    <row r="14" spans="1:12" ht="14.25">
      <c r="A14" s="7" t="s">
        <v>290</v>
      </c>
      <c r="B14" s="2" t="s">
        <v>334</v>
      </c>
      <c r="C14" s="2" t="s">
        <v>316</v>
      </c>
      <c r="D14" s="7" t="s">
        <v>336</v>
      </c>
      <c r="E14" s="2">
        <v>5</v>
      </c>
      <c r="F14" s="2">
        <v>5</v>
      </c>
      <c r="G14" s="2">
        <v>4</v>
      </c>
      <c r="H14" s="2">
        <v>3</v>
      </c>
      <c r="I14" s="2">
        <v>5</v>
      </c>
      <c r="J14" s="2">
        <f t="shared" si="0"/>
        <v>90</v>
      </c>
      <c r="K14" s="2" t="str">
        <f t="shared" si="1"/>
        <v>Сильное решение</v>
      </c>
      <c r="L14" s="6" t="s">
        <v>288</v>
      </c>
    </row>
    <row r="15" spans="1:12" ht="28.5">
      <c r="A15" s="8" t="s">
        <v>337</v>
      </c>
      <c r="B15" s="3" t="s">
        <v>338</v>
      </c>
      <c r="C15" s="3" t="s">
        <v>140</v>
      </c>
      <c r="D15" s="8" t="s">
        <v>436</v>
      </c>
      <c r="E15" s="3">
        <v>2</v>
      </c>
      <c r="F15" s="3">
        <v>4</v>
      </c>
      <c r="G15" s="3">
        <v>3</v>
      </c>
      <c r="H15" s="3">
        <v>5</v>
      </c>
      <c r="I15" s="3">
        <v>3</v>
      </c>
      <c r="J15" s="3">
        <f t="shared" si="0"/>
        <v>65</v>
      </c>
      <c r="K15" s="3" t="str">
        <f t="shared" si="1"/>
        <v>Рыночный стандарт</v>
      </c>
      <c r="L15" s="4" t="s">
        <v>235</v>
      </c>
    </row>
  </sheetData>
  <mergeCells count="2">
    <mergeCell ref="A1:L1"/>
    <mergeCell ref="A2:L2"/>
  </mergeCells>
  <conditionalFormatting sqref="J4:J15">
    <cfRule type="dataBar" priority="4">
      <dataBar>
        <cfvo type="min"/>
        <cfvo type="max"/>
        <color rgb="FF5B9BD5"/>
      </dataBar>
    </cfRule>
  </conditionalFormatting>
  <conditionalFormatting sqref="J4:J15">
    <cfRule type="dataBar" priority="5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{FDC0EADE-75BF-1EAB-B951-F21AFC751BD7}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C0EADE-75BF-1EAB-B951-F21AFC751BD7}">
            <x14:dataBar>
              <x14:cfvo type="min"/>
              <x14:cfvo type="max"/>
              <x14:negativeFillColor auto="1"/>
              <x14:axisColor auto="1"/>
            </x14:dataBar>
          </x14:cfRule>
          <xm:sqref>J4:J15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Справочники!$A$4:$A$8</xm:f>
          </x14:formula1>
          <xm:sqref>E4:I15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7"/>
  <sheetViews>
    <sheetView workbookViewId="0"/>
  </sheetViews>
  <sheetFormatPr defaultRowHeight="13.5"/>
  <cols>
    <col min="1" max="1" width="10.5625" customWidth="1"/>
    <col min="2" max="2" width="15.125" customWidth="1"/>
    <col min="3" max="3" width="10.9375" customWidth="1"/>
    <col min="4" max="8" width="52.5625" customWidth="1"/>
    <col min="9" max="9" width="23.5" customWidth="1"/>
    <col min="10" max="10" width="20.375" customWidth="1"/>
    <col min="11" max="11" width="19.3125" customWidth="1"/>
    <col min="12" max="12" width="10.5625" customWidth="1"/>
    <col min="13" max="13" width="23.5" customWidth="1"/>
  </cols>
  <sheetData>
    <row r="1" spans="1:13" ht="20" customHeight="1">
      <c r="A1" s="20" t="s">
        <v>152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20" customHeight="1">
      <c r="A2" s="22" t="s">
        <v>153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13" ht="14.25">
      <c r="A3" s="1" t="s">
        <v>154</v>
      </c>
      <c r="B3" s="1" t="s">
        <v>128</v>
      </c>
      <c r="C3" s="1" t="s">
        <v>129</v>
      </c>
      <c r="D3" s="1" t="s">
        <v>155</v>
      </c>
      <c r="E3" s="1" t="s">
        <v>156</v>
      </c>
      <c r="F3" s="1" t="s">
        <v>157</v>
      </c>
      <c r="G3" s="1" t="s">
        <v>158</v>
      </c>
      <c r="H3" s="1" t="s">
        <v>159</v>
      </c>
      <c r="I3" s="1" t="s">
        <v>160</v>
      </c>
      <c r="J3" s="1" t="s">
        <v>161</v>
      </c>
      <c r="K3" s="1" t="s">
        <v>138</v>
      </c>
      <c r="L3" s="1" t="s">
        <v>10</v>
      </c>
      <c r="M3" s="5" t="s">
        <v>122</v>
      </c>
    </row>
    <row r="4" spans="1:13" ht="71.25">
      <c r="A4" s="7" t="s">
        <v>162</v>
      </c>
      <c r="B4" s="2" t="s">
        <v>139</v>
      </c>
      <c r="C4" s="2" t="s">
        <v>15</v>
      </c>
      <c r="D4" s="7" t="s">
        <v>339</v>
      </c>
      <c r="E4" s="7" t="s">
        <v>340</v>
      </c>
      <c r="F4" s="7" t="s">
        <v>341</v>
      </c>
      <c r="G4" s="7" t="s">
        <v>342</v>
      </c>
      <c r="H4" s="7" t="s">
        <v>343</v>
      </c>
      <c r="I4" s="2" t="s">
        <v>18</v>
      </c>
      <c r="J4" s="2" t="s">
        <v>39</v>
      </c>
      <c r="K4" s="2">
        <f>IF(B4="","",IFERROR(INDEX('Проблемы клиентов'!$K$4:$K$9,MATCH(B4,'Проблемы клиентов'!$A$4:$A$9,0)),0))</f>
        <v>86</v>
      </c>
      <c r="L4" s="2" t="str">
        <f>IF(A4="","",IF(AND(B4&lt;&gt;"",F4&lt;&gt;"",G4&lt;&gt;"",H4&lt;&gt;"",I4&lt;&gt;"",J4&lt;&gt;""),"Готово","Заполнено частично"))</f>
        <v>Готово</v>
      </c>
      <c r="M4" s="6" t="s">
        <v>344</v>
      </c>
    </row>
    <row r="5" spans="1:13" ht="57">
      <c r="A5" s="7" t="s">
        <v>345</v>
      </c>
      <c r="B5" s="2" t="s">
        <v>140</v>
      </c>
      <c r="C5" s="2" t="s">
        <v>15</v>
      </c>
      <c r="D5" s="7" t="s">
        <v>346</v>
      </c>
      <c r="E5" s="7" t="s">
        <v>347</v>
      </c>
      <c r="F5" s="7" t="s">
        <v>348</v>
      </c>
      <c r="G5" s="7" t="s">
        <v>437</v>
      </c>
      <c r="H5" s="7" t="s">
        <v>349</v>
      </c>
      <c r="I5" s="2" t="s">
        <v>30</v>
      </c>
      <c r="J5" s="2" t="s">
        <v>39</v>
      </c>
      <c r="K5" s="2">
        <f>IF(B5="","",IFERROR(INDEX('Проблемы клиентов'!$K$4:$K$9,MATCH(B5,'Проблемы клиентов'!$A$4:$A$9,0)),0))</f>
        <v>80</v>
      </c>
      <c r="L5" s="2" t="str">
        <f>IF(A5="","",IF(AND(B5&lt;&gt;"",F5&lt;&gt;"",G5&lt;&gt;"",H5&lt;&gt;"",I5&lt;&gt;"",J5&lt;&gt;""),"Готово","Заполнено частично"))</f>
        <v>Готово</v>
      </c>
      <c r="M5" s="6" t="s">
        <v>350</v>
      </c>
    </row>
    <row r="6" spans="1:13" ht="57">
      <c r="A6" s="7" t="s">
        <v>351</v>
      </c>
      <c r="B6" s="2" t="s">
        <v>316</v>
      </c>
      <c r="C6" s="2" t="s">
        <v>15</v>
      </c>
      <c r="D6" s="7" t="s">
        <v>352</v>
      </c>
      <c r="E6" s="7" t="s">
        <v>353</v>
      </c>
      <c r="F6" s="7" t="s">
        <v>354</v>
      </c>
      <c r="G6" s="7" t="s">
        <v>355</v>
      </c>
      <c r="H6" s="7" t="s">
        <v>356</v>
      </c>
      <c r="I6" s="2" t="s">
        <v>357</v>
      </c>
      <c r="J6" s="2" t="s">
        <v>358</v>
      </c>
      <c r="K6" s="2">
        <f>IF(B6="","",IFERROR(INDEX('Проблемы клиентов'!$K$4:$K$9,MATCH(B6,'Проблемы клиентов'!$A$4:$A$9,0)),0))</f>
        <v>70</v>
      </c>
      <c r="L6" s="2" t="str">
        <f>IF(A6="","",IF(AND(B6&lt;&gt;"",F6&lt;&gt;"",G6&lt;&gt;"",H6&lt;&gt;"",I6&lt;&gt;"",J6&lt;&gt;""),"Готово","Заполнено частично"))</f>
        <v>Готово</v>
      </c>
      <c r="M6" s="6" t="s">
        <v>359</v>
      </c>
    </row>
    <row r="7" spans="1:13" ht="57">
      <c r="A7" s="8" t="s">
        <v>360</v>
      </c>
      <c r="B7" s="3" t="s">
        <v>319</v>
      </c>
      <c r="C7" s="3" t="s">
        <v>15</v>
      </c>
      <c r="D7" s="8" t="s">
        <v>361</v>
      </c>
      <c r="E7" s="8" t="s">
        <v>362</v>
      </c>
      <c r="F7" s="8" t="s">
        <v>363</v>
      </c>
      <c r="G7" s="8" t="s">
        <v>364</v>
      </c>
      <c r="H7" s="8" t="s">
        <v>365</v>
      </c>
      <c r="I7" s="3" t="s">
        <v>61</v>
      </c>
      <c r="J7" s="3" t="s">
        <v>17</v>
      </c>
      <c r="K7" s="3">
        <f>IF(B7="","",IFERROR(INDEX('Проблемы клиентов'!$K$4:$K$9,MATCH(B7,'Проблемы клиентов'!$A$4:$A$9,0)),0))</f>
        <v>71</v>
      </c>
      <c r="L7" s="3" t="str">
        <f>IF(A7="","",IF(AND(B7&lt;&gt;"",F7&lt;&gt;"",G7&lt;&gt;"",H7&lt;&gt;"",I7&lt;&gt;"",J7&lt;&gt;""),"Готово","Заполнено частично"))</f>
        <v>Готово</v>
      </c>
      <c r="M7" s="4" t="s">
        <v>366</v>
      </c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Справочники!$B$4:$B$8</xm:f>
          </x14:formula1>
          <xm:sqref>C4:C7</xm:sqref>
        </x14:dataValidation>
        <x14:dataValidation type="list" xr:uid="{00000000-0002-0000-0500-000001000000}">
          <x14:formula1>
            <xm:f>Справочники!$E$4:$E$9</xm:f>
          </x14:formula1>
          <xm:sqref>I4:I7</xm:sqref>
        </x14:dataValidation>
        <x14:dataValidation type="list" xr:uid="{00000000-0002-0000-0500-000002000000}">
          <x14:formula1>
            <xm:f>Справочники!$D$4:$D$12</xm:f>
          </x14:formula1>
          <xm:sqref>J4:J7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6"/>
  <sheetViews>
    <sheetView workbookViewId="0"/>
  </sheetViews>
  <sheetFormatPr defaultRowHeight="13.5"/>
  <cols>
    <col min="1" max="1" width="13" customWidth="1"/>
    <col min="2" max="2" width="10.5625" customWidth="1"/>
    <col min="3" max="3" width="29.8125" customWidth="1"/>
    <col min="4" max="4" width="24.5625" customWidth="1"/>
    <col min="5" max="9" width="52.5625" customWidth="1"/>
    <col min="10" max="10" width="21.4375" customWidth="1"/>
    <col min="11" max="11" width="34" customWidth="1"/>
    <col min="12" max="12" width="10.5625" customWidth="1"/>
    <col min="13" max="13" width="22.4375" customWidth="1"/>
  </cols>
  <sheetData>
    <row r="1" spans="1:13" ht="20" customHeight="1">
      <c r="A1" s="20" t="s">
        <v>163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20" customHeight="1">
      <c r="A2" s="22" t="s">
        <v>164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13" ht="14.25">
      <c r="A3" s="1" t="s">
        <v>165</v>
      </c>
      <c r="B3" s="1" t="s">
        <v>154</v>
      </c>
      <c r="C3" s="1" t="s">
        <v>166</v>
      </c>
      <c r="D3" s="1" t="s">
        <v>167</v>
      </c>
      <c r="E3" s="1" t="s">
        <v>168</v>
      </c>
      <c r="F3" s="1" t="s">
        <v>169</v>
      </c>
      <c r="G3" s="1" t="s">
        <v>170</v>
      </c>
      <c r="H3" s="1" t="s">
        <v>171</v>
      </c>
      <c r="I3" s="1" t="s">
        <v>172</v>
      </c>
      <c r="J3" s="1" t="s">
        <v>173</v>
      </c>
      <c r="K3" s="1" t="s">
        <v>174</v>
      </c>
      <c r="L3" s="1" t="s">
        <v>10</v>
      </c>
      <c r="M3" s="5" t="s">
        <v>122</v>
      </c>
    </row>
    <row r="4" spans="1:13" ht="14.25">
      <c r="A4" s="7" t="s">
        <v>175</v>
      </c>
      <c r="B4" s="2" t="s">
        <v>162</v>
      </c>
      <c r="C4" s="2" t="s">
        <v>367</v>
      </c>
      <c r="D4" s="2" t="s">
        <v>19</v>
      </c>
      <c r="E4" s="7" t="s">
        <v>368</v>
      </c>
      <c r="F4" s="7" t="s">
        <v>369</v>
      </c>
      <c r="G4" s="7" t="s">
        <v>370</v>
      </c>
      <c r="H4" s="7" t="s">
        <v>371</v>
      </c>
      <c r="I4" s="7" t="s">
        <v>438</v>
      </c>
      <c r="J4" s="2" t="str">
        <f t="shared" ref="J4:J6" si="0">IF(A4="","",IF(AND(E4&lt;&gt;"",F4&lt;&gt;"",H4&lt;&gt;"",I4&lt;&gt;""),"Да","Нет"))</f>
        <v>Да</v>
      </c>
      <c r="K4" s="2">
        <f t="shared" ref="K4:K6" si="1">IF(A4="","",ROUND((COUNTA(E4:I4)/5)*100,0))</f>
        <v>100</v>
      </c>
      <c r="L4" s="2" t="str">
        <f>IF(A4="","",IF(K4&gt;=80,"Готово",IF(K4&gt;=50,"Заполнено частично","Черновик")))</f>
        <v>Готово</v>
      </c>
      <c r="M4" s="6" t="s">
        <v>372</v>
      </c>
    </row>
    <row r="5" spans="1:13" ht="14.25">
      <c r="A5" s="7" t="s">
        <v>373</v>
      </c>
      <c r="B5" s="2" t="s">
        <v>345</v>
      </c>
      <c r="C5" s="2" t="s">
        <v>374</v>
      </c>
      <c r="D5" s="2" t="s">
        <v>375</v>
      </c>
      <c r="E5" s="7" t="s">
        <v>376</v>
      </c>
      <c r="F5" s="7" t="s">
        <v>377</v>
      </c>
      <c r="G5" s="7" t="s">
        <v>378</v>
      </c>
      <c r="H5" s="7" t="s">
        <v>379</v>
      </c>
      <c r="I5" s="7" t="s">
        <v>439</v>
      </c>
      <c r="J5" s="2" t="str">
        <f t="shared" si="0"/>
        <v>Да</v>
      </c>
      <c r="K5" s="2">
        <f t="shared" si="1"/>
        <v>100</v>
      </c>
      <c r="L5" s="2" t="str">
        <f>IF(A5="","",IF(K5&gt;=80,"Готово",IF(K5&gt;=50,"Заполнено частично","Черновик")))</f>
        <v>Готово</v>
      </c>
      <c r="M5" s="6" t="s">
        <v>380</v>
      </c>
    </row>
    <row r="6" spans="1:13" ht="14.25">
      <c r="A6" s="8" t="s">
        <v>381</v>
      </c>
      <c r="B6" s="3" t="s">
        <v>360</v>
      </c>
      <c r="C6" s="3" t="s">
        <v>382</v>
      </c>
      <c r="D6" s="3" t="s">
        <v>383</v>
      </c>
      <c r="E6" s="8" t="s">
        <v>384</v>
      </c>
      <c r="F6" s="8" t="s">
        <v>385</v>
      </c>
      <c r="G6" s="8" t="s">
        <v>386</v>
      </c>
      <c r="H6" s="8" t="s">
        <v>387</v>
      </c>
      <c r="I6" s="8" t="s">
        <v>440</v>
      </c>
      <c r="J6" s="3" t="str">
        <f t="shared" si="0"/>
        <v>Да</v>
      </c>
      <c r="K6" s="3">
        <f t="shared" si="1"/>
        <v>100</v>
      </c>
      <c r="L6" s="3" t="str">
        <f>IF(A6="","",IF(K6&gt;=80,"Готово",IF(K6&gt;=50,"Заполнено частично","Черновик")))</f>
        <v>Готово</v>
      </c>
      <c r="M6" s="4" t="s">
        <v>388</v>
      </c>
    </row>
  </sheetData>
  <mergeCells count="2">
    <mergeCell ref="A1:M1"/>
    <mergeCell ref="A2:M2"/>
  </mergeCells>
  <conditionalFormatting sqref="K4:K6">
    <cfRule type="dataBar" priority="7">
      <dataBar>
        <cfvo type="min"/>
        <cfvo type="max"/>
        <color rgb="FF5B9BD5"/>
      </dataBar>
    </cfRule>
  </conditionalFormatting>
  <conditionalFormatting sqref="K4:K6">
    <cfRule type="dataBar" priority="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{69F079BF-2A0E-0724-4F29-786D436DF1E4}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F079BF-2A0E-0724-4F29-786D436DF1E4}">
            <x14:dataBar>
              <x14:cfvo type="min"/>
              <x14:cfvo type="max"/>
              <x14:negativeFillColor auto="1"/>
              <x14:axisColor auto="1"/>
            </x14:dataBar>
          </x14:cfRule>
          <xm:sqref>K4:K6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Справочники!$F$4:$F$12</xm:f>
          </x14:formula1>
          <xm:sqref>D4:D6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"/>
  <sheetViews>
    <sheetView workbookViewId="0"/>
  </sheetViews>
  <sheetFormatPr defaultRowHeight="13.5"/>
  <cols>
    <col min="1" max="1" width="18.25" customWidth="1"/>
    <col min="2" max="2" width="13" customWidth="1"/>
    <col min="3" max="3" width="24.5625" customWidth="1"/>
    <col min="4" max="4" width="49.75" customWidth="1"/>
    <col min="5" max="5" width="17.1875" customWidth="1"/>
    <col min="6" max="6" width="16.1875" customWidth="1"/>
    <col min="7" max="7" width="25.625" customWidth="1"/>
    <col min="8" max="8" width="21.4375" customWidth="1"/>
    <col min="9" max="9" width="52.5625" customWidth="1"/>
    <col min="10" max="10" width="25.625" customWidth="1"/>
    <col min="11" max="11" width="28.75" customWidth="1"/>
    <col min="12" max="12" width="21.4375" customWidth="1"/>
    <col min="13" max="13" width="29.8125" customWidth="1"/>
    <col min="14" max="14" width="10.5625" customWidth="1"/>
  </cols>
  <sheetData>
    <row r="1" spans="1:14" ht="20" customHeight="1">
      <c r="A1" s="20" t="s">
        <v>176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20" customHeight="1">
      <c r="A2" s="22" t="s">
        <v>177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3" spans="1:14" ht="14.25">
      <c r="A3" s="1" t="s">
        <v>178</v>
      </c>
      <c r="B3" s="1" t="s">
        <v>165</v>
      </c>
      <c r="C3" s="1" t="s">
        <v>179</v>
      </c>
      <c r="D3" s="1" t="s">
        <v>180</v>
      </c>
      <c r="E3" s="1" t="s">
        <v>9</v>
      </c>
      <c r="F3" s="1" t="s">
        <v>181</v>
      </c>
      <c r="G3" s="1" t="s">
        <v>182</v>
      </c>
      <c r="H3" s="1" t="s">
        <v>183</v>
      </c>
      <c r="I3" s="1" t="s">
        <v>184</v>
      </c>
      <c r="J3" s="1" t="s">
        <v>185</v>
      </c>
      <c r="K3" s="1" t="s">
        <v>186</v>
      </c>
      <c r="L3" s="1" t="s">
        <v>187</v>
      </c>
      <c r="M3" s="1" t="s">
        <v>188</v>
      </c>
      <c r="N3" s="5" t="s">
        <v>10</v>
      </c>
    </row>
    <row r="4" spans="1:14" ht="28.5">
      <c r="A4" s="7" t="s">
        <v>189</v>
      </c>
      <c r="B4" s="2" t="s">
        <v>175</v>
      </c>
      <c r="C4" s="2" t="s">
        <v>389</v>
      </c>
      <c r="D4" s="7" t="s">
        <v>390</v>
      </c>
      <c r="E4" s="2" t="s">
        <v>21</v>
      </c>
      <c r="F4" s="14">
        <v>9</v>
      </c>
      <c r="G4" s="14">
        <v>3</v>
      </c>
      <c r="H4" s="14">
        <f t="shared" ref="H4:H6" si="0">IF(OR(F4="",G4=""),"",F4*G4)</f>
        <v>27</v>
      </c>
      <c r="I4" s="7" t="s">
        <v>441</v>
      </c>
      <c r="J4" s="2">
        <v>5</v>
      </c>
      <c r="K4" s="2">
        <v>5</v>
      </c>
      <c r="L4" s="2">
        <v>2</v>
      </c>
      <c r="M4" s="2">
        <f t="shared" ref="M4:M6" si="1">IF(COUNTA(J4:L4)=0,"",ROUND(((J4*0.4)+(K4*0.3)+(L4*0.3))*20,0))</f>
        <v>82</v>
      </c>
      <c r="N4" s="6" t="str">
        <f>IF(A4="","",IF(M4&gt;=80,"Готово",IF(M4&gt;=60,"Заполнено частично",IF(M4&gt;=40,"Черновик","Отклонить"))))</f>
        <v>Готово</v>
      </c>
    </row>
    <row r="5" spans="1:14" ht="28.5">
      <c r="A5" s="7" t="s">
        <v>391</v>
      </c>
      <c r="B5" s="2" t="s">
        <v>373</v>
      </c>
      <c r="C5" s="2" t="s">
        <v>392</v>
      </c>
      <c r="D5" s="7" t="s">
        <v>393</v>
      </c>
      <c r="E5" s="2" t="s">
        <v>33</v>
      </c>
      <c r="F5" s="14">
        <v>19</v>
      </c>
      <c r="G5" s="14">
        <v>2</v>
      </c>
      <c r="H5" s="14">
        <f t="shared" si="0"/>
        <v>38</v>
      </c>
      <c r="I5" s="7" t="s">
        <v>442</v>
      </c>
      <c r="J5" s="2">
        <v>5</v>
      </c>
      <c r="K5" s="2">
        <v>5</v>
      </c>
      <c r="L5" s="2">
        <v>5</v>
      </c>
      <c r="M5" s="2">
        <f t="shared" si="1"/>
        <v>100</v>
      </c>
      <c r="N5" s="6" t="str">
        <f>IF(A5="","",IF(M5&gt;=80,"Готово",IF(M5&gt;=60,"Заполнено частично",IF(M5&gt;=40,"Черновик","Отклонить"))))</f>
        <v>Готово</v>
      </c>
    </row>
    <row r="6" spans="1:14" ht="28.5">
      <c r="A6" s="8" t="s">
        <v>394</v>
      </c>
      <c r="B6" s="3" t="s">
        <v>381</v>
      </c>
      <c r="C6" s="3" t="s">
        <v>395</v>
      </c>
      <c r="D6" s="8" t="s">
        <v>396</v>
      </c>
      <c r="E6" s="3" t="s">
        <v>33</v>
      </c>
      <c r="F6" s="15">
        <v>29</v>
      </c>
      <c r="G6" s="15">
        <v>1</v>
      </c>
      <c r="H6" s="15">
        <f t="shared" si="0"/>
        <v>29</v>
      </c>
      <c r="I6" s="8" t="s">
        <v>443</v>
      </c>
      <c r="J6" s="3">
        <v>4</v>
      </c>
      <c r="K6" s="3">
        <v>5</v>
      </c>
      <c r="L6" s="3">
        <v>5</v>
      </c>
      <c r="M6" s="3">
        <f t="shared" si="1"/>
        <v>92</v>
      </c>
      <c r="N6" s="4" t="str">
        <f>IF(A6="","",IF(M6&gt;=80,"Готово",IF(M6&gt;=60,"Заполнено частично",IF(M6&gt;=40,"Черновик","Отклонить"))))</f>
        <v>Готово</v>
      </c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Справочники!$G$4:$G$12</xm:f>
          </x14:formula1>
          <xm:sqref>C4:C6</xm:sqref>
        </x14:dataValidation>
        <x14:dataValidation type="list" xr:uid="{00000000-0002-0000-0700-000001000000}">
          <x14:formula1>
            <xm:f>Справочники!$H$4:$H$12</xm:f>
          </x14:formula1>
          <xm:sqref>E4:E6</xm:sqref>
        </x14:dataValidation>
        <x14:dataValidation type="list" xr:uid="{00000000-0002-0000-0700-000002000000}">
          <x14:formula1>
            <xm:f>Справочники!$A$4:$A$8</xm:f>
          </x14:formula1>
          <xm:sqref>J4:L6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"/>
  <sheetViews>
    <sheetView workbookViewId="0"/>
  </sheetViews>
  <sheetFormatPr defaultRowHeight="13.5"/>
  <cols>
    <col min="1" max="2" width="13" customWidth="1"/>
    <col min="3" max="11" width="52.5625" customWidth="1"/>
    <col min="12" max="12" width="32.9375" customWidth="1"/>
    <col min="13" max="13" width="16.1875" customWidth="1"/>
  </cols>
  <sheetData>
    <row r="1" spans="1:13" ht="20" customHeight="1">
      <c r="A1" s="20" t="s">
        <v>190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20" customHeight="1">
      <c r="A2" s="22" t="s">
        <v>191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13" ht="14.25">
      <c r="A3" s="1" t="s">
        <v>192</v>
      </c>
      <c r="B3" s="1" t="s">
        <v>165</v>
      </c>
      <c r="C3" s="1" t="s">
        <v>24</v>
      </c>
      <c r="D3" s="1" t="s">
        <v>35</v>
      </c>
      <c r="E3" s="1" t="s">
        <v>45</v>
      </c>
      <c r="F3" s="1" t="s">
        <v>56</v>
      </c>
      <c r="G3" s="1" t="s">
        <v>65</v>
      </c>
      <c r="H3" s="1" t="s">
        <v>72</v>
      </c>
      <c r="I3" s="1" t="s">
        <v>79</v>
      </c>
      <c r="J3" s="1" t="s">
        <v>84</v>
      </c>
      <c r="K3" s="1" t="s">
        <v>87</v>
      </c>
      <c r="L3" s="1" t="s">
        <v>193</v>
      </c>
      <c r="M3" s="5" t="s">
        <v>122</v>
      </c>
    </row>
    <row r="4" spans="1:13" ht="28.5">
      <c r="A4" s="8" t="s">
        <v>194</v>
      </c>
      <c r="B4" s="3" t="s">
        <v>175</v>
      </c>
      <c r="C4" s="8" t="s">
        <v>397</v>
      </c>
      <c r="D4" s="8" t="s">
        <v>398</v>
      </c>
      <c r="E4" s="8" t="s">
        <v>399</v>
      </c>
      <c r="F4" s="8" t="s">
        <v>400</v>
      </c>
      <c r="G4" s="8" t="s">
        <v>444</v>
      </c>
      <c r="H4" s="8" t="s">
        <v>401</v>
      </c>
      <c r="I4" s="8" t="s">
        <v>402</v>
      </c>
      <c r="J4" s="8" t="s">
        <v>403</v>
      </c>
      <c r="K4" s="8" t="s">
        <v>404</v>
      </c>
      <c r="L4" s="3">
        <f t="shared" ref="L4" si="0">IF(A4="","",ROUND((COUNTA(C4:K4)/9)*100,0))</f>
        <v>100</v>
      </c>
      <c r="M4" s="4" t="s">
        <v>405</v>
      </c>
    </row>
  </sheetData>
  <mergeCells count="2">
    <mergeCell ref="A1:M1"/>
    <mergeCell ref="A2:M2"/>
  </mergeCells>
  <conditionalFormatting sqref="L4">
    <cfRule type="dataBar" priority="10">
      <dataBar>
        <cfvo type="min"/>
        <cfvo type="max"/>
        <color rgb="FF5B9BD5"/>
      </dataBar>
    </cfRule>
  </conditionalFormatting>
  <conditionalFormatting sqref="L4">
    <cfRule type="dataBar" priority="1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{49A8C370-6F2E-7FF1-DF4C-64DB7C7D2111}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A8C370-6F2E-7FF1-DF4C-64DB7C7D2111}">
            <x14:dataBar>
              <x14:cfvo type="min"/>
              <x14:cfvo type="max"/>
              <x14:negativeFillColor auto="1"/>
              <x14:axisColor auto="1"/>
            </x14:dataBar>
          </x14:cfRule>
          <xm:sqref>L4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7"/>
  <sheetViews>
    <sheetView workbookViewId="0"/>
  </sheetViews>
  <sheetFormatPr defaultRowHeight="13.5"/>
  <cols>
    <col min="1" max="2" width="15.125" customWidth="1"/>
    <col min="3" max="3" width="10.5625" customWidth="1"/>
    <col min="4" max="4" width="13" customWidth="1"/>
    <col min="5" max="5" width="18.25" customWidth="1"/>
    <col min="6" max="6" width="13" customWidth="1"/>
    <col min="7" max="7" width="20.375" customWidth="1"/>
    <col min="8" max="8" width="21.4375" customWidth="1"/>
    <col min="9" max="9" width="39.25" customWidth="1"/>
    <col min="10" max="10" width="52.5625" customWidth="1"/>
  </cols>
  <sheetData>
    <row r="1" spans="1:10" ht="20" customHeight="1">
      <c r="A1" s="20" t="s">
        <v>445</v>
      </c>
      <c r="B1" s="21"/>
      <c r="C1" s="21"/>
      <c r="D1" s="21"/>
      <c r="E1" s="21"/>
      <c r="F1" s="21"/>
      <c r="G1" s="21"/>
      <c r="H1" s="21"/>
      <c r="I1" s="21"/>
      <c r="J1" s="21"/>
    </row>
    <row r="2" spans="1:10" ht="20" customHeight="1">
      <c r="A2" s="22" t="s">
        <v>195</v>
      </c>
      <c r="B2" s="23"/>
      <c r="C2" s="23"/>
      <c r="D2" s="23"/>
      <c r="E2" s="23"/>
      <c r="F2" s="23"/>
      <c r="G2" s="23"/>
      <c r="H2" s="23"/>
      <c r="I2" s="23"/>
      <c r="J2" s="23"/>
    </row>
    <row r="3" spans="1:10" ht="14.25">
      <c r="A3" s="1" t="s">
        <v>196</v>
      </c>
      <c r="B3" s="1" t="s">
        <v>128</v>
      </c>
      <c r="C3" s="1" t="s">
        <v>154</v>
      </c>
      <c r="D3" s="1" t="s">
        <v>165</v>
      </c>
      <c r="E3" s="1" t="s">
        <v>178</v>
      </c>
      <c r="F3" s="1" t="s">
        <v>192</v>
      </c>
      <c r="G3" s="1" t="s">
        <v>197</v>
      </c>
      <c r="H3" s="1" t="s">
        <v>198</v>
      </c>
      <c r="I3" s="1" t="s">
        <v>199</v>
      </c>
      <c r="J3" s="5" t="s">
        <v>200</v>
      </c>
    </row>
    <row r="4" spans="1:10" ht="14.25">
      <c r="A4" s="7" t="s">
        <v>201</v>
      </c>
      <c r="B4" s="2" t="s">
        <v>139</v>
      </c>
      <c r="C4" s="2" t="s">
        <v>162</v>
      </c>
      <c r="D4" s="2" t="s">
        <v>175</v>
      </c>
      <c r="E4" s="2" t="s">
        <v>189</v>
      </c>
      <c r="F4" s="2" t="s">
        <v>194</v>
      </c>
      <c r="G4" s="2">
        <f>IF(A4="","",ROUND((IFERROR(INDEX('Проблемы клиентов'!$K$4:$K$9,MATCH(B4,'Проблемы клиентов'!$A$4:$A$9,0)),0)*0.3+IFERROR(INDEX('Ценностные предложения'!$K$4:$K$7,MATCH(C4,'Ценностные предложения'!$A$4:$A$7,0)),0)*0.15+IFERROR(INDEX('Цифровой товар'!$K$4:$K$6,MATCH(D4,'Цифровой товар'!$A$4:$A$6,0)),0)*0.2+IFERROR(INDEX('Единица монетизации'!$M$4:$M$6,MATCH(E4,'Единица монетизации'!$A$4:$A$6,0)),0)*0.2+IFERROR(INDEX('Бизнес-модель'!$L$4:$L$4,MATCH(F4,'Бизнес-модель'!$A$4:$A$4,0)),0)*0.15),0))</f>
        <v>90</v>
      </c>
      <c r="H4" s="2" t="str">
        <f t="shared" ref="H4:H7" si="0">IF(G4="","",IF(G4&gt;=75,"Проходят проверку",IF(G4&gt;=55,"Требуется доработка","Недостаточно данных")))</f>
        <v>Проходят проверку</v>
      </c>
      <c r="I4" s="2" t="s">
        <v>406</v>
      </c>
      <c r="J4" s="11" t="s">
        <v>407</v>
      </c>
    </row>
    <row r="5" spans="1:10" ht="14.25">
      <c r="A5" s="7" t="s">
        <v>408</v>
      </c>
      <c r="B5" s="2" t="s">
        <v>140</v>
      </c>
      <c r="C5" s="2" t="s">
        <v>345</v>
      </c>
      <c r="D5" s="2" t="s">
        <v>373</v>
      </c>
      <c r="E5" s="2" t="s">
        <v>391</v>
      </c>
      <c r="F5" s="2" t="s">
        <v>194</v>
      </c>
      <c r="G5" s="2">
        <f>IF(A5="","",ROUND((IFERROR(INDEX('Проблемы клиентов'!$K$4:$K$9,MATCH(B5,'Проблемы клиентов'!$A$4:$A$9,0)),0)*0.3+IFERROR(INDEX('Ценностные предложения'!$K$4:$K$7,MATCH(C5,'Ценностные предложения'!$A$4:$A$7,0)),0)*0.15+IFERROR(INDEX('Цифровой товар'!$K$4:$K$6,MATCH(D5,'Цифровой товар'!$A$4:$A$6,0)),0)*0.2+IFERROR(INDEX('Единица монетизации'!$M$4:$M$6,MATCH(E5,'Единица монетизации'!$A$4:$A$6,0)),0)*0.2+IFERROR(INDEX('Бизнес-модель'!$L$4:$L$4,MATCH(F5,'Бизнес-модель'!$A$4:$A$4,0)),0)*0.15),0))</f>
        <v>91</v>
      </c>
      <c r="H5" s="2" t="str">
        <f t="shared" si="0"/>
        <v>Проходят проверку</v>
      </c>
      <c r="I5" s="7" t="s">
        <v>409</v>
      </c>
      <c r="J5" s="11" t="s">
        <v>410</v>
      </c>
    </row>
    <row r="6" spans="1:10" ht="14.25">
      <c r="A6" s="7" t="s">
        <v>411</v>
      </c>
      <c r="B6" s="2" t="s">
        <v>316</v>
      </c>
      <c r="C6" s="2" t="s">
        <v>351</v>
      </c>
      <c r="D6" s="2" t="s">
        <v>175</v>
      </c>
      <c r="E6" s="2" t="s">
        <v>391</v>
      </c>
      <c r="F6" s="2" t="s">
        <v>194</v>
      </c>
      <c r="G6" s="2">
        <f>IF(A6="","",ROUND((IFERROR(INDEX('Проблемы клиентов'!$K$4:$K$9,MATCH(B6,'Проблемы клиентов'!$A$4:$A$9,0)),0)*0.3+IFERROR(INDEX('Ценностные предложения'!$K$4:$K$7,MATCH(C6,'Ценностные предложения'!$A$4:$A$7,0)),0)*0.15+IFERROR(INDEX('Цифровой товар'!$K$4:$K$6,MATCH(D6,'Цифровой товар'!$A$4:$A$6,0)),0)*0.2+IFERROR(INDEX('Единица монетизации'!$M$4:$M$6,MATCH(E6,'Единица монетизации'!$A$4:$A$6,0)),0)*0.2+IFERROR(INDEX('Бизнес-модель'!$L$4:$L$4,MATCH(F6,'Бизнес-модель'!$A$4:$A$4,0)),0)*0.15),0))</f>
        <v>87</v>
      </c>
      <c r="H6" s="2" t="str">
        <f t="shared" si="0"/>
        <v>Проходят проверку</v>
      </c>
      <c r="I6" s="2" t="s">
        <v>412</v>
      </c>
      <c r="J6" s="11" t="s">
        <v>413</v>
      </c>
    </row>
    <row r="7" spans="1:10" ht="14.25">
      <c r="A7" s="8" t="s">
        <v>414</v>
      </c>
      <c r="B7" s="3" t="s">
        <v>319</v>
      </c>
      <c r="C7" s="3" t="s">
        <v>360</v>
      </c>
      <c r="D7" s="3" t="s">
        <v>381</v>
      </c>
      <c r="E7" s="3" t="s">
        <v>394</v>
      </c>
      <c r="F7" s="3" t="s">
        <v>194</v>
      </c>
      <c r="G7" s="3">
        <f>IF(A7="","",ROUND((IFERROR(INDEX('Проблемы клиентов'!$K$4:$K$9,MATCH(B7,'Проблемы клиентов'!$A$4:$A$9,0)),0)*0.3+IFERROR(INDEX('Ценностные предложения'!$K$4:$K$7,MATCH(C7,'Ценностные предложения'!$A$4:$A$7,0)),0)*0.15+IFERROR(INDEX('Цифровой товар'!$K$4:$K$6,MATCH(D7,'Цифровой товар'!$A$4:$A$6,0)),0)*0.2+IFERROR(INDEX('Единица монетизации'!$M$4:$M$6,MATCH(E7,'Единица монетизации'!$A$4:$A$6,0)),0)*0.2+IFERROR(INDEX('Бизнес-модель'!$L$4:$L$4,MATCH(F7,'Бизнес-модель'!$A$4:$A$4,0)),0)*0.15),0))</f>
        <v>85</v>
      </c>
      <c r="H7" s="3" t="str">
        <f t="shared" si="0"/>
        <v>Проходят проверку</v>
      </c>
      <c r="I7" s="8" t="s">
        <v>415</v>
      </c>
      <c r="J7" s="9" t="s">
        <v>416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3"/>
  <sheetViews>
    <sheetView workbookViewId="0"/>
  </sheetViews>
  <sheetFormatPr defaultRowHeight="13.5"/>
  <cols>
    <col min="1" max="1" width="46.625" customWidth="1"/>
    <col min="2" max="2" width="11.9375" customWidth="1"/>
    <col min="3" max="3" width="52.5625" customWidth="1"/>
    <col min="4" max="4" width="10.5625" customWidth="1"/>
    <col min="5" max="5" width="23.5" customWidth="1"/>
    <col min="6" max="6" width="14.0625" customWidth="1"/>
    <col min="7" max="11" width="10.5625" customWidth="1"/>
  </cols>
  <sheetData>
    <row r="1" spans="1:11" ht="20" customHeight="1">
      <c r="A1" s="20" t="s">
        <v>202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20" customHeight="1">
      <c r="A2" s="22" t="s">
        <v>203</v>
      </c>
      <c r="B2" s="23"/>
      <c r="C2" s="23"/>
      <c r="D2" s="23"/>
      <c r="E2" s="23"/>
      <c r="F2" s="23"/>
      <c r="G2" s="23"/>
      <c r="H2" s="23"/>
      <c r="I2" s="23"/>
      <c r="J2" s="23"/>
      <c r="K2" s="23"/>
    </row>
    <row r="3" spans="1:11" ht="14.25">
      <c r="A3" s="1" t="s">
        <v>204</v>
      </c>
      <c r="B3" s="1" t="s">
        <v>205</v>
      </c>
      <c r="C3" s="5" t="s">
        <v>206</v>
      </c>
      <c r="D3" s="10"/>
      <c r="E3" s="1" t="s">
        <v>207</v>
      </c>
      <c r="F3" s="1" t="s">
        <v>208</v>
      </c>
      <c r="G3" s="5" t="s">
        <v>209</v>
      </c>
      <c r="H3" s="10"/>
      <c r="I3" s="10"/>
      <c r="J3" s="10"/>
      <c r="K3" s="10"/>
    </row>
    <row r="4" spans="1:11" ht="14.25">
      <c r="A4" s="7" t="s">
        <v>210</v>
      </c>
      <c r="B4" s="16">
        <f>COUNTIF('Проблемы клиентов'!$A$4:$A$9,"&lt;&gt;")</f>
        <v>6</v>
      </c>
      <c r="C4" s="11" t="s">
        <v>211</v>
      </c>
      <c r="D4" s="10"/>
      <c r="E4" s="7" t="s">
        <v>26</v>
      </c>
      <c r="F4" s="2">
        <f>COUNTIF('Проблемы клиентов'!$L$4:$L$9,E4)</f>
        <v>2</v>
      </c>
      <c r="G4" s="18">
        <f>IFERROR(F4/SUM($F$4:$F$7),0)</f>
        <v>0.33333333333333331</v>
      </c>
      <c r="H4" s="10"/>
      <c r="I4" s="10"/>
      <c r="J4" s="10"/>
      <c r="K4" s="10"/>
    </row>
    <row r="5" spans="1:11" ht="14.25">
      <c r="A5" s="7" t="s">
        <v>212</v>
      </c>
      <c r="B5" s="16">
        <f>IFERROR(MAX('Проблемы клиентов'!$K$4:$K$9),0)</f>
        <v>86</v>
      </c>
      <c r="C5" s="11" t="s">
        <v>213</v>
      </c>
      <c r="D5" s="10"/>
      <c r="E5" s="7" t="s">
        <v>36</v>
      </c>
      <c r="F5" s="2">
        <f>COUNTIF('Проблемы клиентов'!$L$4:$L$9,E5)</f>
        <v>3</v>
      </c>
      <c r="G5" s="18">
        <f>IFERROR(F5/SUM($F$4:$F$7),0)</f>
        <v>0.5</v>
      </c>
      <c r="H5" s="10"/>
      <c r="I5" s="10"/>
      <c r="J5" s="10"/>
      <c r="K5" s="10"/>
    </row>
    <row r="6" spans="1:11" ht="28.5">
      <c r="A6" s="7" t="s">
        <v>214</v>
      </c>
      <c r="B6" s="16">
        <f>COUNTIF('Ценностные предложения'!$L$4:$L$7,"Готово")</f>
        <v>4</v>
      </c>
      <c r="C6" s="11" t="s">
        <v>215</v>
      </c>
      <c r="D6" s="10"/>
      <c r="E6" s="7" t="s">
        <v>47</v>
      </c>
      <c r="F6" s="2">
        <f>COUNTIF('Проблемы клиентов'!$L$4:$L$9,E6)</f>
        <v>1</v>
      </c>
      <c r="G6" s="18">
        <f>IFERROR(F6/SUM($F$4:$F$7),0)</f>
        <v>0.16666666666666666</v>
      </c>
      <c r="H6" s="10"/>
      <c r="I6" s="10"/>
      <c r="J6" s="10"/>
      <c r="K6" s="10"/>
    </row>
    <row r="7" spans="1:11" ht="14.25">
      <c r="A7" s="7" t="s">
        <v>216</v>
      </c>
      <c r="B7" s="16">
        <f>COUNTIF('Цифровой товар'!$L$4:$L$6,"Готово")</f>
        <v>3</v>
      </c>
      <c r="C7" s="11" t="s">
        <v>217</v>
      </c>
      <c r="D7" s="10"/>
      <c r="E7" s="8" t="s">
        <v>57</v>
      </c>
      <c r="F7" s="3">
        <f>COUNTIF('Проблемы клиентов'!$L$4:$L$9,E7)</f>
        <v>0</v>
      </c>
      <c r="G7" s="17">
        <f>IFERROR(F7/SUM($F$4:$F$7),0)</f>
        <v>0</v>
      </c>
      <c r="H7" s="10"/>
      <c r="I7" s="10"/>
      <c r="J7" s="10"/>
      <c r="K7" s="10"/>
    </row>
    <row r="8" spans="1:11" ht="28.5">
      <c r="A8" s="7" t="s">
        <v>218</v>
      </c>
      <c r="B8" s="16">
        <f>IFERROR(ROUND(AVERAGE('Проверка связности'!$G$4:$G$7),0),0)</f>
        <v>88</v>
      </c>
      <c r="C8" s="11" t="s">
        <v>219</v>
      </c>
      <c r="D8" s="10"/>
      <c r="E8" s="10"/>
      <c r="F8" s="10"/>
      <c r="G8" s="10"/>
      <c r="H8" s="10"/>
      <c r="I8" s="10"/>
      <c r="J8" s="10"/>
      <c r="K8" s="10"/>
    </row>
    <row r="9" spans="1:11" ht="14.25">
      <c r="A9" s="8" t="s">
        <v>220</v>
      </c>
      <c r="B9" s="19">
        <f>IFERROR(SUM('Единица монетизации'!$H$4:$H$6),0)</f>
        <v>94</v>
      </c>
      <c r="C9" s="9" t="s">
        <v>221</v>
      </c>
      <c r="D9" s="10"/>
      <c r="E9" s="10"/>
      <c r="F9" s="10"/>
      <c r="G9" s="10"/>
      <c r="H9" s="10"/>
      <c r="I9" s="10"/>
      <c r="J9" s="10"/>
      <c r="K9" s="10"/>
    </row>
    <row r="10" spans="1:11" ht="14.25">
      <c r="A10" s="10"/>
      <c r="B10" s="10"/>
      <c r="C10" s="10"/>
      <c r="D10" s="10"/>
      <c r="E10" s="1" t="s">
        <v>222</v>
      </c>
      <c r="F10" s="1" t="s">
        <v>208</v>
      </c>
      <c r="G10" s="5" t="s">
        <v>209</v>
      </c>
      <c r="H10" s="10"/>
      <c r="I10" s="10"/>
      <c r="J10" s="10"/>
      <c r="K10" s="10"/>
    </row>
    <row r="11" spans="1:11" ht="14.25">
      <c r="A11" s="10"/>
      <c r="B11" s="10"/>
      <c r="C11" s="10"/>
      <c r="D11" s="10"/>
      <c r="E11" s="7" t="s">
        <v>25</v>
      </c>
      <c r="F11" s="2">
        <f>COUNTIF('Проверка связности'!$H$4:$H$7,E11)</f>
        <v>4</v>
      </c>
      <c r="G11" s="18">
        <f>IFERROR(F11/SUM($F$11:$F$13),0)</f>
        <v>1</v>
      </c>
      <c r="H11" s="10"/>
      <c r="I11" s="10"/>
      <c r="J11" s="10"/>
      <c r="K11" s="10"/>
    </row>
    <row r="12" spans="1:11" ht="14.25">
      <c r="A12" s="10"/>
      <c r="B12" s="10"/>
      <c r="C12" s="10"/>
      <c r="D12" s="10"/>
      <c r="E12" s="7" t="s">
        <v>446</v>
      </c>
      <c r="F12" s="2">
        <f>COUNTIF('Проверка связности'!$H$4:$H$7,E12)</f>
        <v>0</v>
      </c>
      <c r="G12" s="18">
        <f>IFERROR(F12/SUM($F$11:$F$13),0)</f>
        <v>0</v>
      </c>
      <c r="H12" s="10"/>
      <c r="I12" s="10"/>
      <c r="J12" s="10"/>
      <c r="K12" s="10"/>
    </row>
    <row r="13" spans="1:11" ht="14.25">
      <c r="A13" s="10"/>
      <c r="B13" s="10"/>
      <c r="C13" s="10"/>
      <c r="D13" s="10"/>
      <c r="E13" s="8" t="s">
        <v>46</v>
      </c>
      <c r="F13" s="3">
        <f>COUNTIF('Проверка связности'!$H$4:$H$7,E13)</f>
        <v>0</v>
      </c>
      <c r="G13" s="17">
        <f>IFERROR(F13/SUM($F$11:$F$13),0)</f>
        <v>0</v>
      </c>
      <c r="H13" s="10"/>
      <c r="I13" s="10"/>
      <c r="J13" s="10"/>
      <c r="K13" s="10"/>
    </row>
  </sheetData>
  <mergeCells count="2">
    <mergeCell ref="A1:K1"/>
    <mergeCell ref="A2:K2"/>
  </mergeCells>
  <conditionalFormatting sqref="F4:F7">
    <cfRule type="dataBar" priority="1">
      <dataBar>
        <cfvo type="min"/>
        <cfvo type="max"/>
        <color rgb="FF5B9BD5"/>
      </dataBar>
    </cfRule>
  </conditionalFormatting>
  <conditionalFormatting sqref="F4:F7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{A1CCF684-FE46-F072-271C-E65D49F46FD2}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CCF684-FE46-F072-271C-E65D49F46FD2}">
            <x14:dataBar>
              <x14:cfvo type="min"/>
              <x14:cfvo type="max"/>
              <x14:negativeFillColor auto="1"/>
              <x14:axisColor auto="1"/>
            </x14:dataBar>
          </x14:cfRule>
          <xm:sqref>F4:F7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Справочники</vt:lpstr>
      <vt:lpstr>Инструкция</vt:lpstr>
      <vt:lpstr>Исходные данные</vt:lpstr>
      <vt:lpstr>Проблемы клиентов</vt:lpstr>
      <vt:lpstr>Конкурентные решения</vt:lpstr>
      <vt:lpstr>Ценностные предложения</vt:lpstr>
      <vt:lpstr>Цифровой товар</vt:lpstr>
      <vt:lpstr>Единица монетизации</vt:lpstr>
      <vt:lpstr>Бизнес-модель</vt:lpstr>
      <vt:lpstr>Проверка связности</vt:lpstr>
      <vt:lpstr>Дашборд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2026-10-06T21:30:14Z</dcterms:modified>
</cp:coreProperties>
</file>