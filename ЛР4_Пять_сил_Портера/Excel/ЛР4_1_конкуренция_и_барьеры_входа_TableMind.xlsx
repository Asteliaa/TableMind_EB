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4_Пять_сил_Портера\Excel\"/>
    </mc:Choice>
  </mc:AlternateContent>
  <xr:revisionPtr revIDLastSave="0" documentId="13_ncr:1_{C8862A73-D4E5-4D6E-AF2C-D82067C34EDE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_трафика" sheetId="4" r:id="rId4"/>
    <sheet name="04_Поиск_реклама" sheetId="5" r:id="rId5"/>
    <sheet name="05_Отзывы_рейтинги" sheetId="6" r:id="rId6"/>
    <sheet name="06_Технологии_финансы" sheetId="7" r:id="rId7"/>
    <sheet name="07_Барьеры_входа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9" l="1"/>
  <c r="L8" i="6"/>
  <c r="M8" i="6" s="1"/>
  <c r="L7" i="6"/>
  <c r="M7" i="6" s="1"/>
  <c r="M4" i="6"/>
  <c r="L4" i="6"/>
  <c r="L13" i="5"/>
  <c r="K13" i="5"/>
  <c r="K12" i="5"/>
  <c r="L12" i="5" s="1"/>
  <c r="K11" i="5"/>
  <c r="L11" i="5" s="1"/>
  <c r="K10" i="5"/>
  <c r="L10" i="5" s="1"/>
  <c r="K9" i="5"/>
  <c r="L9" i="5" s="1"/>
  <c r="B18" i="7"/>
  <c r="C18" i="7" s="1"/>
  <c r="K15" i="7"/>
  <c r="L15" i="7" s="1"/>
  <c r="K14" i="7"/>
  <c r="L14" i="7" s="1"/>
  <c r="K13" i="7"/>
  <c r="L13" i="7" s="1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B18" i="6"/>
  <c r="C18" i="6" s="1"/>
  <c r="L15" i="6"/>
  <c r="M15" i="6" s="1"/>
  <c r="L14" i="6"/>
  <c r="M14" i="6" s="1"/>
  <c r="M13" i="6"/>
  <c r="L13" i="6"/>
  <c r="L12" i="6"/>
  <c r="M12" i="6" s="1"/>
  <c r="L11" i="6"/>
  <c r="M11" i="6" s="1"/>
  <c r="L10" i="6"/>
  <c r="M10" i="6" s="1"/>
  <c r="M9" i="6"/>
  <c r="L9" i="6"/>
  <c r="L6" i="6"/>
  <c r="M6" i="6" s="1"/>
  <c r="L5" i="6"/>
  <c r="M5" i="6" s="1"/>
  <c r="K8" i="5"/>
  <c r="L8" i="5" s="1"/>
  <c r="K7" i="5"/>
  <c r="L7" i="5" s="1"/>
  <c r="K6" i="5"/>
  <c r="L6" i="5" s="1"/>
  <c r="K5" i="5"/>
  <c r="L5" i="5" s="1"/>
  <c r="K4" i="5"/>
  <c r="L4" i="5" s="1"/>
  <c r="B8" i="2"/>
  <c r="H12" i="9"/>
  <c r="H11" i="9"/>
  <c r="H10" i="9"/>
  <c r="H9" i="9"/>
  <c r="H8" i="9"/>
  <c r="H7" i="9"/>
  <c r="H6" i="9"/>
  <c r="H5" i="9"/>
  <c r="H4" i="9"/>
  <c r="D11" i="8"/>
  <c r="F11" i="8" s="1"/>
  <c r="I11" i="9" s="1"/>
  <c r="D10" i="4"/>
  <c r="D6" i="4"/>
  <c r="D5" i="4"/>
  <c r="E15" i="3"/>
  <c r="E14" i="3"/>
  <c r="E13" i="3"/>
  <c r="E12" i="3"/>
  <c r="E11" i="3"/>
  <c r="E10" i="3"/>
  <c r="E9" i="3"/>
  <c r="E8" i="3"/>
  <c r="E7" i="3"/>
  <c r="E6" i="3"/>
  <c r="E5" i="3"/>
  <c r="E4" i="3"/>
  <c r="C12" i="8" l="1"/>
  <c r="D12" i="8" s="1"/>
  <c r="G12" i="8" s="1"/>
  <c r="B16" i="5"/>
  <c r="C16" i="5" s="1"/>
  <c r="B15" i="5"/>
  <c r="C15" i="5" s="1"/>
  <c r="G11" i="9"/>
  <c r="G11" i="8"/>
  <c r="B17" i="7"/>
  <c r="B10" i="9" s="1"/>
  <c r="B17" i="6"/>
  <c r="C17" i="6" s="1"/>
  <c r="F13" i="3"/>
  <c r="F11" i="3"/>
  <c r="F12" i="3"/>
  <c r="F14" i="3"/>
  <c r="C7" i="4"/>
  <c r="E7" i="4" s="1"/>
  <c r="C9" i="4"/>
  <c r="E9" i="4" s="1"/>
  <c r="F6" i="3"/>
  <c r="F8" i="3"/>
  <c r="F5" i="3"/>
  <c r="F10" i="3"/>
  <c r="B9" i="2"/>
  <c r="B21" i="3"/>
  <c r="C5" i="4"/>
  <c r="C6" i="4"/>
  <c r="C8" i="4"/>
  <c r="E8" i="4" s="1"/>
  <c r="B17" i="3"/>
  <c r="C4" i="4"/>
  <c r="E4" i="4" s="1"/>
  <c r="F7" i="3"/>
  <c r="F15" i="3"/>
  <c r="F9" i="3"/>
  <c r="F4" i="3"/>
  <c r="G12" i="9"/>
  <c r="C10" i="4"/>
  <c r="F12" i="8" l="1"/>
  <c r="I12" i="9" s="1"/>
  <c r="C8" i="8"/>
  <c r="C10" i="8"/>
  <c r="D10" i="8" s="1"/>
  <c r="G10" i="9" s="1"/>
  <c r="C17" i="7"/>
  <c r="C9" i="8"/>
  <c r="D9" i="8" s="1"/>
  <c r="B9" i="9"/>
  <c r="D8" i="8"/>
  <c r="F8" i="8" s="1"/>
  <c r="I8" i="9" s="1"/>
  <c r="B8" i="9"/>
  <c r="E5" i="4"/>
  <c r="D5" i="8" s="1"/>
  <c r="C5" i="8"/>
  <c r="E6" i="4"/>
  <c r="C6" i="8"/>
  <c r="D6" i="8" s="1"/>
  <c r="C7" i="8"/>
  <c r="E10" i="4"/>
  <c r="D7" i="8" s="1"/>
  <c r="B20" i="3"/>
  <c r="B7" i="9" s="1"/>
  <c r="B18" i="3"/>
  <c r="B19" i="3"/>
  <c r="G8" i="9" l="1"/>
  <c r="G8" i="8"/>
  <c r="F10" i="8"/>
  <c r="I10" i="9" s="1"/>
  <c r="G10" i="8"/>
  <c r="G9" i="9"/>
  <c r="F9" i="8"/>
  <c r="I9" i="9" s="1"/>
  <c r="G9" i="8"/>
  <c r="D4" i="8"/>
  <c r="B6" i="9"/>
  <c r="D6" i="9" s="1"/>
  <c r="C4" i="8"/>
  <c r="F7" i="8"/>
  <c r="I7" i="9" s="1"/>
  <c r="G7" i="9"/>
  <c r="G7" i="8"/>
  <c r="G6" i="9"/>
  <c r="G6" i="8"/>
  <c r="F6" i="8"/>
  <c r="I6" i="9" s="1"/>
  <c r="G5" i="9"/>
  <c r="G5" i="8"/>
  <c r="F5" i="8"/>
  <c r="I5" i="9" s="1"/>
  <c r="G4" i="8" l="1"/>
  <c r="F4" i="8"/>
  <c r="F13" i="8" s="1"/>
  <c r="C13" i="8" s="1"/>
  <c r="G4" i="9"/>
  <c r="D13" i="8" l="1"/>
  <c r="I4" i="9"/>
  <c r="B4" i="9" l="1"/>
  <c r="G13" i="8"/>
  <c r="B5" i="9" s="1"/>
  <c r="A14" i="9" l="1"/>
</calcChain>
</file>

<file path=xl/sharedStrings.xml><?xml version="1.0" encoding="utf-8"?>
<sst xmlns="http://schemas.openxmlformats.org/spreadsheetml/2006/main" count="862" uniqueCount="466">
  <si>
    <t>Расчетная модель на основе Similarweb и альтернативных источников цифровых данных</t>
  </si>
  <si>
    <t>Блок</t>
  </si>
  <si>
    <t>Назначение</t>
  </si>
  <si>
    <t>Что рассчитывается</t>
  </si>
  <si>
    <t>Как использовать результат</t>
  </si>
  <si>
    <t>01_Параметры</t>
  </si>
  <si>
    <t>Задает границы рынка, пороги и веса факторов.</t>
  </si>
  <si>
    <t>Название рынка, география, период, веса факторов.</t>
  </si>
  <si>
    <t>Итоговые индексы и шкалы оценки.</t>
  </si>
  <si>
    <t>Используется всеми расчетными листами.</t>
  </si>
  <si>
    <t>02_Конкуренты_SW</t>
  </si>
  <si>
    <t>Фиксирует конкурентов и данные Similarweb.</t>
  </si>
  <si>
    <t>Сайты, визиты, география, каналы, вовлеченность.</t>
  </si>
  <si>
    <t>Релевантный трафик, доля трафика, концентрация.</t>
  </si>
  <si>
    <t>Показывает структуру цифровой конкуренции.</t>
  </si>
  <si>
    <t>03_Каналы_трафика</t>
  </si>
  <si>
    <t>Оценивает давление каналов привлечения.</t>
  </si>
  <si>
    <t>Проверяются доли каналов по конкурентам.</t>
  </si>
  <si>
    <t>Взвешенные доли organic/paid/social/referral/direct.</t>
  </si>
  <si>
    <t>Показывает, где вход на рынок дороже.</t>
  </si>
  <si>
    <t>04_Поиск_реклама</t>
  </si>
  <si>
    <t>Оценивает поисковую и рекламную конкуренцию.</t>
  </si>
  <si>
    <t>Запросы, частотность, цена клика, сложность, активность рекламы.</t>
  </si>
  <si>
    <t>Индекс рекламного и SEO-давления.</t>
  </si>
  <si>
    <t>Помогает оценить стоимость входа через поиск и рекламу.</t>
  </si>
  <si>
    <t>05_Отзывы_рейтинги</t>
  </si>
  <si>
    <t>Оценивает репутационные барьеры.</t>
  </si>
  <si>
    <t>Отзывы, рейтинги, число кейсов, возраст бренда.</t>
  </si>
  <si>
    <t>Индекс доверия действующих игроков.</t>
  </si>
  <si>
    <t>Показывает, насколько трудно новому бизнесу получить доверие.</t>
  </si>
  <si>
    <t>06_Технологии_финансы</t>
  </si>
  <si>
    <t>Оценивает технологические и ресурсные барьеры.</t>
  </si>
  <si>
    <t>Стек сайта, автоматизация, финансирование, команда, рекламные библиотеки.</t>
  </si>
  <si>
    <t>Индекс технологической силы конкурентов.</t>
  </si>
  <si>
    <t>Показывает, насколько конкуренты защищены ресурсами и инфраструктурой.</t>
  </si>
  <si>
    <t>07_Барьеры_входа</t>
  </si>
  <si>
    <t>Сводит все факторы в единую оценку.</t>
  </si>
  <si>
    <t>При необходимости корректируются баллы и веса.</t>
  </si>
  <si>
    <t>Интегральный индекс барьеров входа.</t>
  </si>
  <si>
    <t>08_Дашборд</t>
  </si>
  <si>
    <t>Показывает итоговые показатели.</t>
  </si>
  <si>
    <t>KPI, графики, финальная интерпретация.</t>
  </si>
  <si>
    <t>Используется для отчета и презентации.</t>
  </si>
  <si>
    <t>09_Источники</t>
  </si>
  <si>
    <t>Фиксирует источники данных.</t>
  </si>
  <si>
    <t>Ссылки, дата обращения, комментарии.</t>
  </si>
  <si>
    <t>Журнал доказательной базы.</t>
  </si>
  <si>
    <t>Повышает воспроизводимость анализа.</t>
  </si>
  <si>
    <t>Ключевое правило интерпретации</t>
  </si>
  <si>
    <t>Параметры оценки конкуренции и барьеров входа</t>
  </si>
  <si>
    <t>Параметр</t>
  </si>
  <si>
    <t>Значение</t>
  </si>
  <si>
    <t>Ед.</t>
  </si>
  <si>
    <t>Тип</t>
  </si>
  <si>
    <t>Комментарий</t>
  </si>
  <si>
    <t>Источник/лист</t>
  </si>
  <si>
    <t>Название рынка</t>
  </si>
  <si>
    <t>ввод</t>
  </si>
  <si>
    <t>География</t>
  </si>
  <si>
    <t>Страна, регион или город анализа.</t>
  </si>
  <si>
    <t>Период анализа Similarweb</t>
  </si>
  <si>
    <t>Период, по которому фиксируются данные Similarweb.</t>
  </si>
  <si>
    <t>Дата обновления модели</t>
  </si>
  <si>
    <t>Число конкурентов в выборке</t>
  </si>
  <si>
    <t>сайтов</t>
  </si>
  <si>
    <t>формула</t>
  </si>
  <si>
    <t>Суммарный релевантный трафик</t>
  </si>
  <si>
    <t>визитов/мес.</t>
  </si>
  <si>
    <t>Порог высокого CR3</t>
  </si>
  <si>
    <t>%</t>
  </si>
  <si>
    <t>Если 3 лидера контролируют больше порога, рынок концентрирован.</t>
  </si>
  <si>
    <t>Порог высокого CR5</t>
  </si>
  <si>
    <t>Если 5 лидеров контролируют больше порога, вход труднее.</t>
  </si>
  <si>
    <t>Порог высокого HHI</t>
  </si>
  <si>
    <t>индекс</t>
  </si>
  <si>
    <t>Ориентир высокой концентрации по долям трафика.</t>
  </si>
  <si>
    <t>Порог высокой доли платного трафика</t>
  </si>
  <si>
    <t>Высокая доля paid traffic означает дорогой вход через рекламу.</t>
  </si>
  <si>
    <t>Порог высокой доли органики</t>
  </si>
  <si>
    <t>Высокая доля органики означает сильную SEO-позицию конкурентов.</t>
  </si>
  <si>
    <t>Порог высокой брендовой силы</t>
  </si>
  <si>
    <t>Прямой + брендовый трафик как признак узнаваемости.</t>
  </si>
  <si>
    <t>Порог отзывов на конкурента</t>
  </si>
  <si>
    <t>отзывов</t>
  </si>
  <si>
    <t>Если у игроков много отзывов, новому бизнесу труднее получить доверие.</t>
  </si>
  <si>
    <t>Порог рекламной активности</t>
  </si>
  <si>
    <t>объявлений</t>
  </si>
  <si>
    <t>Ориентир высокого рекламного давления по рекламным библиотекам.</t>
  </si>
  <si>
    <t>Данные Similarweb по конкурентам</t>
  </si>
  <si>
    <t>Конкурент / сайт</t>
  </si>
  <si>
    <t>Тип игрока</t>
  </si>
  <si>
    <t>Месячные визиты</t>
  </si>
  <si>
    <t>Релевантный трафик</t>
  </si>
  <si>
    <t>Доля релевантного трафика</t>
  </si>
  <si>
    <t>Длительность, сек.</t>
  </si>
  <si>
    <t>Страниц/визит</t>
  </si>
  <si>
    <t>Отказы</t>
  </si>
  <si>
    <t>Прямой трафик</t>
  </si>
  <si>
    <t>Органика</t>
  </si>
  <si>
    <t>Платный поиск</t>
  </si>
  <si>
    <t>Соцсети</t>
  </si>
  <si>
    <t>Рефералы</t>
  </si>
  <si>
    <t>Медийная реклама</t>
  </si>
  <si>
    <t>Брендовый поиск</t>
  </si>
  <si>
    <t>Показатель</t>
  </si>
  <si>
    <t>Формула / значение</t>
  </si>
  <si>
    <t>Интерпретация</t>
  </si>
  <si>
    <t>Оценочный цифровой размер выборки конкурентов</t>
  </si>
  <si>
    <t>CR3 по трафику</t>
  </si>
  <si>
    <t>Доля трех крупнейших игроков</t>
  </si>
  <si>
    <t>CR5 по трафику</t>
  </si>
  <si>
    <t>Доля пяти крупнейших игроков</t>
  </si>
  <si>
    <t>HHI по трафику</t>
  </si>
  <si>
    <t>Индекс концентрации на основе долей релевантного трафика</t>
  </si>
  <si>
    <t>Средняя длительность визита</t>
  </si>
  <si>
    <t>Косвенный признак вовлеченности</t>
  </si>
  <si>
    <t>Оценка конкурентного давления по каналам трафика</t>
  </si>
  <si>
    <t>Расчет делается как взвешенная доля каналов с учетом релевантного трафика конкурентов</t>
  </si>
  <si>
    <t>Канал</t>
  </si>
  <si>
    <t>Формула / источник</t>
  </si>
  <si>
    <t>Взвешенная доля канала</t>
  </si>
  <si>
    <t>Порог высокого давления</t>
  </si>
  <si>
    <t>Балльная оценка 1-5</t>
  </si>
  <si>
    <t>Риски для нового игрока</t>
  </si>
  <si>
    <t>Источник</t>
  </si>
  <si>
    <t>Similarweb: Direct</t>
  </si>
  <si>
    <t>Высокая доля означает узнаваемость брендов.</t>
  </si>
  <si>
    <t>Новому игроку сложнее быстро получить прямые заходы.</t>
  </si>
  <si>
    <t>Брендовые запросы, отзывы, возраст домена.</t>
  </si>
  <si>
    <t>Similarweb</t>
  </si>
  <si>
    <t>Органический поиск</t>
  </si>
  <si>
    <t>Similarweb: Organic Search</t>
  </si>
  <si>
    <t>Высокая доля означает сильные SEO-позиции.</t>
  </si>
  <si>
    <t>Потребуются контент, ссылки, время и техническая оптимизация.</t>
  </si>
  <si>
    <t>Semrush/Ahrefs, выдача Google/Яндекс.</t>
  </si>
  <si>
    <t>Similarweb, Semrush, Ahrefs</t>
  </si>
  <si>
    <t>Similarweb: Paid Search</t>
  </si>
  <si>
    <t>Высокая доля означает рекламное давление.</t>
  </si>
  <si>
    <t>Вход через рекламу может быть дорогим.</t>
  </si>
  <si>
    <t>Google Ads, Яндекс Директ, рекламные библиотеки.</t>
  </si>
  <si>
    <t>Similarweb, Ads libraries</t>
  </si>
  <si>
    <t>Социальные сети</t>
  </si>
  <si>
    <t>Similarweb: Social</t>
  </si>
  <si>
    <t>Высокая доля означает сильные социальные каналы.</t>
  </si>
  <si>
    <t>Нужно развивать контент и сообщество.</t>
  </si>
  <si>
    <t>Meta/TikTok/YouTube/LinkedIn активность.</t>
  </si>
  <si>
    <t>Similarweb, социальные сети</t>
  </si>
  <si>
    <t>Реферальный трафик</t>
  </si>
  <si>
    <t>Similarweb: Referrals</t>
  </si>
  <si>
    <t>Высокая доля означает партнерские и медийные связи.</t>
  </si>
  <si>
    <t>Потребуются партнерства и присутствие в каталогах.</t>
  </si>
  <si>
    <t>Каталоги, медиа, партнерские сайты.</t>
  </si>
  <si>
    <t>Similarweb, каталоги</t>
  </si>
  <si>
    <t>Similarweb: Display</t>
  </si>
  <si>
    <t>Высокая доля означает платное медийное давление.</t>
  </si>
  <si>
    <t>Нужны бюджеты на охват и ретаргетинг.</t>
  </si>
  <si>
    <t>Библиотеки рекламы, креативы, баннеры.</t>
  </si>
  <si>
    <t>Similarweb, рекламные библиотеки</t>
  </si>
  <si>
    <t>Брендовая сила</t>
  </si>
  <si>
    <t>Direct + Brand Search</t>
  </si>
  <si>
    <t>Высокая доля означает устойчивое доверие и узнаваемость.</t>
  </si>
  <si>
    <t>Новому игроку сложнее перехватить спрос.</t>
  </si>
  <si>
    <t>Google Trends по брендам, брендовые запросы.</t>
  </si>
  <si>
    <t>Similarweb, Trends, Wordstat</t>
  </si>
  <si>
    <t>Оценка поисковой и рекламной конкуренции</t>
  </si>
  <si>
    <t>Вводятся данные из Google/Яндекс, Semrush/Ahrefs, рекламных библиотек и Similarweb</t>
  </si>
  <si>
    <t>Запрос / рекламная тема</t>
  </si>
  <si>
    <t>Тип намерения</t>
  </si>
  <si>
    <t>CPC / цена клика</t>
  </si>
  <si>
    <t>Конкурентность PPC 0-1</t>
  </si>
  <si>
    <t>SEO difficulty 0-100</t>
  </si>
  <si>
    <t>Топ-конкурентов в выдаче</t>
  </si>
  <si>
    <t>Активных рекламодателей</t>
  </si>
  <si>
    <t>Рекламные объявления</t>
  </si>
  <si>
    <t>Индекс давления</t>
  </si>
  <si>
    <t>коммерческий</t>
  </si>
  <si>
    <t>инструментальный</t>
  </si>
  <si>
    <t>Сводный показатель</t>
  </si>
  <si>
    <t>Оценка</t>
  </si>
  <si>
    <t>Средний индекс поисково-рекламного давления</t>
  </si>
  <si>
    <t>Учитывает CPC, PPC-конкурентность, SEO difficulty, число конкурентов и рекламных объявлений.</t>
  </si>
  <si>
    <t>Доля высококонкурентных запросов</t>
  </si>
  <si>
    <t>Доля запросов с баллом 5.</t>
  </si>
  <si>
    <t>Вывод</t>
  </si>
  <si>
    <t>Конкурент</t>
  </si>
  <si>
    <t>G2 рейтинг</t>
  </si>
  <si>
    <t>G2 отзывы</t>
  </si>
  <si>
    <t>Capterra рейтинг</t>
  </si>
  <si>
    <t>Capterra отзывы</t>
  </si>
  <si>
    <t>Trustpilot рейтинг</t>
  </si>
  <si>
    <t>Trustpilot отзывы</t>
  </si>
  <si>
    <t>Google рейтинг</t>
  </si>
  <si>
    <t>Google отзывы</t>
  </si>
  <si>
    <t>Кейсы на сайте</t>
  </si>
  <si>
    <t>Возраст бренда, лет</t>
  </si>
  <si>
    <t>Индекс доверия</t>
  </si>
  <si>
    <t>Средний индекс доверия конкурентов</t>
  </si>
  <si>
    <t>Высокий индекс означает сильный репутационный барьер.</t>
  </si>
  <si>
    <t>Среднее число отзывов на конкурента</t>
  </si>
  <si>
    <t>Оценка технологических, финансовых и организационных барьеров</t>
  </si>
  <si>
    <t>Финансирование / инвестиции</t>
  </si>
  <si>
    <t>Сотрудники LinkedIn</t>
  </si>
  <si>
    <t>Технологический стек 1-5</t>
  </si>
  <si>
    <t>CRM/автоматизация 1-5</t>
  </si>
  <si>
    <t>Мобильное приложение</t>
  </si>
  <si>
    <t>Личный кабинет</t>
  </si>
  <si>
    <t>Активных объявлений</t>
  </si>
  <si>
    <t>Вакансий</t>
  </si>
  <si>
    <t>Патенты/уникальные активы</t>
  </si>
  <si>
    <t>Индекс ресурсной силы</t>
  </si>
  <si>
    <t>Средний индекс ресурсной силы</t>
  </si>
  <si>
    <t>Высокая ресурсная сила конкурентов повышает барьеры входа.</t>
  </si>
  <si>
    <t>Доля конкурентов с личным кабинетом/приложением</t>
  </si>
  <si>
    <t>Показывает степень цифровой зрелости конкурентов.</t>
  </si>
  <si>
    <t>Сводная оценка уровня конкуренции и барьеров входа</t>
  </si>
  <si>
    <t>Фактор барьера входа</t>
  </si>
  <si>
    <t>Ключевой показатель</t>
  </si>
  <si>
    <t>Вес</t>
  </si>
  <si>
    <t>Взвешенный балл</t>
  </si>
  <si>
    <t>Уровень давления</t>
  </si>
  <si>
    <t>Что означает</t>
  </si>
  <si>
    <t>Рекомендуемое действие</t>
  </si>
  <si>
    <t>Концентрация трафика</t>
  </si>
  <si>
    <t>CR3 / CR5 / HHI</t>
  </si>
  <si>
    <t>Лидеры контролируют значимую часть цифрового спроса.</t>
  </si>
  <si>
    <t>Искать узкие сегменты и менее занятые каналы.</t>
  </si>
  <si>
    <t>Органическое SEO-давление</t>
  </si>
  <si>
    <t>Доля органического трафика конкурентов</t>
  </si>
  <si>
    <t>Конкуренты занимают поисковую видимость.</t>
  </si>
  <si>
    <t>Планировать контент, поисковую оптимизацию и долгий горизонт входа.</t>
  </si>
  <si>
    <t>Платное рекламное давление</t>
  </si>
  <si>
    <t>Доля paid search + рекламная активность</t>
  </si>
  <si>
    <t>Вход через рекламу требует бюджета.</t>
  </si>
  <si>
    <t>Брендовая сила конкурентов</t>
  </si>
  <si>
    <t>Direct + брендовый поиск</t>
  </si>
  <si>
    <t>Клиенты уже знают действующих игроков.</t>
  </si>
  <si>
    <t>Строить доверие, кейсы, репутацию и рекомендации.</t>
  </si>
  <si>
    <t>Поисково-рекламная конкуренция</t>
  </si>
  <si>
    <t>Коммерческие запросы заняты сильными игроками.</t>
  </si>
  <si>
    <t>Выбирать длинные и проблемные запросы.</t>
  </si>
  <si>
    <t>Репутационный барьер</t>
  </si>
  <si>
    <t>Отзывы, рейтинги, кейсы</t>
  </si>
  <si>
    <t>У конкурентов накоплены отзывы и социальное доказательство.</t>
  </si>
  <si>
    <t>Технологический и ресурсный барьер</t>
  </si>
  <si>
    <t>Стек, команда, финансирование, автоматизация</t>
  </si>
  <si>
    <t>Конкуренты защищены ресурсами или цифровой инфраструктурой.</t>
  </si>
  <si>
    <t>Фокусироваться на нише и сервисном преимуществе.</t>
  </si>
  <si>
    <t>Платформенная зависимость</t>
  </si>
  <si>
    <t>Доступ к клиенту контролируется платформами.</t>
  </si>
  <si>
    <t>Диверсифицировать каналы и строить собственную базу клиентов.</t>
  </si>
  <si>
    <t>Угроза заменителей</t>
  </si>
  <si>
    <t>Клиент может решить задачу альтернативным способом.</t>
  </si>
  <si>
    <t>Суммарный индекс барьеров входа</t>
  </si>
  <si>
    <t>Использовать как итоговый вывод для анализа входа на рынок.</t>
  </si>
  <si>
    <t>Дашборд оценки уровня конкуренции и барьеров входа</t>
  </si>
  <si>
    <t>Итоговые показатели автоматически подтягиваются из расчетных листов</t>
  </si>
  <si>
    <t>KPI</t>
  </si>
  <si>
    <t>Фактор</t>
  </si>
  <si>
    <t>Балл</t>
  </si>
  <si>
    <t>Индекс барьеров входа</t>
  </si>
  <si>
    <t>1-5</t>
  </si>
  <si>
    <t>Итоговый уровень</t>
  </si>
  <si>
    <t>SEO-давление</t>
  </si>
  <si>
    <t>CR3 по релевантному трафику</t>
  </si>
  <si>
    <t>Рекламное давление</t>
  </si>
  <si>
    <t>HHI по релевантному трафику</t>
  </si>
  <si>
    <t>Средний поисково-рекламный индекс</t>
  </si>
  <si>
    <t>Поиск/реклама</t>
  </si>
  <si>
    <t>Репутация</t>
  </si>
  <si>
    <t>Технологии</t>
  </si>
  <si>
    <t>Платформы</t>
  </si>
  <si>
    <t>Заменители</t>
  </si>
  <si>
    <t>Итоговая формулировка для отчета</t>
  </si>
  <si>
    <t>Журнал источников данных для оценки конкуренции</t>
  </si>
  <si>
    <t>URL</t>
  </si>
  <si>
    <t>Что брать</t>
  </si>
  <si>
    <t>Для какой силы/фактора</t>
  </si>
  <si>
    <t>Формат фиксации</t>
  </si>
  <si>
    <t>Дата обращения</t>
  </si>
  <si>
    <t>Ограничения</t>
  </si>
  <si>
    <t>https://www.similarweb.com/website/</t>
  </si>
  <si>
    <t>визиты, каналы трафика, география, похожие сайты, поисковые запросы</t>
  </si>
  <si>
    <t>конкуренция, каналы, география, барьеры входа</t>
  </si>
  <si>
    <t>оценочные данные, слабее для малых сайтов</t>
  </si>
  <si>
    <t>Semrush</t>
  </si>
  <si>
    <t>https://www.semrush.com/</t>
  </si>
  <si>
    <t>органический трафик, paid search, keyword difficulty, конкуренты</t>
  </si>
  <si>
    <t>SEO и рекламное давление</t>
  </si>
  <si>
    <t>таблица/скриншот/экспорт при доступе</t>
  </si>
  <si>
    <t>часть данных платная, оценки модельные</t>
  </si>
  <si>
    <t>Ahrefs</t>
  </si>
  <si>
    <t>https://ahrefs.com/</t>
  </si>
  <si>
    <t>ссылки, ключевые слова, органическая видимость, конкуренты</t>
  </si>
  <si>
    <t>SEO-барьеры</t>
  </si>
  <si>
    <t>таблица/экспорт при доступе</t>
  </si>
  <si>
    <t>зависит от базы и тарифа</t>
  </si>
  <si>
    <t>G2</t>
  </si>
  <si>
    <t>https://www.g2.com/</t>
  </si>
  <si>
    <t>отзывы, рейтинги, сравнения, категории B2B-софта</t>
  </si>
  <si>
    <t>сила покупателей, репутация, заменители</t>
  </si>
  <si>
    <t>таблица отзывов и рейтингов</t>
  </si>
  <si>
    <t>сильнее для программных продуктов</t>
  </si>
  <si>
    <t>Capterra</t>
  </si>
  <si>
    <t>https://www.capterra.com/</t>
  </si>
  <si>
    <t>отзывы и рейтинги программных решений</t>
  </si>
  <si>
    <t>репутация и заменители</t>
  </si>
  <si>
    <t>таблица отзывов</t>
  </si>
  <si>
    <t>не все локальные рынки представлены</t>
  </si>
  <si>
    <t>Trustpilot</t>
  </si>
  <si>
    <t>https://www.trustpilot.com/</t>
  </si>
  <si>
    <t>отзывы, рейтинг, динамика доверия</t>
  </si>
  <si>
    <t>репутационные барьеры</t>
  </si>
  <si>
    <t>таблица/скриншот</t>
  </si>
  <si>
    <t>разная полнота по странам и нишам</t>
  </si>
  <si>
    <t>Crunchbase</t>
  </si>
  <si>
    <t>https://www.crunchbase.com/</t>
  </si>
  <si>
    <t>финансирование, сделки, инвесторы, рост компаний</t>
  </si>
  <si>
    <t>угроза новых игроков, ресурсная сила</t>
  </si>
  <si>
    <t>таблица компаний</t>
  </si>
  <si>
    <t>многие данные доступны по подписке</t>
  </si>
  <si>
    <t>BuiltWith</t>
  </si>
  <si>
    <t>https://builtwith.com/</t>
  </si>
  <si>
    <t>технологический стек сайта</t>
  </si>
  <si>
    <t>технологические барьеры</t>
  </si>
  <si>
    <t>таблица технологий</t>
  </si>
  <si>
    <t>не показывает всю внутреннюю инфраструктуру</t>
  </si>
  <si>
    <t>Wappalyzer</t>
  </si>
  <si>
    <t>https://www.wappalyzer.com/</t>
  </si>
  <si>
    <t>технологии сайта, аналитика, CRM, e-commerce stack</t>
  </si>
  <si>
    <t>только видимые технологии</t>
  </si>
  <si>
    <t>Meta Ad Library</t>
  </si>
  <si>
    <t>https://www.facebook.com/ads/library/</t>
  </si>
  <si>
    <t>активные рекламные объявления</t>
  </si>
  <si>
    <t>рекламное давление</t>
  </si>
  <si>
    <t>ссылка/скриншот/число объявлений</t>
  </si>
  <si>
    <t>не дает полный бюджет</t>
  </si>
  <si>
    <t>Google Ads Transparency Center</t>
  </si>
  <si>
    <t>https://adstransparency.google.com/</t>
  </si>
  <si>
    <t>объявления рекламодателей в Google</t>
  </si>
  <si>
    <t>ссылка/скриншот</t>
  </si>
  <si>
    <t>не всегда видно бюджет и эффективность</t>
  </si>
  <si>
    <t>LinkedIn Ads Library</t>
  </si>
  <si>
    <t>https://www.linkedin.com/ad-library/</t>
  </si>
  <si>
    <t>B2B-реклама и активность брендов</t>
  </si>
  <si>
    <t>рекламное давление B2B</t>
  </si>
  <si>
    <t>актуально для B2B-рынков</t>
  </si>
  <si>
    <t>TikTok Creative Center</t>
  </si>
  <si>
    <t>https://ads.tiktok.com/business/creativecenter/</t>
  </si>
  <si>
    <t>креативы, тренды, рекламные идеи</t>
  </si>
  <si>
    <t>социальные каналы и заменители</t>
  </si>
  <si>
    <t>не для всех ниш одинаково полезен</t>
  </si>
  <si>
    <t>Product Hunt</t>
  </si>
  <si>
    <t>https://www.producthunt.com/</t>
  </si>
  <si>
    <t>новые продукты и стартапы</t>
  </si>
  <si>
    <t>угроза новых участников и заменителей</t>
  </si>
  <si>
    <t>список продуктов</t>
  </si>
  <si>
    <t>смещен в сторону стартапов</t>
  </si>
  <si>
    <t>App Store / Google Play</t>
  </si>
  <si>
    <t>https://play.google.com/store/apps</t>
  </si>
  <si>
    <t>приложения, отзывы, рейтинги, загрузки</t>
  </si>
  <si>
    <t>заменители, конкуренты, доверие</t>
  </si>
  <si>
    <t>таблица приложений</t>
  </si>
  <si>
    <t>данные по загрузкам приблизительные или скрытые</t>
  </si>
  <si>
    <t>Белстат</t>
  </si>
  <si>
    <t>https://www.belstat.gov.by/</t>
  </si>
  <si>
    <t>количество организаций, отрасли, доходы, социально-экономические данные</t>
  </si>
  <si>
    <t>потенциальные клиенты и платежеспособность</t>
  </si>
  <si>
    <t>таблица статистики</t>
  </si>
  <si>
    <t>не всегда есть узкие цифровые сегменты</t>
  </si>
  <si>
    <t>Онлайн-проверка Excel-моделей и финансовых таблиц (TableMind)</t>
  </si>
  <si>
    <t>Англоязычные страны (США, Великобритания, Канада, Австралия, Ирландия) и ЕС-27</t>
  </si>
  <si>
    <t>06-08.2026 (три месяца), весь мир; снимок 03.10.2026</t>
  </si>
  <si>
    <t>дата</t>
  </si>
  <si>
    <t>Дата снимка Similarweb</t>
  </si>
  <si>
    <t>Число сайтов выборки</t>
  </si>
  <si>
    <t>Доля целевой географии x релевантность x качество</t>
  </si>
  <si>
    <t>shortcut.ai</t>
  </si>
  <si>
    <t>Similarweb Pro, 06-08.2026, 03.10.2026; брендовый поиск не снимался</t>
  </si>
  <si>
    <t>perfectxl.com</t>
  </si>
  <si>
    <t>rows.com</t>
  </si>
  <si>
    <t>заменитель: AI-таблицы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</si>
  <si>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</si>
  <si>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</si>
  <si>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</si>
  <si>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</si>
  <si>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</si>
  <si>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</si>
  <si>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</si>
  <si>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заменитель: AI-анализ данных</t>
  </si>
  <si>
    <t>spreadsheetdetective.com</t>
  </si>
  <si>
    <t>cimcon.com</t>
  </si>
  <si>
    <t>excel formulas</t>
  </si>
  <si>
    <t>информационный</t>
  </si>
  <si>
    <t>Google Trends (индекс 0-100, ЛР1); Similarweb Keyword research</t>
  </si>
  <si>
    <t>-</t>
  </si>
  <si>
    <t>financial modeling</t>
  </si>
  <si>
    <t>excel copilot</t>
  </si>
  <si>
    <t>AI-альтернатива</t>
  </si>
  <si>
    <t>chatgpt excel</t>
  </si>
  <si>
    <t>excel ai</t>
  </si>
  <si>
    <t>excel audit</t>
  </si>
  <si>
    <t>Google Trends (индекс 0-100, ЛР1)</t>
  </si>
  <si>
    <t>запрос с малым объемом, данные ставок и сложности в Similarweb отсутствуют</t>
  </si>
  <si>
    <t>spreadsheet audit</t>
  </si>
  <si>
    <t>excel formula checker</t>
  </si>
  <si>
    <t>financial model audit</t>
  </si>
  <si>
    <t>perfectxl</t>
  </si>
  <si>
    <t>брендовый</t>
  </si>
  <si>
    <t>Индекс Google Trends (спрос)</t>
  </si>
  <si>
    <t>Ставки и сложность выдачи получены для пяти массовых запросов; в индексе барьеров используется канальный прокси Similarweb (лист 07, строка 8), так как выборка ставок мала.</t>
  </si>
  <si>
    <t>G2: Rows</t>
  </si>
  <si>
    <t>G2: Arixcel Explorer</t>
  </si>
  <si>
    <t>G2: Ajelix</t>
  </si>
  <si>
    <t>G2: Datarails</t>
  </si>
  <si>
    <t>G2: Julius AI</t>
  </si>
  <si>
    <t>G2: карточка без оценок</t>
  </si>
  <si>
    <t>Среднее число отзывов на конкурента (G2, Capterra, Trustpilot); отзывы Google, кейсы и возраст бренда не собирались</t>
  </si>
  <si>
    <t>D и E - экспертные баллы (Д-17); финансирование и штат - деловая пресса (приложение Д ЛР5), вакансии и объявления не собирались</t>
  </si>
  <si>
    <t>не раскрыто</t>
  </si>
  <si>
    <t>около 4 чел.</t>
  </si>
  <si>
    <t>около 50 чел.</t>
  </si>
  <si>
    <t>сумма не раскрыта</t>
  </si>
  <si>
    <t>1-10 чел.</t>
  </si>
  <si>
    <t>51-100 чел.</t>
  </si>
  <si>
    <t>без внешнего финансирования</t>
  </si>
  <si>
    <t>более 400 чел.</t>
  </si>
  <si>
    <t>Доля планируемых каналов через внешние платформы (AppSource, Product Hunt, поиск) из каналов ПЗ1</t>
  </si>
  <si>
    <t>Доля релевантного трафика, приходящаяся на частичных конкурентов и заменителей</t>
  </si>
  <si>
    <t>Интегральная оценка давления - сумма взвешенных баллов; веса заданы с суммой 1,00.</t>
  </si>
  <si>
    <t>Оценка уровня конкуренции и барьеров входа</t>
  </si>
  <si>
    <t>Исходные данные</t>
  </si>
  <si>
    <t>Дает итоговый вывод - низкие, средние или высокие барьеры.</t>
  </si>
  <si>
    <t>Similarweb и аналогичные сервисы дают оценочные цифровые сигналы - посещаемость, каналы трафика, географию, поисковые запросы и конкурентное окружение. Их нельзя механически превращать в точный размер рынка. Для оценки барьеров входа используйте несколько источников - Similarweb, Semrush/Ahrefs, G2/Capterra/Trustpilot, Crunchbase, BuiltWith/Wappalyzer, рекламные библиотеки и данные маркетплейсов.</t>
  </si>
  <si>
    <t>Голубые ячейки содержат исходные данные, светлые рассчитываются формулами</t>
  </si>
  <si>
    <t>Анализируемый рынок задан границами ЛР1.</t>
  </si>
  <si>
    <t>Релевантный трафик - визиты x география x релевантность x качество</t>
  </si>
  <si>
    <t>Сайты конкурентов и показатели Similarweb. Релевантный трафик и доля рынка считаются автоматически.</t>
  </si>
  <si>
    <t>частичный конкурент - AI-агент для Excel</t>
  </si>
  <si>
    <t>прямой конкурент - аудит таблиц</t>
  </si>
  <si>
    <t>заменитель - AI-помощник в таблицах</t>
  </si>
  <si>
    <t>прямой конкурент - аудит финансовых моделей</t>
  </si>
  <si>
    <t>заменитель - FP&amp;A-платформа для Excel</t>
  </si>
  <si>
    <t>частичный конкурент - риски пользовательских таблиц</t>
  </si>
  <si>
    <t>Рекомендация</t>
  </si>
  <si>
    <t>ставка клика пересчитана в у.е. по курсу НБРБ; конкуренция PPC и сложность SEO из Similarweb Keyword research</t>
  </si>
  <si>
    <t>Оценка репутационных барьеров - отзывы, рейтинги, кейсы</t>
  </si>
  <si>
    <t>Данные по G2, Capterra, Trustpilot, Google Maps, App Store, Google Play, маркетплейсам и сайтам конкурентов</t>
  </si>
  <si>
    <t>G2 - карточки Shortcut нет (найдена SheetWhiz - не относится)</t>
  </si>
  <si>
    <t>G2 - карточка PerfectXL (Infotron B.V.) 0 отзывов</t>
  </si>
  <si>
    <t>G2 - карточки Numerous.ai нет (найден посторонний продукт)</t>
  </si>
  <si>
    <t>G2 - найден только однофамилец (Operis by Vastian, лабораторные процессы) - не конкурент</t>
  </si>
  <si>
    <t>G2 - Formula Bot (Better Analyst)</t>
  </si>
  <si>
    <t>G2 - CIMCON Software (EUC-риск)</t>
  </si>
  <si>
    <t>Данные из деловой прессы, каталогов компаний и сайтов конкурентов</t>
  </si>
  <si>
    <t>более 35 млн у.е. (seed и Series A)</t>
  </si>
  <si>
    <t>около 39 млн у.е.</t>
  </si>
  <si>
    <t>выручка 6,7 млн у.е. (2022)</t>
  </si>
  <si>
    <t>155 млн у.е. (привлечено всего)</t>
  </si>
  <si>
    <t>Баллы 1/3/5 формируются из расчетных листов. Веса заданы с учетом особенностей рынка.</t>
  </si>
  <si>
    <t>Стоимость клика и юнит-экономика оценены в ЛР2-3.</t>
  </si>
  <si>
    <t>Поисково-рекламное давление - органика и платный поиск Similarweb к порогам (ставки и сложность SEO приведены на листе 04)</t>
  </si>
  <si>
    <t>Репутационный барьер снижают пилоты, отзывы и кейсы.</t>
  </si>
  <si>
    <t>Ценность строится на результате, скорости, экспертизе и сопровождении.</t>
  </si>
  <si>
    <t>Для каждого источника указаны ссылка, взятые данные и ограничения интерпретации</t>
  </si>
  <si>
    <t>Рассчитывается формулой</t>
  </si>
  <si>
    <t>выгрузка и фиксация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</si>
</sst>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6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4" fillId="0" borderId="0" xfId="0" applyFont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5" borderId="3" xfId="1" applyFont="1" applyFill="1" applyBorder="1" applyAlignment="1">
      <alignment horizontal="left" vertical="center" wrapText="1"/>
    </xf>
    <xf numFmtId="0" fontId="4" fillId="0" borderId="4" xfId="1" applyFont="1" applyBorder="1" applyAlignment="1">
      <alignment horizontal="center" vertical="center" wrapText="1"/>
    </xf>
    <xf numFmtId="3" fontId="4" fillId="3" borderId="1" xfId="1" applyNumberFormat="1" applyFont="1" applyFill="1" applyBorder="1" applyAlignment="1">
      <alignment horizontal="center" vertical="center" wrapText="1"/>
    </xf>
    <xf numFmtId="3" fontId="4" fillId="3" borderId="2" xfId="1" applyNumberFormat="1" applyFont="1" applyFill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9" fontId="4" fillId="5" borderId="1" xfId="1" applyNumberFormat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3" fontId="4" fillId="5" borderId="1" xfId="1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164" fontId="4" fillId="5" borderId="2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4" fillId="3" borderId="2" xfId="1" applyNumberFormat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left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center" vertical="center" wrapText="1"/>
    </xf>
    <xf numFmtId="165" fontId="4" fillId="0" borderId="2" xfId="1" applyNumberFormat="1" applyFont="1" applyBorder="1" applyAlignment="1">
      <alignment horizontal="center" vertical="center" wrapText="1"/>
    </xf>
    <xf numFmtId="1" fontId="4" fillId="3" borderId="1" xfId="1" applyNumberFormat="1" applyFont="1" applyFill="1" applyBorder="1" applyAlignment="1">
      <alignment horizontal="center" vertical="center" wrapText="1"/>
    </xf>
    <xf numFmtId="1" fontId="4" fillId="3" borderId="2" xfId="1" applyNumberFormat="1" applyFont="1" applyFill="1" applyBorder="1" applyAlignment="1">
      <alignment horizontal="center" vertical="center" wrapText="1"/>
    </xf>
    <xf numFmtId="2" fontId="4" fillId="5" borderId="1" xfId="1" applyNumberFormat="1" applyFont="1" applyFill="1" applyBorder="1" applyAlignment="1">
      <alignment horizontal="center" vertical="center" wrapText="1"/>
    </xf>
    <xf numFmtId="2" fontId="4" fillId="5" borderId="2" xfId="1" applyNumberFormat="1" applyFont="1" applyFill="1" applyBorder="1" applyAlignment="1">
      <alignment horizontal="center" vertical="center" wrapText="1"/>
    </xf>
    <xf numFmtId="1" fontId="4" fillId="5" borderId="1" xfId="1" applyNumberFormat="1" applyFont="1" applyFill="1" applyBorder="1" applyAlignment="1">
      <alignment horizontal="center" vertical="center" wrapText="1"/>
    </xf>
    <xf numFmtId="1" fontId="4" fillId="5" borderId="2" xfId="1" applyNumberFormat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165" fontId="4" fillId="5" borderId="1" xfId="1" applyNumberFormat="1" applyFont="1" applyFill="1" applyBorder="1" applyAlignment="1">
      <alignment horizontal="center" vertical="center" wrapText="1"/>
    </xf>
    <xf numFmtId="3" fontId="4" fillId="5" borderId="1" xfId="1" applyNumberFormat="1" applyFont="1" applyFill="1" applyBorder="1" applyAlignment="1">
      <alignment horizontal="left" vertical="center" wrapText="1"/>
    </xf>
    <xf numFmtId="2" fontId="4" fillId="3" borderId="1" xfId="1" applyNumberFormat="1" applyFont="1" applyFill="1" applyBorder="1" applyAlignment="1">
      <alignment horizontal="center" vertical="center" wrapText="1"/>
    </xf>
    <xf numFmtId="9" fontId="4" fillId="0" borderId="1" xfId="1" applyNumberFormat="1" applyFont="1" applyBorder="1" applyAlignment="1">
      <alignment horizontal="center" vertical="center" wrapText="1"/>
    </xf>
    <xf numFmtId="9" fontId="4" fillId="0" borderId="2" xfId="1" applyNumberFormat="1" applyFont="1" applyBorder="1" applyAlignment="1">
      <alignment horizontal="center" vertical="center" wrapText="1"/>
    </xf>
    <xf numFmtId="2" fontId="4" fillId="0" borderId="1" xfId="1" applyNumberFormat="1" applyFont="1" applyBorder="1" applyAlignment="1">
      <alignment horizontal="center" vertical="center" wrapText="1"/>
    </xf>
    <xf numFmtId="2" fontId="4" fillId="0" borderId="2" xfId="1" applyNumberFormat="1" applyFont="1" applyBorder="1" applyAlignment="1">
      <alignment horizontal="center" vertical="center" wrapText="1"/>
    </xf>
    <xf numFmtId="2" fontId="4" fillId="0" borderId="3" xfId="1" applyNumberFormat="1" applyFont="1" applyBorder="1" applyAlignment="1">
      <alignment horizontal="center" vertical="center" wrapText="1"/>
    </xf>
    <xf numFmtId="2" fontId="4" fillId="0" borderId="4" xfId="1" applyNumberFormat="1" applyFont="1" applyBorder="1" applyAlignment="1">
      <alignment horizontal="center" vertical="center" wrapText="1"/>
    </xf>
    <xf numFmtId="1" fontId="4" fillId="0" borderId="1" xfId="1" applyNumberFormat="1" applyFont="1" applyBorder="1" applyAlignment="1">
      <alignment horizontal="center" vertical="center" wrapText="1"/>
    </xf>
    <xf numFmtId="14" fontId="4" fillId="0" borderId="1" xfId="1" applyNumberFormat="1" applyFont="1" applyBorder="1" applyAlignment="1">
      <alignment horizontal="center" vertical="center" wrapText="1"/>
    </xf>
    <xf numFmtId="14" fontId="4" fillId="0" borderId="2" xfId="1" applyNumberFormat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3" xfId="1" applyFont="1" applyFill="1" applyBorder="1" applyAlignment="1">
      <alignment horizontal="left" vertical="center" wrapText="1"/>
    </xf>
    <xf numFmtId="0" fontId="5" fillId="2" borderId="1" xfId="1" applyFont="1" applyFill="1" applyBorder="1" applyAlignment="1">
      <alignment horizontal="left" vertical="center" wrapText="1"/>
    </xf>
    <xf numFmtId="0" fontId="5" fillId="2" borderId="4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103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Баллы по факторам барьеров входа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Балл</c:v>
          </c:tx>
          <c:spPr>
            <a:solidFill>
              <a:srgbClr val="1F4E79"/>
            </a:solidFill>
          </c:spPr>
          <c:invertIfNegative val="1"/>
          <c:cat>
            <c:strRef>
              <c:f>'08_Дашборд'!$F$4:$F$12</c:f>
              <c:strCache>
                <c:ptCount val="9"/>
                <c:pt idx="0">
                  <c:v>Концентрация трафика</c:v>
                </c:pt>
                <c:pt idx="1">
                  <c:v>SEO-давление</c:v>
                </c:pt>
                <c:pt idx="2">
                  <c:v>Рекламное давление</c:v>
                </c:pt>
                <c:pt idx="3">
                  <c:v>Брендовая сила</c:v>
                </c:pt>
                <c:pt idx="4">
                  <c:v>Поиск/реклама</c:v>
                </c:pt>
                <c:pt idx="5">
                  <c:v>Репутация</c:v>
                </c:pt>
                <c:pt idx="6">
                  <c:v>Технологии</c:v>
                </c:pt>
                <c:pt idx="7">
                  <c:v>Платформы</c:v>
                </c:pt>
                <c:pt idx="8">
                  <c:v>Заменители</c:v>
                </c:pt>
              </c:strCache>
            </c:strRef>
          </c:cat>
          <c:val>
            <c:numRef>
              <c:f>'08_Дашборд'!$G$4:$G$12</c:f>
              <c:numCache>
                <c:formatCode>0.00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225-4617-BDE6-21AD00046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3</xdr:col>
      <xdr:colOff>574675</xdr:colOff>
      <xdr:row>40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mpetitorsSW" displayName="tblCompetitorsSW" ref="A3:Q15" headerRowDxfId="102" dataDxfId="101" totalsRowDxfId="100">
  <tableColumns count="17">
    <tableColumn id="1" xr3:uid="{00000000-0010-0000-0000-000001000000}" name="Конкурент / сайт" dataDxfId="99"/>
    <tableColumn id="2" xr3:uid="{00000000-0010-0000-0000-000002000000}" name="Тип игрока" dataDxfId="98"/>
    <tableColumn id="3" xr3:uid="{00000000-0010-0000-0000-000003000000}" name="Месячные визиты" dataDxfId="97"/>
    <tableColumn id="4" xr3:uid="{00000000-0010-0000-0000-000004000000}" name="Доля целевой географии x релевантность x качество" dataDxfId="96"/>
    <tableColumn id="5" xr3:uid="{00000000-0010-0000-0000-000005000000}" name="Релевантный трафик" dataDxfId="95"/>
    <tableColumn id="6" xr3:uid="{00000000-0010-0000-0000-000006000000}" name="Доля релевантного трафика" dataDxfId="94"/>
    <tableColumn id="7" xr3:uid="{00000000-0010-0000-0000-000007000000}" name="Длительность, сек." dataDxfId="93"/>
    <tableColumn id="8" xr3:uid="{00000000-0010-0000-0000-000008000000}" name="Страниц/визит" dataDxfId="92"/>
    <tableColumn id="9" xr3:uid="{00000000-0010-0000-0000-000009000000}" name="Отказы" dataDxfId="91"/>
    <tableColumn id="10" xr3:uid="{00000000-0010-0000-0000-00000A000000}" name="Прямой трафик" dataDxfId="90"/>
    <tableColumn id="11" xr3:uid="{00000000-0010-0000-0000-00000B000000}" name="Органика" dataDxfId="89"/>
    <tableColumn id="12" xr3:uid="{00000000-0010-0000-0000-00000C000000}" name="Платный поиск" dataDxfId="88"/>
    <tableColumn id="13" xr3:uid="{00000000-0010-0000-0000-00000D000000}" name="Соцсети" dataDxfId="87"/>
    <tableColumn id="14" xr3:uid="{00000000-0010-0000-0000-00000E000000}" name="Рефералы" dataDxfId="86"/>
    <tableColumn id="15" xr3:uid="{00000000-0010-0000-0000-00000F000000}" name="Медийная реклама" dataDxfId="85"/>
    <tableColumn id="16" xr3:uid="{00000000-0010-0000-0000-000010000000}" name="Брендовый поиск" dataDxfId="84"/>
    <tableColumn id="17" xr3:uid="{00000000-0010-0000-0000-000011000000}" name="Комментарий" dataDxfId="8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hannels" displayName="tblChannels" ref="A3:I10" headerRowDxfId="82" dataDxfId="81" totalsRowDxfId="80">
  <tableColumns count="9">
    <tableColumn id="1" xr3:uid="{00000000-0010-0000-0100-000001000000}" name="Канал" dataDxfId="79"/>
    <tableColumn id="2" xr3:uid="{00000000-0010-0000-0100-000002000000}" name="Формула / источник" dataDxfId="78"/>
    <tableColumn id="3" xr3:uid="{00000000-0010-0000-0100-000003000000}" name="Взвешенная доля канала" dataDxfId="77"/>
    <tableColumn id="4" xr3:uid="{00000000-0010-0000-0100-000004000000}" name="Порог высокого давления" dataDxfId="76"/>
    <tableColumn id="5" xr3:uid="{00000000-0010-0000-0100-000005000000}" name="Балльная оценка 1-5" dataDxfId="75"/>
    <tableColumn id="6" xr3:uid="{00000000-0010-0000-0100-000006000000}" name="Интерпретация" dataDxfId="74"/>
    <tableColumn id="7" xr3:uid="{00000000-0010-0000-0100-000007000000}" name="Риски для нового игрока" dataDxfId="73"/>
    <tableColumn id="8" xr3:uid="{00000000-0010-0000-0100-000008000000}" name="Рекомендация" dataDxfId="72"/>
    <tableColumn id="9" xr3:uid="{00000000-0010-0000-0100-000009000000}" name="Источник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earchAds" displayName="tblSearchAds" ref="A3:M13" headerRowDxfId="70" dataDxfId="69" totalsRowDxfId="68">
  <tableColumns count="13">
    <tableColumn id="1" xr3:uid="{00000000-0010-0000-0200-000001000000}" name="Запрос / рекламная тема" dataDxfId="67"/>
    <tableColumn id="2" xr3:uid="{00000000-0010-0000-0200-000002000000}" name="Тип намерения" dataDxfId="66"/>
    <tableColumn id="3" xr3:uid="{00000000-0010-0000-0200-000003000000}" name="Источник" dataDxfId="65"/>
    <tableColumn id="4" xr3:uid="{00000000-0010-0000-0200-000004000000}" name="Индекс Google Trends (спрос)" dataDxfId="64"/>
    <tableColumn id="5" xr3:uid="{00000000-0010-0000-0200-000005000000}" name="CPC / цена клика" dataDxfId="63"/>
    <tableColumn id="6" xr3:uid="{00000000-0010-0000-0200-000006000000}" name="Конкурентность PPC 0-1" dataDxfId="62"/>
    <tableColumn id="7" xr3:uid="{00000000-0010-0000-0200-000007000000}" name="SEO difficulty 0-100" dataDxfId="61"/>
    <tableColumn id="8" xr3:uid="{00000000-0010-0000-0200-000008000000}" name="Топ-конкурентов в выдаче" dataDxfId="60"/>
    <tableColumn id="9" xr3:uid="{00000000-0010-0000-0200-000009000000}" name="Активных рекламодателей" dataDxfId="59"/>
    <tableColumn id="10" xr3:uid="{00000000-0010-0000-0200-00000A000000}" name="Рекламные объявления" dataDxfId="58"/>
    <tableColumn id="11" xr3:uid="{00000000-0010-0000-0200-00000B000000}" name="Индекс давления" dataDxfId="57"/>
    <tableColumn id="12" xr3:uid="{00000000-0010-0000-0200-00000C000000}" name="Балльная оценка 1-5" dataDxfId="56"/>
    <tableColumn id="13" xr3:uid="{00000000-0010-0000-0200-00000D000000}" name="Комментарий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eviews" displayName="tblReviews" ref="A3:N15" headerRowDxfId="54" dataDxfId="53" totalsRowDxfId="52">
  <tableColumns count="14">
    <tableColumn id="1" xr3:uid="{00000000-0010-0000-0300-000001000000}" name="Конкурент" dataDxfId="51"/>
    <tableColumn id="2" xr3:uid="{00000000-0010-0000-0300-000002000000}" name="G2 рейтинг" dataDxfId="50"/>
    <tableColumn id="3" xr3:uid="{00000000-0010-0000-0300-000003000000}" name="G2 отзывы" dataDxfId="49"/>
    <tableColumn id="4" xr3:uid="{00000000-0010-0000-0300-000004000000}" name="Capterra рейтинг" dataDxfId="48"/>
    <tableColumn id="5" xr3:uid="{00000000-0010-0000-0300-000005000000}" name="Capterra отзывы" dataDxfId="47"/>
    <tableColumn id="6" xr3:uid="{00000000-0010-0000-0300-000006000000}" name="Trustpilot рейтинг" dataDxfId="46"/>
    <tableColumn id="7" xr3:uid="{00000000-0010-0000-0300-000007000000}" name="Trustpilot отзывы" dataDxfId="45"/>
    <tableColumn id="8" xr3:uid="{00000000-0010-0000-0300-000008000000}" name="Google рейтинг" dataDxfId="44"/>
    <tableColumn id="9" xr3:uid="{00000000-0010-0000-0300-000009000000}" name="Google отзывы" dataDxfId="43"/>
    <tableColumn id="10" xr3:uid="{00000000-0010-0000-0300-00000A000000}" name="Кейсы на сайте" dataDxfId="42"/>
    <tableColumn id="11" xr3:uid="{00000000-0010-0000-0300-00000B000000}" name="Возраст бренда, лет" dataDxfId="41"/>
    <tableColumn id="12" xr3:uid="{00000000-0010-0000-0300-00000C000000}" name="Индекс доверия" dataDxfId="40"/>
    <tableColumn id="13" xr3:uid="{00000000-0010-0000-0300-00000D000000}" name="Балльная оценка 1-5" dataDxfId="39"/>
    <tableColumn id="14" xr3:uid="{00000000-0010-0000-0300-00000E000000}" name="Комментарий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echFinance" displayName="tblTechFinance" ref="A3:M15" headerRowDxfId="37" dataDxfId="36" totalsRowDxfId="35">
  <tableColumns count="13">
    <tableColumn id="1" xr3:uid="{00000000-0010-0000-0400-000001000000}" name="Конкурент" dataDxfId="34"/>
    <tableColumn id="2" xr3:uid="{00000000-0010-0000-0400-000002000000}" name="Финансирование / инвестиции" dataDxfId="33"/>
    <tableColumn id="3" xr3:uid="{00000000-0010-0000-0400-000003000000}" name="Сотрудники LinkedIn" dataDxfId="32"/>
    <tableColumn id="4" xr3:uid="{00000000-0010-0000-0400-000004000000}" name="Технологический стек 1-5" dataDxfId="31"/>
    <tableColumn id="5" xr3:uid="{00000000-0010-0000-0400-000005000000}" name="CRM/автоматизация 1-5" dataDxfId="30"/>
    <tableColumn id="6" xr3:uid="{00000000-0010-0000-0400-000006000000}" name="Мобильное приложение" dataDxfId="29"/>
    <tableColumn id="7" xr3:uid="{00000000-0010-0000-0400-000007000000}" name="Личный кабинет" dataDxfId="28"/>
    <tableColumn id="8" xr3:uid="{00000000-0010-0000-0400-000008000000}" name="Активных объявлений" dataDxfId="27"/>
    <tableColumn id="9" xr3:uid="{00000000-0010-0000-0400-000009000000}" name="Вакансий" dataDxfId="26"/>
    <tableColumn id="10" xr3:uid="{00000000-0010-0000-0400-00000A000000}" name="Патенты/уникальные активы" dataDxfId="25"/>
    <tableColumn id="11" xr3:uid="{00000000-0010-0000-0400-00000B000000}" name="Индекс ресурсной силы" dataDxfId="24"/>
    <tableColumn id="12" xr3:uid="{00000000-0010-0000-0400-00000C000000}" name="Балльная оценка 1-5" dataDxfId="23"/>
    <tableColumn id="13" xr3:uid="{00000000-0010-0000-0400-00000D000000}" name="Комментарий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EntryBarriers" displayName="tblEntryBarriers" ref="A3:I13" headerRowDxfId="21" dataDxfId="20" totalsRowDxfId="19">
  <tableColumns count="9">
    <tableColumn id="1" xr3:uid="{00000000-0010-0000-0500-000001000000}" name="Фактор барьера входа" dataDxfId="18"/>
    <tableColumn id="2" xr3:uid="{00000000-0010-0000-0500-000002000000}" name="Ключевой показатель" dataDxfId="17"/>
    <tableColumn id="3" xr3:uid="{00000000-0010-0000-0500-000003000000}" name="Значение" dataDxfId="16"/>
    <tableColumn id="4" xr3:uid="{00000000-0010-0000-0500-000004000000}" name="Балльная оценка 1-5" dataDxfId="15"/>
    <tableColumn id="5" xr3:uid="{00000000-0010-0000-0500-000005000000}" name="Вес" dataDxfId="14"/>
    <tableColumn id="6" xr3:uid="{00000000-0010-0000-0500-000006000000}" name="Взвешенный балл" dataDxfId="13"/>
    <tableColumn id="7" xr3:uid="{00000000-0010-0000-0500-000007000000}" name="Уровень давления" dataDxfId="12"/>
    <tableColumn id="8" xr3:uid="{00000000-0010-0000-0500-000008000000}" name="Что означает" dataDxfId="11"/>
    <tableColumn id="9" xr3:uid="{00000000-0010-0000-0500-000009000000}" name="Рекомендуемое действие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ources" displayName="tblSources" ref="A3:G19" headerRowDxfId="9" dataDxfId="8" totalsRowDxfId="7">
  <tableColumns count="7">
    <tableColumn id="1" xr3:uid="{00000000-0010-0000-0600-000001000000}" name="Источник" dataDxfId="6"/>
    <tableColumn id="2" xr3:uid="{00000000-0010-0000-0600-000002000000}" name="URL" dataDxfId="5"/>
    <tableColumn id="3" xr3:uid="{00000000-0010-0000-0600-000003000000}" name="Что брать" dataDxfId="4"/>
    <tableColumn id="4" xr3:uid="{00000000-0010-0000-0600-000004000000}" name="Для какой силы/фактора" dataDxfId="3"/>
    <tableColumn id="5" xr3:uid="{00000000-0010-0000-0600-000005000000}" name="Формат фиксации" dataDxfId="2"/>
    <tableColumn id="6" xr3:uid="{00000000-0010-0000-0600-000006000000}" name="Дата обращения" dataDxfId="1"/>
    <tableColumn id="7" xr3:uid="{00000000-0010-0000-0600-000007000000}" name="Ограничения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sqref="A1:I1"/>
    </sheetView>
  </sheetViews>
  <sheetFormatPr defaultRowHeight="13.5"/>
  <cols>
    <col min="1" max="1" width="25.625" customWidth="1"/>
    <col min="2" max="2" width="51.875" customWidth="1"/>
    <col min="3" max="5" width="52.5625" customWidth="1"/>
    <col min="6" max="9" width="10.5625" customWidth="1"/>
  </cols>
  <sheetData>
    <row r="1" spans="1:9" ht="20" customHeight="1">
      <c r="A1" s="58" t="s">
        <v>429</v>
      </c>
      <c r="B1" s="58"/>
      <c r="C1" s="58"/>
      <c r="D1" s="58"/>
      <c r="E1" s="58"/>
      <c r="F1" s="58"/>
      <c r="G1" s="58"/>
      <c r="H1" s="58"/>
      <c r="I1" s="59"/>
    </row>
    <row r="2" spans="1:9" ht="20" customHeight="1">
      <c r="A2" s="60" t="s">
        <v>0</v>
      </c>
      <c r="B2" s="60"/>
      <c r="C2" s="60"/>
      <c r="D2" s="60"/>
      <c r="E2" s="60"/>
      <c r="F2" s="61"/>
      <c r="G2" s="61"/>
      <c r="H2" s="61"/>
      <c r="I2" s="62"/>
    </row>
    <row r="3" spans="1:9" ht="14.25">
      <c r="A3" s="2" t="s">
        <v>1</v>
      </c>
      <c r="B3" s="2" t="s">
        <v>2</v>
      </c>
      <c r="C3" s="2" t="s">
        <v>430</v>
      </c>
      <c r="D3" s="2" t="s">
        <v>3</v>
      </c>
      <c r="E3" s="6" t="s">
        <v>4</v>
      </c>
      <c r="F3" s="1"/>
      <c r="G3" s="1"/>
      <c r="H3" s="1"/>
      <c r="I3" s="1"/>
    </row>
    <row r="4" spans="1:9" ht="14.25">
      <c r="A4" s="3" t="s">
        <v>5</v>
      </c>
      <c r="B4" s="3" t="s">
        <v>6</v>
      </c>
      <c r="C4" s="3" t="s">
        <v>7</v>
      </c>
      <c r="D4" s="3" t="s">
        <v>8</v>
      </c>
      <c r="E4" s="7" t="s">
        <v>9</v>
      </c>
      <c r="F4" s="1"/>
      <c r="G4" s="1"/>
      <c r="H4" s="1"/>
      <c r="I4" s="1"/>
    </row>
    <row r="5" spans="1:9" ht="14.25">
      <c r="A5" s="3" t="s">
        <v>10</v>
      </c>
      <c r="B5" s="3" t="s">
        <v>11</v>
      </c>
      <c r="C5" s="3" t="s">
        <v>12</v>
      </c>
      <c r="D5" s="3" t="s">
        <v>13</v>
      </c>
      <c r="E5" s="7" t="s">
        <v>14</v>
      </c>
      <c r="F5" s="1"/>
      <c r="G5" s="1"/>
      <c r="H5" s="1"/>
      <c r="I5" s="1"/>
    </row>
    <row r="6" spans="1:9" ht="14.25">
      <c r="A6" s="3" t="s">
        <v>15</v>
      </c>
      <c r="B6" s="3" t="s">
        <v>16</v>
      </c>
      <c r="C6" s="3" t="s">
        <v>17</v>
      </c>
      <c r="D6" s="3" t="s">
        <v>18</v>
      </c>
      <c r="E6" s="7" t="s">
        <v>19</v>
      </c>
      <c r="F6" s="1"/>
      <c r="G6" s="1"/>
      <c r="H6" s="1"/>
      <c r="I6" s="1"/>
    </row>
    <row r="7" spans="1:9" ht="28.5">
      <c r="A7" s="3" t="s">
        <v>20</v>
      </c>
      <c r="B7" s="3" t="s">
        <v>21</v>
      </c>
      <c r="C7" s="3" t="s">
        <v>22</v>
      </c>
      <c r="D7" s="3" t="s">
        <v>23</v>
      </c>
      <c r="E7" s="7" t="s">
        <v>24</v>
      </c>
      <c r="F7" s="1"/>
      <c r="G7" s="1"/>
      <c r="H7" s="1"/>
      <c r="I7" s="1"/>
    </row>
    <row r="8" spans="1:9" ht="28.5">
      <c r="A8" s="3" t="s">
        <v>25</v>
      </c>
      <c r="B8" s="3" t="s">
        <v>26</v>
      </c>
      <c r="C8" s="3" t="s">
        <v>27</v>
      </c>
      <c r="D8" s="3" t="s">
        <v>28</v>
      </c>
      <c r="E8" s="7" t="s">
        <v>29</v>
      </c>
      <c r="F8" s="1"/>
      <c r="G8" s="1"/>
      <c r="H8" s="1"/>
      <c r="I8" s="1"/>
    </row>
    <row r="9" spans="1:9" ht="28.5">
      <c r="A9" s="3" t="s">
        <v>30</v>
      </c>
      <c r="B9" s="3" t="s">
        <v>31</v>
      </c>
      <c r="C9" s="3" t="s">
        <v>32</v>
      </c>
      <c r="D9" s="3" t="s">
        <v>33</v>
      </c>
      <c r="E9" s="7" t="s">
        <v>34</v>
      </c>
      <c r="F9" s="1"/>
      <c r="G9" s="1"/>
      <c r="H9" s="1"/>
      <c r="I9" s="1"/>
    </row>
    <row r="10" spans="1:9" ht="14.25">
      <c r="A10" s="3" t="s">
        <v>35</v>
      </c>
      <c r="B10" s="3" t="s">
        <v>36</v>
      </c>
      <c r="C10" s="3" t="s">
        <v>37</v>
      </c>
      <c r="D10" s="3" t="s">
        <v>38</v>
      </c>
      <c r="E10" s="7" t="s">
        <v>431</v>
      </c>
      <c r="F10" s="1"/>
      <c r="G10" s="1"/>
      <c r="H10" s="1"/>
      <c r="I10" s="1"/>
    </row>
    <row r="11" spans="1:9" ht="14.25">
      <c r="A11" s="3" t="s">
        <v>39</v>
      </c>
      <c r="B11" s="3" t="s">
        <v>40</v>
      </c>
      <c r="C11" s="8" t="s">
        <v>464</v>
      </c>
      <c r="D11" s="3" t="s">
        <v>41</v>
      </c>
      <c r="E11" s="7" t="s">
        <v>42</v>
      </c>
      <c r="F11" s="1"/>
      <c r="G11" s="1"/>
      <c r="H11" s="1"/>
      <c r="I11" s="1"/>
    </row>
    <row r="12" spans="1:9" ht="14.25">
      <c r="A12" s="3" t="s">
        <v>43</v>
      </c>
      <c r="B12" s="8" t="s">
        <v>44</v>
      </c>
      <c r="C12" s="3" t="s">
        <v>45</v>
      </c>
      <c r="D12" s="8" t="s">
        <v>46</v>
      </c>
      <c r="E12" s="7" t="s">
        <v>47</v>
      </c>
      <c r="F12" s="1"/>
      <c r="G12" s="1"/>
      <c r="H12" s="1"/>
      <c r="I12" s="1"/>
    </row>
    <row r="13" spans="1:9" ht="20" customHeight="1">
      <c r="A13" s="63" t="s">
        <v>48</v>
      </c>
      <c r="B13" s="63"/>
      <c r="C13" s="63"/>
      <c r="D13" s="63"/>
      <c r="E13" s="63"/>
      <c r="F13" s="63"/>
      <c r="G13" s="63"/>
      <c r="H13" s="63"/>
      <c r="I13" s="64"/>
    </row>
    <row r="14" spans="1:9" ht="36" customHeight="1">
      <c r="A14" s="61" t="s">
        <v>432</v>
      </c>
      <c r="B14" s="61"/>
      <c r="C14" s="61"/>
      <c r="D14" s="61"/>
      <c r="E14" s="61"/>
      <c r="F14" s="61"/>
      <c r="G14" s="61"/>
      <c r="H14" s="61"/>
      <c r="I14" s="62"/>
    </row>
  </sheetData>
  <mergeCells count="4">
    <mergeCell ref="A1:I1"/>
    <mergeCell ref="A2:I2"/>
    <mergeCell ref="A13:I13"/>
    <mergeCell ref="A14:I1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/>
  </sheetViews>
  <sheetFormatPr defaultRowHeight="13.5"/>
  <cols>
    <col min="1" max="1" width="40.3125" customWidth="1"/>
    <col min="2" max="2" width="52.5625" customWidth="1"/>
    <col min="3" max="3" width="16.1875" customWidth="1"/>
    <col min="4" max="4" width="10.9375" customWidth="1"/>
    <col min="5" max="5" width="52.5625" customWidth="1"/>
    <col min="6" max="6" width="20.375" customWidth="1"/>
  </cols>
  <sheetData>
    <row r="1" spans="1:6" ht="20" customHeight="1">
      <c r="A1" s="58" t="s">
        <v>49</v>
      </c>
      <c r="B1" s="58"/>
      <c r="C1" s="58"/>
      <c r="D1" s="58"/>
      <c r="E1" s="58"/>
      <c r="F1" s="59"/>
    </row>
    <row r="2" spans="1:6" ht="20" customHeight="1">
      <c r="A2" s="60" t="s">
        <v>433</v>
      </c>
      <c r="B2" s="60"/>
      <c r="C2" s="60"/>
      <c r="D2" s="60"/>
      <c r="E2" s="60"/>
      <c r="F2" s="65"/>
    </row>
    <row r="3" spans="1:6" ht="14.25">
      <c r="A3" s="2" t="s">
        <v>50</v>
      </c>
      <c r="B3" s="2" t="s">
        <v>51</v>
      </c>
      <c r="C3" s="2" t="s">
        <v>52</v>
      </c>
      <c r="D3" s="2" t="s">
        <v>53</v>
      </c>
      <c r="E3" s="2" t="s">
        <v>54</v>
      </c>
      <c r="F3" s="6" t="s">
        <v>55</v>
      </c>
    </row>
    <row r="4" spans="1:6" ht="28.5">
      <c r="A4" s="3" t="s">
        <v>56</v>
      </c>
      <c r="B4" s="11" t="s">
        <v>369</v>
      </c>
      <c r="C4" s="8" t="s">
        <v>394</v>
      </c>
      <c r="D4" s="8" t="s">
        <v>57</v>
      </c>
      <c r="E4" s="3" t="s">
        <v>434</v>
      </c>
      <c r="F4" s="13" t="s">
        <v>394</v>
      </c>
    </row>
    <row r="5" spans="1:6" ht="28.5">
      <c r="A5" s="3" t="s">
        <v>58</v>
      </c>
      <c r="B5" s="11" t="s">
        <v>370</v>
      </c>
      <c r="C5" s="8" t="s">
        <v>394</v>
      </c>
      <c r="D5" s="8" t="s">
        <v>57</v>
      </c>
      <c r="E5" s="3" t="s">
        <v>59</v>
      </c>
      <c r="F5" s="13" t="s">
        <v>394</v>
      </c>
    </row>
    <row r="6" spans="1:6" ht="14.25">
      <c r="A6" s="3" t="s">
        <v>60</v>
      </c>
      <c r="B6" s="11" t="s">
        <v>371</v>
      </c>
      <c r="C6" s="8" t="s">
        <v>394</v>
      </c>
      <c r="D6" s="8" t="s">
        <v>57</v>
      </c>
      <c r="E6" s="3" t="s">
        <v>61</v>
      </c>
      <c r="F6" s="13" t="s">
        <v>394</v>
      </c>
    </row>
    <row r="7" spans="1:6" ht="14.25">
      <c r="A7" s="3" t="s">
        <v>62</v>
      </c>
      <c r="B7" s="14">
        <v>46298</v>
      </c>
      <c r="C7" s="8" t="s">
        <v>372</v>
      </c>
      <c r="D7" s="8" t="s">
        <v>57</v>
      </c>
      <c r="E7" s="8" t="s">
        <v>373</v>
      </c>
      <c r="F7" s="13" t="s">
        <v>394</v>
      </c>
    </row>
    <row r="8" spans="1:6" ht="14.25">
      <c r="A8" s="3" t="s">
        <v>63</v>
      </c>
      <c r="B8" s="14">
        <f>COUNTA('02_Конкуренты_SW'!A4:A15)</f>
        <v>12</v>
      </c>
      <c r="C8" s="8" t="s">
        <v>64</v>
      </c>
      <c r="D8" s="8" t="s">
        <v>65</v>
      </c>
      <c r="E8" s="8" t="s">
        <v>374</v>
      </c>
      <c r="F8" s="13" t="s">
        <v>10</v>
      </c>
    </row>
    <row r="9" spans="1:6" ht="28.5">
      <c r="A9" s="3" t="s">
        <v>66</v>
      </c>
      <c r="B9" s="16">
        <f>SUM('02_Конкуренты_SW'!E4:E15)</f>
        <v>87230.380599999989</v>
      </c>
      <c r="C9" s="8" t="s">
        <v>67</v>
      </c>
      <c r="D9" s="8" t="s">
        <v>65</v>
      </c>
      <c r="E9" s="3" t="s">
        <v>435</v>
      </c>
      <c r="F9" s="13" t="s">
        <v>10</v>
      </c>
    </row>
    <row r="10" spans="1:6" ht="28.5">
      <c r="A10" s="3" t="s">
        <v>68</v>
      </c>
      <c r="B10" s="18">
        <v>0.6</v>
      </c>
      <c r="C10" s="8" t="s">
        <v>69</v>
      </c>
      <c r="D10" s="8" t="s">
        <v>57</v>
      </c>
      <c r="E10" s="3" t="s">
        <v>70</v>
      </c>
      <c r="F10" s="13" t="s">
        <v>394</v>
      </c>
    </row>
    <row r="11" spans="1:6" ht="14.25">
      <c r="A11" s="3" t="s">
        <v>71</v>
      </c>
      <c r="B11" s="18">
        <v>0.75</v>
      </c>
      <c r="C11" s="8" t="s">
        <v>69</v>
      </c>
      <c r="D11" s="8" t="s">
        <v>57</v>
      </c>
      <c r="E11" s="3" t="s">
        <v>72</v>
      </c>
      <c r="F11" s="13" t="s">
        <v>394</v>
      </c>
    </row>
    <row r="12" spans="1:6" ht="14.25">
      <c r="A12" s="3" t="s">
        <v>73</v>
      </c>
      <c r="B12" s="19">
        <v>2500</v>
      </c>
      <c r="C12" s="8" t="s">
        <v>74</v>
      </c>
      <c r="D12" s="8" t="s">
        <v>57</v>
      </c>
      <c r="E12" s="3" t="s">
        <v>75</v>
      </c>
      <c r="F12" s="13" t="s">
        <v>394</v>
      </c>
    </row>
    <row r="13" spans="1:6" ht="14.25">
      <c r="A13" s="3" t="s">
        <v>76</v>
      </c>
      <c r="B13" s="18">
        <v>0.2</v>
      </c>
      <c r="C13" s="8" t="s">
        <v>69</v>
      </c>
      <c r="D13" s="8" t="s">
        <v>57</v>
      </c>
      <c r="E13" s="3" t="s">
        <v>77</v>
      </c>
      <c r="F13" s="13" t="s">
        <v>394</v>
      </c>
    </row>
    <row r="14" spans="1:6" ht="28.5">
      <c r="A14" s="3" t="s">
        <v>78</v>
      </c>
      <c r="B14" s="18">
        <v>0.45</v>
      </c>
      <c r="C14" s="8" t="s">
        <v>69</v>
      </c>
      <c r="D14" s="8" t="s">
        <v>57</v>
      </c>
      <c r="E14" s="3" t="s">
        <v>79</v>
      </c>
      <c r="F14" s="13" t="s">
        <v>394</v>
      </c>
    </row>
    <row r="15" spans="1:6" ht="14.25">
      <c r="A15" s="3" t="s">
        <v>80</v>
      </c>
      <c r="B15" s="18">
        <v>0.5</v>
      </c>
      <c r="C15" s="8" t="s">
        <v>69</v>
      </c>
      <c r="D15" s="8" t="s">
        <v>57</v>
      </c>
      <c r="E15" s="3" t="s">
        <v>81</v>
      </c>
      <c r="F15" s="13" t="s">
        <v>394</v>
      </c>
    </row>
    <row r="16" spans="1:6" ht="28.5">
      <c r="A16" s="3" t="s">
        <v>82</v>
      </c>
      <c r="B16" s="19">
        <v>100</v>
      </c>
      <c r="C16" s="8" t="s">
        <v>83</v>
      </c>
      <c r="D16" s="8" t="s">
        <v>57</v>
      </c>
      <c r="E16" s="3" t="s">
        <v>84</v>
      </c>
      <c r="F16" s="13" t="s">
        <v>394</v>
      </c>
    </row>
    <row r="17" spans="1:6" ht="28.5">
      <c r="A17" s="4" t="s">
        <v>85</v>
      </c>
      <c r="B17" s="9">
        <v>30</v>
      </c>
      <c r="C17" s="9" t="s">
        <v>86</v>
      </c>
      <c r="D17" s="9" t="s">
        <v>57</v>
      </c>
      <c r="E17" s="4" t="s">
        <v>87</v>
      </c>
      <c r="F17" s="10" t="s">
        <v>394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1"/>
  <sheetViews>
    <sheetView workbookViewId="0"/>
  </sheetViews>
  <sheetFormatPr defaultRowHeight="13.5"/>
  <cols>
    <col min="1" max="1" width="32.9375" customWidth="1"/>
    <col min="2" max="4" width="52.5625" customWidth="1"/>
    <col min="5" max="5" width="22.4375" customWidth="1"/>
    <col min="6" max="6" width="29.8125" customWidth="1"/>
    <col min="7" max="7" width="22.4375" customWidth="1"/>
    <col min="8" max="8" width="17.1875" customWidth="1"/>
    <col min="9" max="9" width="10.5625" customWidth="1"/>
    <col min="10" max="10" width="17.1875" customWidth="1"/>
    <col min="11" max="11" width="11.9375" customWidth="1"/>
    <col min="12" max="12" width="17.1875" customWidth="1"/>
    <col min="13" max="13" width="10.9375" customWidth="1"/>
    <col min="14" max="14" width="11.9375" customWidth="1"/>
    <col min="15" max="15" width="20.375" customWidth="1"/>
    <col min="16" max="16" width="19.3125" customWidth="1"/>
    <col min="17" max="17" width="52.5625" customWidth="1"/>
  </cols>
  <sheetData>
    <row r="1" spans="1:17" ht="20" customHeight="1">
      <c r="A1" s="58" t="s">
        <v>88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9"/>
    </row>
    <row r="2" spans="1:17" ht="20" customHeight="1">
      <c r="A2" s="60" t="s">
        <v>436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5"/>
    </row>
    <row r="3" spans="1:17" ht="14.25">
      <c r="A3" s="2" t="s">
        <v>89</v>
      </c>
      <c r="B3" s="2" t="s">
        <v>90</v>
      </c>
      <c r="C3" s="2" t="s">
        <v>91</v>
      </c>
      <c r="D3" s="2" t="s">
        <v>375</v>
      </c>
      <c r="E3" s="2" t="s">
        <v>92</v>
      </c>
      <c r="F3" s="2" t="s">
        <v>93</v>
      </c>
      <c r="G3" s="2" t="s">
        <v>94</v>
      </c>
      <c r="H3" s="2" t="s">
        <v>95</v>
      </c>
      <c r="I3" s="2" t="s">
        <v>96</v>
      </c>
      <c r="J3" s="2" t="s">
        <v>97</v>
      </c>
      <c r="K3" s="2" t="s">
        <v>98</v>
      </c>
      <c r="L3" s="2" t="s">
        <v>99</v>
      </c>
      <c r="M3" s="2" t="s">
        <v>100</v>
      </c>
      <c r="N3" s="2" t="s">
        <v>101</v>
      </c>
      <c r="O3" s="2" t="s">
        <v>102</v>
      </c>
      <c r="P3" s="2" t="s">
        <v>103</v>
      </c>
      <c r="Q3" s="6" t="s">
        <v>54</v>
      </c>
    </row>
    <row r="4" spans="1:17" ht="28.5">
      <c r="A4" s="11" t="s">
        <v>376</v>
      </c>
      <c r="B4" s="11" t="s">
        <v>437</v>
      </c>
      <c r="C4" s="21">
        <v>154111</v>
      </c>
      <c r="D4" s="22">
        <v>7.9000000000000001E-2</v>
      </c>
      <c r="E4" s="14">
        <f t="shared" ref="E4:E15" si="0">IFERROR(C4*D4,0)</f>
        <v>12174.769</v>
      </c>
      <c r="F4" s="24">
        <f t="shared" ref="F4:F15" si="1">IFERROR(E4/SUM($E$4:$E$15),0)</f>
        <v>0.13957028407141905</v>
      </c>
      <c r="G4" s="19">
        <v>83</v>
      </c>
      <c r="H4" s="19">
        <v>3.14</v>
      </c>
      <c r="I4" s="22" t="s">
        <v>394</v>
      </c>
      <c r="J4" s="22">
        <v>0.55579999999999996</v>
      </c>
      <c r="K4" s="22">
        <v>0.31739999999999996</v>
      </c>
      <c r="L4" s="22">
        <v>2.3E-3</v>
      </c>
      <c r="M4" s="22">
        <v>3.4500000000000003E-2</v>
      </c>
      <c r="N4" s="22">
        <v>6.4199999999999993E-2</v>
      </c>
      <c r="O4" s="22">
        <v>3.3E-3</v>
      </c>
      <c r="P4" s="22" t="s">
        <v>394</v>
      </c>
      <c r="Q4" s="26" t="s">
        <v>377</v>
      </c>
    </row>
    <row r="5" spans="1:17" ht="28.5">
      <c r="A5" s="11" t="s">
        <v>378</v>
      </c>
      <c r="B5" s="11" t="s">
        <v>438</v>
      </c>
      <c r="C5" s="21">
        <v>35325</v>
      </c>
      <c r="D5" s="22">
        <v>0.2989</v>
      </c>
      <c r="E5" s="14">
        <f t="shared" si="0"/>
        <v>10558.6425</v>
      </c>
      <c r="F5" s="24">
        <f t="shared" si="1"/>
        <v>0.12104317816079781</v>
      </c>
      <c r="G5" s="19">
        <v>30</v>
      </c>
      <c r="H5" s="19">
        <v>1.84</v>
      </c>
      <c r="I5" s="22">
        <v>0.40329999999999999</v>
      </c>
      <c r="J5" s="22">
        <v>0.40429999999999999</v>
      </c>
      <c r="K5" s="22">
        <v>0.32549999999999996</v>
      </c>
      <c r="L5" s="22">
        <v>1.5300000000000001E-2</v>
      </c>
      <c r="M5" s="22">
        <v>6.2199999999999998E-2</v>
      </c>
      <c r="N5" s="22">
        <v>0.10550000000000001</v>
      </c>
      <c r="O5" s="22">
        <v>2.7099999999999999E-2</v>
      </c>
      <c r="P5" s="22" t="s">
        <v>394</v>
      </c>
      <c r="Q5" s="26" t="s">
        <v>377</v>
      </c>
    </row>
    <row r="6" spans="1:17" ht="28.5">
      <c r="A6" s="11" t="s">
        <v>379</v>
      </c>
      <c r="B6" s="19" t="s">
        <v>380</v>
      </c>
      <c r="C6" s="21">
        <v>241737</v>
      </c>
      <c r="D6" s="22">
        <v>1.3899999999999999E-2</v>
      </c>
      <c r="E6" s="14">
        <f t="shared" si="0"/>
        <v>3360.1442999999999</v>
      </c>
      <c r="F6" s="24">
        <f t="shared" si="1"/>
        <v>3.8520344367269678E-2</v>
      </c>
      <c r="G6" s="19">
        <v>37</v>
      </c>
      <c r="H6" s="19">
        <v>1.95</v>
      </c>
      <c r="I6" s="22">
        <v>0.41420000000000001</v>
      </c>
      <c r="J6" s="22">
        <v>0.34159999999999996</v>
      </c>
      <c r="K6" s="22">
        <v>0.53139999999999998</v>
      </c>
      <c r="L6" s="22">
        <v>0</v>
      </c>
      <c r="M6" s="22">
        <v>3.4200000000000001E-2</v>
      </c>
      <c r="N6" s="22">
        <v>2.9600000000000001E-2</v>
      </c>
      <c r="O6" s="22">
        <v>1.37E-2</v>
      </c>
      <c r="P6" s="22" t="s">
        <v>394</v>
      </c>
      <c r="Q6" s="26" t="s">
        <v>377</v>
      </c>
    </row>
    <row r="7" spans="1:17" ht="28.5">
      <c r="A7" s="11" t="s">
        <v>381</v>
      </c>
      <c r="B7" s="11" t="s">
        <v>439</v>
      </c>
      <c r="C7" s="21">
        <v>202178</v>
      </c>
      <c r="D7" s="22">
        <v>4.1399999999999999E-2</v>
      </c>
      <c r="E7" s="14">
        <f t="shared" si="0"/>
        <v>8370.1692000000003</v>
      </c>
      <c r="F7" s="24">
        <f t="shared" si="1"/>
        <v>9.5954748132785303E-2</v>
      </c>
      <c r="G7" s="19">
        <v>29</v>
      </c>
      <c r="H7" s="19">
        <v>2.34</v>
      </c>
      <c r="I7" s="22">
        <v>0.43520000000000003</v>
      </c>
      <c r="J7" s="22">
        <v>0.255</v>
      </c>
      <c r="K7" s="22">
        <v>0.56380000000000008</v>
      </c>
      <c r="L7" s="22">
        <v>4.24E-2</v>
      </c>
      <c r="M7" s="22">
        <v>1.66E-2</v>
      </c>
      <c r="N7" s="22">
        <v>8.2899999999999988E-2</v>
      </c>
      <c r="O7" s="22">
        <v>1.67E-2</v>
      </c>
      <c r="P7" s="22" t="s">
        <v>394</v>
      </c>
      <c r="Q7" s="26" t="s">
        <v>377</v>
      </c>
    </row>
    <row r="8" spans="1:17" ht="28.5">
      <c r="A8" s="11" t="s">
        <v>382</v>
      </c>
      <c r="B8" s="11" t="s">
        <v>440</v>
      </c>
      <c r="C8" s="21">
        <v>14688</v>
      </c>
      <c r="D8" s="22">
        <v>0.38390000000000002</v>
      </c>
      <c r="E8" s="14">
        <f t="shared" si="0"/>
        <v>5638.7232000000004</v>
      </c>
      <c r="F8" s="24">
        <f t="shared" si="1"/>
        <v>6.4641735611090531E-2</v>
      </c>
      <c r="G8" s="19">
        <v>26</v>
      </c>
      <c r="H8" s="19">
        <v>1.72</v>
      </c>
      <c r="I8" s="22">
        <v>0.69</v>
      </c>
      <c r="J8" s="22">
        <v>0.2676</v>
      </c>
      <c r="K8" s="22">
        <v>0.29380000000000001</v>
      </c>
      <c r="L8" s="22">
        <v>4.3400000000000001E-2</v>
      </c>
      <c r="M8" s="22">
        <v>0.10919999999999999</v>
      </c>
      <c r="N8" s="22">
        <v>8.1900000000000001E-2</v>
      </c>
      <c r="O8" s="22">
        <v>9.2200000000000004E-2</v>
      </c>
      <c r="P8" s="22" t="s">
        <v>394</v>
      </c>
      <c r="Q8" s="26" t="s">
        <v>377</v>
      </c>
    </row>
    <row r="9" spans="1:17" ht="28.5">
      <c r="A9" s="11" t="s">
        <v>383</v>
      </c>
      <c r="B9" s="11" t="s">
        <v>438</v>
      </c>
      <c r="C9" s="21">
        <v>17824</v>
      </c>
      <c r="D9" s="22">
        <v>0.37569999999999998</v>
      </c>
      <c r="E9" s="14">
        <f t="shared" si="0"/>
        <v>6696.4767999999995</v>
      </c>
      <c r="F9" s="24">
        <f t="shared" si="1"/>
        <v>7.6767712738834482E-2</v>
      </c>
      <c r="G9" s="19">
        <v>31</v>
      </c>
      <c r="H9" s="19">
        <v>2.0299999999999998</v>
      </c>
      <c r="I9" s="22">
        <v>0.38909999999999995</v>
      </c>
      <c r="J9" s="22">
        <v>0.38640000000000002</v>
      </c>
      <c r="K9" s="22">
        <v>0.32950000000000002</v>
      </c>
      <c r="L9" s="22">
        <v>1.61E-2</v>
      </c>
      <c r="M9" s="22">
        <v>6.0200000000000004E-2</v>
      </c>
      <c r="N9" s="22">
        <v>0.10890000000000001</v>
      </c>
      <c r="O9" s="22">
        <v>3.2199999999999999E-2</v>
      </c>
      <c r="P9" s="22" t="s">
        <v>394</v>
      </c>
      <c r="Q9" s="26" t="s">
        <v>377</v>
      </c>
    </row>
    <row r="10" spans="1:17" ht="28.5">
      <c r="A10" s="11" t="s">
        <v>384</v>
      </c>
      <c r="B10" s="11" t="s">
        <v>439</v>
      </c>
      <c r="C10" s="21">
        <v>292214</v>
      </c>
      <c r="D10" s="22">
        <v>2.3199999999999998E-2</v>
      </c>
      <c r="E10" s="14">
        <f t="shared" si="0"/>
        <v>6779.3647999999994</v>
      </c>
      <c r="F10" s="24">
        <f t="shared" si="1"/>
        <v>7.7717932139803145E-2</v>
      </c>
      <c r="G10" s="19">
        <v>55</v>
      </c>
      <c r="H10" s="19">
        <v>3.09</v>
      </c>
      <c r="I10" s="22">
        <v>0.41840000000000005</v>
      </c>
      <c r="J10" s="22">
        <v>0.28260000000000002</v>
      </c>
      <c r="K10" s="22">
        <v>0.57700000000000007</v>
      </c>
      <c r="L10" s="22">
        <v>1E-4</v>
      </c>
      <c r="M10" s="22">
        <v>2.46E-2</v>
      </c>
      <c r="N10" s="22">
        <v>7.5800000000000006E-2</v>
      </c>
      <c r="O10" s="22">
        <v>7.000000000000001E-4</v>
      </c>
      <c r="P10" s="22" t="s">
        <v>394</v>
      </c>
      <c r="Q10" s="26" t="s">
        <v>377</v>
      </c>
    </row>
    <row r="11" spans="1:17" ht="28.5">
      <c r="A11" s="11" t="s">
        <v>385</v>
      </c>
      <c r="B11" s="11" t="s">
        <v>439</v>
      </c>
      <c r="C11" s="21">
        <v>116617</v>
      </c>
      <c r="D11" s="22">
        <v>3.8699999999999998E-2</v>
      </c>
      <c r="E11" s="14">
        <f t="shared" si="0"/>
        <v>4513.0779000000002</v>
      </c>
      <c r="F11" s="24">
        <f t="shared" si="1"/>
        <v>5.1737455104030584E-2</v>
      </c>
      <c r="G11" s="19">
        <v>28</v>
      </c>
      <c r="H11" s="19">
        <v>1.81</v>
      </c>
      <c r="I11" s="22">
        <v>0.40770000000000001</v>
      </c>
      <c r="J11" s="22">
        <v>0.26350000000000001</v>
      </c>
      <c r="K11" s="22">
        <v>0.56409999999999993</v>
      </c>
      <c r="L11" s="22">
        <v>7.000000000000001E-4</v>
      </c>
      <c r="M11" s="22">
        <v>1.7399999999999999E-2</v>
      </c>
      <c r="N11" s="22">
        <v>0.11810000000000001</v>
      </c>
      <c r="O11" s="22">
        <v>3.0000000000000001E-3</v>
      </c>
      <c r="P11" s="22" t="s">
        <v>394</v>
      </c>
      <c r="Q11" s="26" t="s">
        <v>377</v>
      </c>
    </row>
    <row r="12" spans="1:17" ht="28.5">
      <c r="A12" s="11" t="s">
        <v>386</v>
      </c>
      <c r="B12" s="11" t="s">
        <v>441</v>
      </c>
      <c r="C12" s="21">
        <v>222359</v>
      </c>
      <c r="D12" s="22">
        <v>0.1031</v>
      </c>
      <c r="E12" s="14">
        <f t="shared" si="0"/>
        <v>22925.212899999999</v>
      </c>
      <c r="F12" s="24">
        <f t="shared" si="1"/>
        <v>0.26281225350975945</v>
      </c>
      <c r="G12" s="19">
        <v>199</v>
      </c>
      <c r="H12" s="19">
        <v>3.86</v>
      </c>
      <c r="I12" s="22">
        <v>0.39200000000000002</v>
      </c>
      <c r="J12" s="22">
        <v>0.59200000000000008</v>
      </c>
      <c r="K12" s="22">
        <v>0.121</v>
      </c>
      <c r="L12" s="22">
        <v>0.1159</v>
      </c>
      <c r="M12" s="22">
        <v>5.1400000000000001E-2</v>
      </c>
      <c r="N12" s="22">
        <v>1.9900000000000001E-2</v>
      </c>
      <c r="O12" s="22">
        <v>3.1099999999999999E-2</v>
      </c>
      <c r="P12" s="22" t="s">
        <v>394</v>
      </c>
      <c r="Q12" s="26" t="s">
        <v>377</v>
      </c>
    </row>
    <row r="13" spans="1:17" ht="28.5">
      <c r="A13" s="11" t="s">
        <v>387</v>
      </c>
      <c r="B13" s="19" t="s">
        <v>388</v>
      </c>
      <c r="C13" s="21">
        <v>701540</v>
      </c>
      <c r="D13" s="22">
        <v>7.0000000000000001E-3</v>
      </c>
      <c r="E13" s="14">
        <f t="shared" si="0"/>
        <v>4910.78</v>
      </c>
      <c r="F13" s="24">
        <f t="shared" si="1"/>
        <v>5.6296670566171991E-2</v>
      </c>
      <c r="G13" s="19">
        <v>104</v>
      </c>
      <c r="H13" s="19">
        <v>3.24</v>
      </c>
      <c r="I13" s="22">
        <v>0.4325</v>
      </c>
      <c r="J13" s="22">
        <v>0.35590000000000005</v>
      </c>
      <c r="K13" s="22">
        <v>0.40939999999999999</v>
      </c>
      <c r="L13" s="22">
        <v>5.2900000000000003E-2</v>
      </c>
      <c r="M13" s="22">
        <v>2.01E-2</v>
      </c>
      <c r="N13" s="22">
        <v>0.1018</v>
      </c>
      <c r="O13" s="22">
        <v>3.3E-3</v>
      </c>
      <c r="P13" s="22" t="s">
        <v>394</v>
      </c>
      <c r="Q13" s="26" t="s">
        <v>377</v>
      </c>
    </row>
    <row r="14" spans="1:17" ht="28.5">
      <c r="A14" s="11" t="s">
        <v>389</v>
      </c>
      <c r="B14" s="11" t="s">
        <v>438</v>
      </c>
      <c r="C14" s="21">
        <v>1935</v>
      </c>
      <c r="D14" s="22">
        <v>0.4294</v>
      </c>
      <c r="E14" s="14">
        <f t="shared" si="0"/>
        <v>830.88900000000001</v>
      </c>
      <c r="F14" s="24">
        <f t="shared" si="1"/>
        <v>9.5252249764917352E-3</v>
      </c>
      <c r="G14" s="19">
        <v>55</v>
      </c>
      <c r="H14" s="19">
        <v>2.0499999999999998</v>
      </c>
      <c r="I14" s="22">
        <v>0.40749999999999997</v>
      </c>
      <c r="J14" s="22">
        <v>0.38969999999999999</v>
      </c>
      <c r="K14" s="22">
        <v>0.30840000000000001</v>
      </c>
      <c r="L14" s="22">
        <v>1.72E-2</v>
      </c>
      <c r="M14" s="22">
        <v>6.3699999999999993E-2</v>
      </c>
      <c r="N14" s="22">
        <v>0.10640000000000001</v>
      </c>
      <c r="O14" s="22">
        <v>4.0300000000000002E-2</v>
      </c>
      <c r="P14" s="22" t="s">
        <v>394</v>
      </c>
      <c r="Q14" s="26" t="s">
        <v>377</v>
      </c>
    </row>
    <row r="15" spans="1:17" ht="28.5">
      <c r="A15" s="11" t="s">
        <v>390</v>
      </c>
      <c r="B15" s="11" t="s">
        <v>442</v>
      </c>
      <c r="C15" s="21">
        <v>5522</v>
      </c>
      <c r="D15" s="23">
        <v>8.5500000000000007E-2</v>
      </c>
      <c r="E15" s="15">
        <f t="shared" si="0"/>
        <v>472.13100000000003</v>
      </c>
      <c r="F15" s="25">
        <f t="shared" si="1"/>
        <v>5.4124606215463431E-3</v>
      </c>
      <c r="G15" s="20">
        <v>34</v>
      </c>
      <c r="H15" s="20">
        <v>1.85</v>
      </c>
      <c r="I15" s="23">
        <v>0.37270000000000003</v>
      </c>
      <c r="J15" s="23">
        <v>0.38520000000000004</v>
      </c>
      <c r="K15" s="23">
        <v>0.34020000000000006</v>
      </c>
      <c r="L15" s="23">
        <v>1.3899999999999999E-2</v>
      </c>
      <c r="M15" s="23">
        <v>6.1400000000000003E-2</v>
      </c>
      <c r="N15" s="23">
        <v>9.6500000000000002E-2</v>
      </c>
      <c r="O15" s="23">
        <v>3.0099999999999998E-2</v>
      </c>
      <c r="P15" s="23" t="s">
        <v>394</v>
      </c>
      <c r="Q15" s="12" t="s">
        <v>377</v>
      </c>
    </row>
    <row r="16" spans="1:17" ht="14.25">
      <c r="A16" s="2" t="s">
        <v>104</v>
      </c>
      <c r="B16" s="2" t="s">
        <v>105</v>
      </c>
      <c r="C16" s="6" t="s">
        <v>106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4.25">
      <c r="A17" s="3" t="s">
        <v>66</v>
      </c>
      <c r="B17" s="16">
        <f>SUM(E4:E15)</f>
        <v>87230.380599999989</v>
      </c>
      <c r="C17" s="7" t="s">
        <v>107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4.25">
      <c r="A18" s="3" t="s">
        <v>108</v>
      </c>
      <c r="B18" s="27">
        <f>LARGE(F4:F15,1)+LARGE(F4:F15,2)+LARGE(F4:F15,3)</f>
        <v>0.52342571574197627</v>
      </c>
      <c r="C18" s="13" t="s">
        <v>109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4.25">
      <c r="A19" s="3" t="s">
        <v>110</v>
      </c>
      <c r="B19" s="27">
        <f>LARGE(F4:F15,1)+LARGE(F4:F15,2)+LARGE(F4:F15,3)+LARGE(F4:F15,4)+LARGE(F4:F15,5)</f>
        <v>0.69709839601456469</v>
      </c>
      <c r="C19" s="13" t="s">
        <v>111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4.25">
      <c r="A20" s="3" t="s">
        <v>112</v>
      </c>
      <c r="B20" s="29">
        <f>SUMSQ(F4:F15)*10000</f>
        <v>1359.7074308568426</v>
      </c>
      <c r="C20" s="7" t="s">
        <v>113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4.25">
      <c r="A21" s="4" t="s">
        <v>114</v>
      </c>
      <c r="B21" s="30">
        <f>IFERROR(SUMPRODUCT(E4:E15,G4:G15)/SUM(E4:E15),0)</f>
        <v>88.069591813749341</v>
      </c>
      <c r="C21" s="5" t="s">
        <v>115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</sheetData>
  <mergeCells count="2">
    <mergeCell ref="A1:Q1"/>
    <mergeCell ref="A2:Q2"/>
  </mergeCells>
  <dataValidations count="1">
    <dataValidation type="list" sqref="B4:B15" xr:uid="{00000000-0002-0000-0200-000000000000}">
      <formula1>"агентство,нишевый специалист,рекламный подрядчик,консалтинг,платформа услуг,обучающий заменитель,цифровой сервис,маркетплейс,другое"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/>
  </sheetViews>
  <sheetFormatPr defaultRowHeight="13.5"/>
  <cols>
    <col min="1" max="1" width="22.4375" customWidth="1"/>
    <col min="2" max="2" width="30.875" customWidth="1"/>
    <col min="3" max="3" width="26.6875" customWidth="1"/>
    <col min="4" max="4" width="27.6875" customWidth="1"/>
    <col min="5" max="5" width="23.5" customWidth="1"/>
    <col min="6" max="8" width="52.5625" customWidth="1"/>
    <col min="9" max="9" width="37.1875" customWidth="1"/>
  </cols>
  <sheetData>
    <row r="1" spans="1:9" ht="20" customHeight="1">
      <c r="A1" s="58" t="s">
        <v>116</v>
      </c>
      <c r="B1" s="58"/>
      <c r="C1" s="58"/>
      <c r="D1" s="58"/>
      <c r="E1" s="58"/>
      <c r="F1" s="58"/>
      <c r="G1" s="58"/>
      <c r="H1" s="58"/>
      <c r="I1" s="59"/>
    </row>
    <row r="2" spans="1:9" ht="20" customHeight="1">
      <c r="A2" s="60" t="s">
        <v>117</v>
      </c>
      <c r="B2" s="60"/>
      <c r="C2" s="60"/>
      <c r="D2" s="60"/>
      <c r="E2" s="60"/>
      <c r="F2" s="60"/>
      <c r="G2" s="60"/>
      <c r="H2" s="60"/>
      <c r="I2" s="65"/>
    </row>
    <row r="3" spans="1:9" ht="14.25">
      <c r="A3" s="2" t="s">
        <v>118</v>
      </c>
      <c r="B3" s="2" t="s">
        <v>119</v>
      </c>
      <c r="C3" s="2" t="s">
        <v>120</v>
      </c>
      <c r="D3" s="2" t="s">
        <v>121</v>
      </c>
      <c r="E3" s="2" t="s">
        <v>122</v>
      </c>
      <c r="F3" s="2" t="s">
        <v>106</v>
      </c>
      <c r="G3" s="2" t="s">
        <v>123</v>
      </c>
      <c r="H3" s="2" t="s">
        <v>443</v>
      </c>
      <c r="I3" s="6" t="s">
        <v>124</v>
      </c>
    </row>
    <row r="4" spans="1:9" ht="14.25">
      <c r="A4" s="3" t="s">
        <v>97</v>
      </c>
      <c r="B4" s="8" t="s">
        <v>125</v>
      </c>
      <c r="C4" s="24">
        <f>IFERROR(SUMPRODUCT('02_Конкуренты_SW'!$E$4:$E$15,'02_Конкуренты_SW'!$J$4:$J$15)/SUM('02_Конкуренты_SW'!$E$4:$E$15),0)</f>
        <v>0.42811271005849544</v>
      </c>
      <c r="D4" s="24">
        <v>0.3</v>
      </c>
      <c r="E4" s="31">
        <f t="shared" ref="E4:E10" si="0">IF(C4&gt;=D4,5,IF(C4&gt;=D4*0.65,3,1))</f>
        <v>5</v>
      </c>
      <c r="F4" s="3" t="s">
        <v>126</v>
      </c>
      <c r="G4" s="3" t="s">
        <v>127</v>
      </c>
      <c r="H4" s="3" t="s">
        <v>128</v>
      </c>
      <c r="I4" s="13" t="s">
        <v>129</v>
      </c>
    </row>
    <row r="5" spans="1:9" ht="14.25">
      <c r="A5" s="3" t="s">
        <v>130</v>
      </c>
      <c r="B5" s="8" t="s">
        <v>131</v>
      </c>
      <c r="C5" s="24">
        <f>IFERROR(SUMPRODUCT('02_Конкуренты_SW'!$E$4:$E$15,'02_Конкуренты_SW'!$K$4:$K$15)/SUM('02_Конкуренты_SW'!$E$4:$E$15),0)</f>
        <v>0.33621024727914578</v>
      </c>
      <c r="D5" s="24">
        <f>'01_Параметры'!B14</f>
        <v>0.45</v>
      </c>
      <c r="E5" s="31">
        <f t="shared" si="0"/>
        <v>3</v>
      </c>
      <c r="F5" s="3" t="s">
        <v>132</v>
      </c>
      <c r="G5" s="3" t="s">
        <v>133</v>
      </c>
      <c r="H5" s="3" t="s">
        <v>134</v>
      </c>
      <c r="I5" s="13" t="s">
        <v>135</v>
      </c>
    </row>
    <row r="6" spans="1:9" ht="14.25">
      <c r="A6" s="3" t="s">
        <v>99</v>
      </c>
      <c r="B6" s="8" t="s">
        <v>136</v>
      </c>
      <c r="C6" s="24">
        <f>IFERROR(SUMPRODUCT('02_Конкуренты_SW'!$E$4:$E$15,'02_Конкуренты_SW'!$L$4:$L$15)/SUM('02_Конкуренты_SW'!$E$4:$E$15),0)</f>
        <v>4.40039542394247E-2</v>
      </c>
      <c r="D6" s="24">
        <f>'01_Параметры'!B13</f>
        <v>0.2</v>
      </c>
      <c r="E6" s="31">
        <f t="shared" si="0"/>
        <v>1</v>
      </c>
      <c r="F6" s="3" t="s">
        <v>137</v>
      </c>
      <c r="G6" s="3" t="s">
        <v>138</v>
      </c>
      <c r="H6" s="3" t="s">
        <v>139</v>
      </c>
      <c r="I6" s="13" t="s">
        <v>140</v>
      </c>
    </row>
    <row r="7" spans="1:9" ht="14.25">
      <c r="A7" s="3" t="s">
        <v>141</v>
      </c>
      <c r="B7" s="8" t="s">
        <v>142</v>
      </c>
      <c r="C7" s="24">
        <f>IFERROR(SUMPRODUCT('02_Конкуренты_SW'!$E$4:$E$15,'02_Конкуренты_SW'!$M$4:$M$15)/SUM('02_Конкуренты_SW'!$E$4:$E$15),0)</f>
        <v>4.5325886585435807E-2</v>
      </c>
      <c r="D7" s="24">
        <v>0.2</v>
      </c>
      <c r="E7" s="31">
        <f t="shared" si="0"/>
        <v>1</v>
      </c>
      <c r="F7" s="3" t="s">
        <v>143</v>
      </c>
      <c r="G7" s="3" t="s">
        <v>144</v>
      </c>
      <c r="H7" s="3" t="s">
        <v>145</v>
      </c>
      <c r="I7" s="13" t="s">
        <v>146</v>
      </c>
    </row>
    <row r="8" spans="1:9" ht="14.25">
      <c r="A8" s="3" t="s">
        <v>147</v>
      </c>
      <c r="B8" s="8" t="s">
        <v>148</v>
      </c>
      <c r="C8" s="24">
        <f>IFERROR(SUMPRODUCT('02_Конкуренты_SW'!$E$4:$E$15,'02_Конкуренты_SW'!$N$4:$N$15)/SUM('02_Конкуренты_SW'!$E$4:$E$15),0)</f>
        <v>6.8977444410577307E-2</v>
      </c>
      <c r="D8" s="24">
        <v>0.15</v>
      </c>
      <c r="E8" s="31">
        <f t="shared" si="0"/>
        <v>1</v>
      </c>
      <c r="F8" s="3" t="s">
        <v>149</v>
      </c>
      <c r="G8" s="3" t="s">
        <v>150</v>
      </c>
      <c r="H8" s="3" t="s">
        <v>151</v>
      </c>
      <c r="I8" s="13" t="s">
        <v>152</v>
      </c>
    </row>
    <row r="9" spans="1:9" ht="14.25">
      <c r="A9" s="3" t="s">
        <v>102</v>
      </c>
      <c r="B9" s="8" t="s">
        <v>153</v>
      </c>
      <c r="C9" s="24">
        <f>IFERROR(SUMPRODUCT('02_Конкуренты_SW'!$E$4:$E$15,'02_Конкуренты_SW'!$O$4:$O$15)/SUM('02_Конкуренты_SW'!$E$4:$E$15),0)</f>
        <v>2.3418550096868437E-2</v>
      </c>
      <c r="D9" s="24">
        <v>0.1</v>
      </c>
      <c r="E9" s="31">
        <f t="shared" si="0"/>
        <v>1</v>
      </c>
      <c r="F9" s="3" t="s">
        <v>154</v>
      </c>
      <c r="G9" s="3" t="s">
        <v>155</v>
      </c>
      <c r="H9" s="3" t="s">
        <v>156</v>
      </c>
      <c r="I9" s="7" t="s">
        <v>157</v>
      </c>
    </row>
    <row r="10" spans="1:9" ht="14.25">
      <c r="A10" s="4" t="s">
        <v>158</v>
      </c>
      <c r="B10" s="9" t="s">
        <v>159</v>
      </c>
      <c r="C10" s="25">
        <f>IFERROR(SUMPRODUCT('02_Конкуренты_SW'!$E$4:$E$15,('02_Конкуренты_SW'!$J$4:$J$15+'02_Конкуренты_SW'!$P$4:$P$15))/SUM('02_Конкуренты_SW'!$E$4:$E$15),0)</f>
        <v>0</v>
      </c>
      <c r="D10" s="25">
        <f>'01_Параметры'!B15</f>
        <v>0.5</v>
      </c>
      <c r="E10" s="32">
        <f t="shared" si="0"/>
        <v>1</v>
      </c>
      <c r="F10" s="4" t="s">
        <v>160</v>
      </c>
      <c r="G10" s="4" t="s">
        <v>161</v>
      </c>
      <c r="H10" s="4" t="s">
        <v>162</v>
      </c>
      <c r="I10" s="10" t="s">
        <v>163</v>
      </c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/>
  </sheetViews>
  <sheetFormatPr defaultRowHeight="13.5"/>
  <cols>
    <col min="1" max="1" width="48.6875" customWidth="1"/>
    <col min="2" max="2" width="20.375" customWidth="1"/>
    <col min="3" max="4" width="52.5625" customWidth="1"/>
    <col min="5" max="5" width="20.375" customWidth="1"/>
    <col min="6" max="6" width="26.6875" customWidth="1"/>
    <col min="7" max="7" width="24.5625" customWidth="1"/>
    <col min="8" max="8" width="28.75" customWidth="1"/>
    <col min="9" max="9" width="27.6875" customWidth="1"/>
    <col min="10" max="10" width="24.5625" customWidth="1"/>
    <col min="11" max="11" width="19.3125" customWidth="1"/>
    <col min="12" max="12" width="23.5" customWidth="1"/>
    <col min="13" max="13" width="52.5625" customWidth="1"/>
  </cols>
  <sheetData>
    <row r="1" spans="1:13" ht="20" customHeight="1">
      <c r="A1" s="58" t="s">
        <v>164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9"/>
    </row>
    <row r="2" spans="1:13" ht="20" customHeight="1">
      <c r="A2" s="60" t="s">
        <v>165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5"/>
    </row>
    <row r="3" spans="1:13" ht="14.25">
      <c r="A3" s="2" t="s">
        <v>166</v>
      </c>
      <c r="B3" s="2" t="s">
        <v>167</v>
      </c>
      <c r="C3" s="2" t="s">
        <v>124</v>
      </c>
      <c r="D3" s="2" t="s">
        <v>408</v>
      </c>
      <c r="E3" s="2" t="s">
        <v>168</v>
      </c>
      <c r="F3" s="2" t="s">
        <v>169</v>
      </c>
      <c r="G3" s="2" t="s">
        <v>170</v>
      </c>
      <c r="H3" s="2" t="s">
        <v>171</v>
      </c>
      <c r="I3" s="2" t="s">
        <v>172</v>
      </c>
      <c r="J3" s="2" t="s">
        <v>173</v>
      </c>
      <c r="K3" s="2" t="s">
        <v>174</v>
      </c>
      <c r="L3" s="2" t="s">
        <v>122</v>
      </c>
      <c r="M3" s="6" t="s">
        <v>54</v>
      </c>
    </row>
    <row r="4" spans="1:13" ht="28.5">
      <c r="A4" s="11" t="s">
        <v>391</v>
      </c>
      <c r="B4" s="19" t="s">
        <v>392</v>
      </c>
      <c r="C4" s="11" t="s">
        <v>393</v>
      </c>
      <c r="D4" s="21" t="s">
        <v>394</v>
      </c>
      <c r="E4" s="33">
        <v>3.87</v>
      </c>
      <c r="F4" s="33">
        <v>0.01</v>
      </c>
      <c r="G4" s="35">
        <v>15</v>
      </c>
      <c r="H4" s="19" t="s">
        <v>394</v>
      </c>
      <c r="I4" s="19" t="s">
        <v>394</v>
      </c>
      <c r="J4" s="19" t="s">
        <v>394</v>
      </c>
      <c r="K4" s="24">
        <f t="shared" ref="K4:K8" si="0">IF(COUNT(E4:J4)&lt;2,"",MIN(1,(IF(ISNUMBER(E4),MIN(E4/2,1),0)+IF(ISNUMBER(F4),F4,0)+IF(ISNUMBER(G4),G4/100,0)+IF(ISNUMBER(H4),MIN(H4/10,1),0)+IF(ISNUMBER(J4),MIN(J4/50,1),0))/MAX(1,COUNT(E4:H4,J4))))</f>
        <v>0.38666666666666666</v>
      </c>
      <c r="L4" s="37">
        <f t="shared" ref="L4:L8" si="1">IF(K4="","",IF(K4&gt;=0.7,5,IF(K4&gt;=0.4,3,1)))</f>
        <v>1</v>
      </c>
      <c r="M4" s="7" t="s">
        <v>444</v>
      </c>
    </row>
    <row r="5" spans="1:13" ht="28.5">
      <c r="A5" s="11" t="s">
        <v>395</v>
      </c>
      <c r="B5" s="19" t="s">
        <v>392</v>
      </c>
      <c r="C5" s="11" t="s">
        <v>393</v>
      </c>
      <c r="D5" s="21" t="s">
        <v>394</v>
      </c>
      <c r="E5" s="33">
        <v>4.57</v>
      </c>
      <c r="F5" s="33">
        <v>0.26</v>
      </c>
      <c r="G5" s="35">
        <v>41</v>
      </c>
      <c r="H5" s="19" t="s">
        <v>394</v>
      </c>
      <c r="I5" s="19" t="s">
        <v>394</v>
      </c>
      <c r="J5" s="19" t="s">
        <v>394</v>
      </c>
      <c r="K5" s="24">
        <f t="shared" si="0"/>
        <v>0.55666666666666664</v>
      </c>
      <c r="L5" s="37">
        <f t="shared" si="1"/>
        <v>3</v>
      </c>
      <c r="M5" s="7" t="s">
        <v>444</v>
      </c>
    </row>
    <row r="6" spans="1:13" ht="28.5">
      <c r="A6" s="11" t="s">
        <v>396</v>
      </c>
      <c r="B6" s="19" t="s">
        <v>397</v>
      </c>
      <c r="C6" s="11" t="s">
        <v>393</v>
      </c>
      <c r="D6" s="21">
        <v>60.9</v>
      </c>
      <c r="E6" s="33">
        <v>4.7300000000000004</v>
      </c>
      <c r="F6" s="33">
        <v>0.01</v>
      </c>
      <c r="G6" s="35">
        <v>35</v>
      </c>
      <c r="H6" s="19" t="s">
        <v>394</v>
      </c>
      <c r="I6" s="19" t="s">
        <v>394</v>
      </c>
      <c r="J6" s="19" t="s">
        <v>394</v>
      </c>
      <c r="K6" s="24">
        <f t="shared" si="0"/>
        <v>0.45333333333333331</v>
      </c>
      <c r="L6" s="37">
        <f t="shared" si="1"/>
        <v>3</v>
      </c>
      <c r="M6" s="7" t="s">
        <v>444</v>
      </c>
    </row>
    <row r="7" spans="1:13" ht="28.5">
      <c r="A7" s="11" t="s">
        <v>398</v>
      </c>
      <c r="B7" s="19" t="s">
        <v>397</v>
      </c>
      <c r="C7" s="11" t="s">
        <v>393</v>
      </c>
      <c r="D7" s="21" t="s">
        <v>394</v>
      </c>
      <c r="E7" s="33">
        <v>5.48</v>
      </c>
      <c r="F7" s="33">
        <v>0.3</v>
      </c>
      <c r="G7" s="35">
        <v>33</v>
      </c>
      <c r="H7" s="19" t="s">
        <v>394</v>
      </c>
      <c r="I7" s="19" t="s">
        <v>394</v>
      </c>
      <c r="J7" s="19" t="s">
        <v>394</v>
      </c>
      <c r="K7" s="24">
        <f t="shared" si="0"/>
        <v>0.54333333333333333</v>
      </c>
      <c r="L7" s="37">
        <f t="shared" si="1"/>
        <v>3</v>
      </c>
      <c r="M7" s="7" t="s">
        <v>444</v>
      </c>
    </row>
    <row r="8" spans="1:13" ht="28.5">
      <c r="A8" s="11" t="s">
        <v>399</v>
      </c>
      <c r="B8" s="19" t="s">
        <v>397</v>
      </c>
      <c r="C8" s="11" t="s">
        <v>393</v>
      </c>
      <c r="D8" s="21" t="s">
        <v>394</v>
      </c>
      <c r="E8" s="33">
        <v>6.37</v>
      </c>
      <c r="F8" s="33">
        <v>0.09</v>
      </c>
      <c r="G8" s="35">
        <v>42</v>
      </c>
      <c r="H8" s="19" t="s">
        <v>394</v>
      </c>
      <c r="I8" s="19" t="s">
        <v>394</v>
      </c>
      <c r="J8" s="19" t="s">
        <v>394</v>
      </c>
      <c r="K8" s="24">
        <f t="shared" si="0"/>
        <v>0.5033333333333333</v>
      </c>
      <c r="L8" s="37">
        <f t="shared" si="1"/>
        <v>3</v>
      </c>
      <c r="M8" s="7" t="s">
        <v>444</v>
      </c>
    </row>
    <row r="9" spans="1:13" ht="28.5">
      <c r="A9" s="11" t="s">
        <v>400</v>
      </c>
      <c r="B9" s="19" t="s">
        <v>175</v>
      </c>
      <c r="C9" s="11" t="s">
        <v>401</v>
      </c>
      <c r="D9" s="21">
        <v>47.6</v>
      </c>
      <c r="E9" s="33" t="s">
        <v>394</v>
      </c>
      <c r="F9" s="33" t="s">
        <v>394</v>
      </c>
      <c r="G9" s="35" t="s">
        <v>394</v>
      </c>
      <c r="H9" s="19" t="s">
        <v>394</v>
      </c>
      <c r="I9" s="19" t="s">
        <v>394</v>
      </c>
      <c r="J9" s="19" t="s">
        <v>394</v>
      </c>
      <c r="K9" s="24" t="str">
        <f>IF(LEN(IF(COUNT(E9:J9)&lt;2,"",MIN(1,(IF(ISNUMBER(E9),MIN(E9/2,1),0)+IF(ISNUMBER(F9),F9,0)+IF(ISNUMBER(G9),G9/100,0)+IF(ISNUMBER(H9),MIN(H9/10,1),0)+IF(ISNUMBER(J9),MIN(J9/50,1),0))/MAX(1,COUNT(E9:H9,J9)))))=0,"-",IF(COUNT(E9:J9)&lt;2,"",MIN(1,(IF(ISNUMBER(E9),MIN(E9/2,1),0)+IF(ISNUMBER(F9),F9,0)+IF(ISNUMBER(G9),G9/100,0)+IF(ISNUMBER(H9),MIN(H9/10,1),0)+IF(ISNUMBER(J9),MIN(J9/50,1),0))/MAX(1,COUNT(E9:H9,J9)))))</f>
        <v>-</v>
      </c>
      <c r="L9" s="37">
        <f>IF(LEN(IF(K9="","",IF(K9&gt;=0.7,5,IF(K9&gt;=0.4,3,1))))=0,"-",IF(K9="","",IF(K9&gt;=0.7,5,IF(K9&gt;=0.4,3,1))))</f>
        <v>5</v>
      </c>
      <c r="M9" s="7" t="s">
        <v>402</v>
      </c>
    </row>
    <row r="10" spans="1:13" ht="28.5">
      <c r="A10" s="11" t="s">
        <v>403</v>
      </c>
      <c r="B10" s="19" t="s">
        <v>175</v>
      </c>
      <c r="C10" s="11" t="s">
        <v>401</v>
      </c>
      <c r="D10" s="21">
        <v>32</v>
      </c>
      <c r="E10" s="33" t="s">
        <v>394</v>
      </c>
      <c r="F10" s="33" t="s">
        <v>394</v>
      </c>
      <c r="G10" s="35" t="s">
        <v>394</v>
      </c>
      <c r="H10" s="19" t="s">
        <v>394</v>
      </c>
      <c r="I10" s="19" t="s">
        <v>394</v>
      </c>
      <c r="J10" s="19" t="s">
        <v>394</v>
      </c>
      <c r="K10" s="24" t="str">
        <f>IF(LEN(IF(COUNT(E10:J10)&lt;2,"",MIN(1,(IF(ISNUMBER(E10),MIN(E10/2,1),0)+IF(ISNUMBER(F10),F10,0)+IF(ISNUMBER(G10),G10/100,0)+IF(ISNUMBER(H10),MIN(H10/10,1),0)+IF(ISNUMBER(J10),MIN(J10/50,1),0))/MAX(1,COUNT(E10:H10,J10)))))=0,"-",IF(COUNT(E10:J10)&lt;2,"",MIN(1,(IF(ISNUMBER(E10),MIN(E10/2,1),0)+IF(ISNUMBER(F10),F10,0)+IF(ISNUMBER(G10),G10/100,0)+IF(ISNUMBER(H10),MIN(H10/10,1),0)+IF(ISNUMBER(J10),MIN(J10/50,1),0))/MAX(1,COUNT(E10:H10,J10)))))</f>
        <v>-</v>
      </c>
      <c r="L10" s="37">
        <f>IF(LEN(IF(K10="","",IF(K10&gt;=0.7,5,IF(K10&gt;=0.4,3,1))))=0,"-",IF(K10="","",IF(K10&gt;=0.7,5,IF(K10&gt;=0.4,3,1))))</f>
        <v>5</v>
      </c>
      <c r="M10" s="7" t="s">
        <v>402</v>
      </c>
    </row>
    <row r="11" spans="1:13" ht="28.5">
      <c r="A11" s="11" t="s">
        <v>404</v>
      </c>
      <c r="B11" s="19" t="s">
        <v>176</v>
      </c>
      <c r="C11" s="11" t="s">
        <v>401</v>
      </c>
      <c r="D11" s="21">
        <v>13.2</v>
      </c>
      <c r="E11" s="33" t="s">
        <v>394</v>
      </c>
      <c r="F11" s="33" t="s">
        <v>394</v>
      </c>
      <c r="G11" s="35" t="s">
        <v>394</v>
      </c>
      <c r="H11" s="19" t="s">
        <v>394</v>
      </c>
      <c r="I11" s="19" t="s">
        <v>394</v>
      </c>
      <c r="J11" s="19" t="s">
        <v>394</v>
      </c>
      <c r="K11" s="24" t="str">
        <f>IF(LEN(IF(COUNT(E11:J11)&lt;2,"",MIN(1,(IF(ISNUMBER(E11),MIN(E11/2,1),0)+IF(ISNUMBER(F11),F11,0)+IF(ISNUMBER(G11),G11/100,0)+IF(ISNUMBER(H11),MIN(H11/10,1),0)+IF(ISNUMBER(J11),MIN(J11/50,1),0))/MAX(1,COUNT(E11:H11,J11)))))=0,"-",IF(COUNT(E11:J11)&lt;2,"",MIN(1,(IF(ISNUMBER(E11),MIN(E11/2,1),0)+IF(ISNUMBER(F11),F11,0)+IF(ISNUMBER(G11),G11/100,0)+IF(ISNUMBER(H11),MIN(H11/10,1),0)+IF(ISNUMBER(J11),MIN(J11/50,1),0))/MAX(1,COUNT(E11:H11,J11)))))</f>
        <v>-</v>
      </c>
      <c r="L11" s="37">
        <f>IF(LEN(IF(K11="","",IF(K11&gt;=0.7,5,IF(K11&gt;=0.4,3,1))))=0,"-",IF(K11="","",IF(K11&gt;=0.7,5,IF(K11&gt;=0.4,3,1))))</f>
        <v>5</v>
      </c>
      <c r="M11" s="7" t="s">
        <v>402</v>
      </c>
    </row>
    <row r="12" spans="1:13" ht="28.5">
      <c r="A12" s="11" t="s">
        <v>405</v>
      </c>
      <c r="B12" s="19" t="s">
        <v>175</v>
      </c>
      <c r="C12" s="11" t="s">
        <v>401</v>
      </c>
      <c r="D12" s="21">
        <v>29</v>
      </c>
      <c r="E12" s="33" t="s">
        <v>394</v>
      </c>
      <c r="F12" s="33" t="s">
        <v>394</v>
      </c>
      <c r="G12" s="35" t="s">
        <v>394</v>
      </c>
      <c r="H12" s="19" t="s">
        <v>394</v>
      </c>
      <c r="I12" s="19" t="s">
        <v>394</v>
      </c>
      <c r="J12" s="19" t="s">
        <v>394</v>
      </c>
      <c r="K12" s="24" t="str">
        <f>IF(LEN(IF(COUNT(E12:J12)&lt;2,"",MIN(1,(IF(ISNUMBER(E12),MIN(E12/2,1),0)+IF(ISNUMBER(F12),F12,0)+IF(ISNUMBER(G12),G12/100,0)+IF(ISNUMBER(H12),MIN(H12/10,1),0)+IF(ISNUMBER(J12),MIN(J12/50,1),0))/MAX(1,COUNT(E12:H12,J12)))))=0,"-",IF(COUNT(E12:J12)&lt;2,"",MIN(1,(IF(ISNUMBER(E12),MIN(E12/2,1),0)+IF(ISNUMBER(F12),F12,0)+IF(ISNUMBER(G12),G12/100,0)+IF(ISNUMBER(H12),MIN(H12/10,1),0)+IF(ISNUMBER(J12),MIN(J12/50,1),0))/MAX(1,COUNT(E12:H12,J12)))))</f>
        <v>-</v>
      </c>
      <c r="L12" s="37">
        <f>IF(LEN(IF(K12="","",IF(K12&gt;=0.7,5,IF(K12&gt;=0.4,3,1))))=0,"-",IF(K12="","",IF(K12&gt;=0.7,5,IF(K12&gt;=0.4,3,1))))</f>
        <v>5</v>
      </c>
      <c r="M12" s="7" t="s">
        <v>402</v>
      </c>
    </row>
    <row r="13" spans="1:13" ht="28.5">
      <c r="A13" s="11" t="s">
        <v>406</v>
      </c>
      <c r="B13" s="19" t="s">
        <v>407</v>
      </c>
      <c r="C13" s="11" t="s">
        <v>401</v>
      </c>
      <c r="D13" s="21">
        <v>0.6</v>
      </c>
      <c r="E13" s="34" t="s">
        <v>394</v>
      </c>
      <c r="F13" s="34" t="s">
        <v>394</v>
      </c>
      <c r="G13" s="36" t="s">
        <v>394</v>
      </c>
      <c r="H13" s="20" t="s">
        <v>394</v>
      </c>
      <c r="I13" s="20" t="s">
        <v>394</v>
      </c>
      <c r="J13" s="20" t="s">
        <v>394</v>
      </c>
      <c r="K13" s="25" t="str">
        <f>IF(LEN(IF(COUNT(E13:J13)&lt;2,"",MIN(1,(IF(ISNUMBER(E13),MIN(E13/2,1),0)+IF(ISNUMBER(F13),F13,0)+IF(ISNUMBER(G13),G13/100,0)+IF(ISNUMBER(H13),MIN(H13/10,1),0)+IF(ISNUMBER(J13),MIN(J13/50,1),0))/MAX(1,COUNT(E13:H13,J13)))))=0,"-",IF(COUNT(E13:J13)&lt;2,"",MIN(1,(IF(ISNUMBER(E13),MIN(E13/2,1),0)+IF(ISNUMBER(F13),F13,0)+IF(ISNUMBER(G13),G13/100,0)+IF(ISNUMBER(H13),MIN(H13/10,1),0)+IF(ISNUMBER(J13),MIN(J13/50,1),0))/MAX(1,COUNT(E13:H13,J13)))))</f>
        <v>-</v>
      </c>
      <c r="L13" s="38">
        <f>IF(LEN(IF(K13="","",IF(K13&gt;=0.7,5,IF(K13&gt;=0.4,3,1))))=0,"-",IF(K13="","",IF(K13&gt;=0.7,5,IF(K13&gt;=0.4,3,1))))</f>
        <v>5</v>
      </c>
      <c r="M13" s="5" t="s">
        <v>402</v>
      </c>
    </row>
    <row r="14" spans="1:13" ht="14.25">
      <c r="A14" s="2" t="s">
        <v>177</v>
      </c>
      <c r="B14" s="2" t="s">
        <v>51</v>
      </c>
      <c r="C14" s="2" t="s">
        <v>178</v>
      </c>
      <c r="D14" s="6" t="s">
        <v>106</v>
      </c>
      <c r="E14" s="1"/>
      <c r="F14" s="1"/>
      <c r="G14" s="1"/>
      <c r="H14" s="1"/>
      <c r="I14" s="1"/>
      <c r="J14" s="1"/>
      <c r="K14" s="1"/>
      <c r="L14" s="1"/>
      <c r="M14" s="1"/>
    </row>
    <row r="15" spans="1:13" ht="28.5">
      <c r="A15" s="39" t="s">
        <v>179</v>
      </c>
      <c r="B15" s="27">
        <f>IFERROR(AVERAGE(K4:K13),"-")</f>
        <v>0.48866666666666669</v>
      </c>
      <c r="C15" s="42" t="str">
        <f>IF(ISNUMBER(B15),IF(B15&gt;=0.7,"высокое",IF(B15&gt;=0.4,"среднее","низкое")),"-")</f>
        <v>среднее</v>
      </c>
      <c r="D15" s="44" t="s">
        <v>180</v>
      </c>
      <c r="E15" s="1"/>
      <c r="F15" s="1"/>
      <c r="G15" s="1"/>
      <c r="H15" s="1"/>
      <c r="I15" s="1"/>
      <c r="J15" s="1"/>
      <c r="K15" s="1"/>
      <c r="L15" s="1"/>
      <c r="M15" s="1"/>
    </row>
    <row r="16" spans="1:13" ht="14.25">
      <c r="A16" s="39" t="s">
        <v>181</v>
      </c>
      <c r="B16" s="27">
        <f>IFERROR(COUNTIF(L4:L13,5)/COUNT(L4:L13),"-")</f>
        <v>0.5</v>
      </c>
      <c r="C16" s="42" t="str">
        <f>IF(ISNUMBER(B16),IF(B16&gt;=0.5,"высокая доля",IF(B16&gt;=0.25,"средняя доля","низкая доля")),"-")</f>
        <v>высокая доля</v>
      </c>
      <c r="D16" s="45" t="s">
        <v>182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42.75">
      <c r="A17" s="40" t="s">
        <v>183</v>
      </c>
      <c r="B17" s="43" t="s">
        <v>394</v>
      </c>
      <c r="C17" s="43" t="s">
        <v>394</v>
      </c>
      <c r="D17" s="41" t="s">
        <v>409</v>
      </c>
      <c r="E17" s="1"/>
      <c r="F17" s="1"/>
      <c r="G17" s="1"/>
      <c r="H17" s="1"/>
      <c r="I17" s="1"/>
      <c r="J17" s="1"/>
      <c r="K17" s="1"/>
      <c r="L17" s="1"/>
      <c r="M17" s="1"/>
    </row>
  </sheetData>
  <mergeCells count="2">
    <mergeCell ref="A1:M1"/>
    <mergeCell ref="A2:M2"/>
  </mergeCells>
  <dataValidations count="1">
    <dataValidation type="list" sqref="B4:B13" xr:uid="{00000000-0002-0000-0400-000000000000}">
      <formula1>"информационный,проблемный,коммерческий,инструментальный,брендовый,региональный"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workbookViewId="0"/>
  </sheetViews>
  <sheetFormatPr defaultRowHeight="13.5"/>
  <cols>
    <col min="1" max="1" width="40.3125" customWidth="1"/>
    <col min="2" max="2" width="14.0625" customWidth="1"/>
    <col min="3" max="3" width="17.1875" customWidth="1"/>
    <col min="4" max="4" width="52.5625" customWidth="1"/>
    <col min="5" max="5" width="19.3125" customWidth="1"/>
    <col min="6" max="6" width="22.4375" customWidth="1"/>
    <col min="7" max="7" width="21.4375" customWidth="1"/>
    <col min="8" max="8" width="18.25" customWidth="1"/>
    <col min="9" max="9" width="17.1875" customWidth="1"/>
    <col min="10" max="10" width="18.25" customWidth="1"/>
    <col min="11" max="11" width="23.5" customWidth="1"/>
    <col min="12" max="12" width="18.25" customWidth="1"/>
    <col min="13" max="13" width="23.5" customWidth="1"/>
    <col min="14" max="14" width="52.5625" customWidth="1"/>
  </cols>
  <sheetData>
    <row r="1" spans="1:14" ht="20" customHeight="1">
      <c r="A1" s="58" t="s">
        <v>445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9"/>
    </row>
    <row r="2" spans="1:14" ht="20" customHeight="1">
      <c r="A2" s="60" t="s">
        <v>446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5"/>
    </row>
    <row r="3" spans="1:14" ht="14.25">
      <c r="A3" s="2" t="s">
        <v>184</v>
      </c>
      <c r="B3" s="2" t="s">
        <v>185</v>
      </c>
      <c r="C3" s="2" t="s">
        <v>186</v>
      </c>
      <c r="D3" s="2" t="s">
        <v>187</v>
      </c>
      <c r="E3" s="2" t="s">
        <v>188</v>
      </c>
      <c r="F3" s="2" t="s">
        <v>189</v>
      </c>
      <c r="G3" s="2" t="s">
        <v>190</v>
      </c>
      <c r="H3" s="2" t="s">
        <v>191</v>
      </c>
      <c r="I3" s="2" t="s">
        <v>192</v>
      </c>
      <c r="J3" s="2" t="s">
        <v>193</v>
      </c>
      <c r="K3" s="2" t="s">
        <v>194</v>
      </c>
      <c r="L3" s="2" t="s">
        <v>195</v>
      </c>
      <c r="M3" s="2" t="s">
        <v>122</v>
      </c>
      <c r="N3" s="6" t="s">
        <v>54</v>
      </c>
    </row>
    <row r="4" spans="1:14" ht="14.25">
      <c r="A4" s="11" t="s">
        <v>376</v>
      </c>
      <c r="B4" s="46" t="s">
        <v>394</v>
      </c>
      <c r="C4" s="21" t="s">
        <v>394</v>
      </c>
      <c r="D4" s="19" t="s">
        <v>394</v>
      </c>
      <c r="E4" s="19" t="s">
        <v>394</v>
      </c>
      <c r="F4" s="19" t="s">
        <v>394</v>
      </c>
      <c r="G4" s="19" t="s">
        <v>394</v>
      </c>
      <c r="H4" s="19" t="s">
        <v>394</v>
      </c>
      <c r="I4" s="19" t="s">
        <v>394</v>
      </c>
      <c r="J4" s="19" t="s">
        <v>394</v>
      </c>
      <c r="K4" s="19" t="s">
        <v>394</v>
      </c>
      <c r="L4" s="24" t="str">
        <f>IF(LEN(IF(COUNT(B4:K4)=0,"",MIN(1,(IF(COUNT(B4,D4,F4,H4)&gt;0,AVERAGE(B4,D4,F4,H4)/5,0)+IF(COUNT(C4,E4,G4,I4)&gt;0,MIN(SUM(C4,E4,G4,I4)/300,1),0)+IF(ISNUMBER(J4),MIN(J4/30,1),0)+IF(ISNUMBER(K4),MIN(K4/10,1),0))/MAX(1,(COUNT(B4,D4,F4,H4)&gt;0)+(COUNT(C4,E4,G4,I4)&gt;0)+ISNUMBER(J4)+ISNUMBER(K4)))))=0,"-",IF(COUNT(B4:K4)=0,"",MIN(1,(IF(COUNT(B4,D4,F4,H4)&gt;0,AVERAGE(B4,D4,F4,H4)/5,0)+IF(COUNT(C4,E4,G4,I4)&gt;0,MIN(SUM(C4,E4,G4,I4)/300,1),0)+IF(ISNUMBER(J4),MIN(J4/30,1),0)+IF(ISNUMBER(K4),MIN(K4/10,1),0))/MAX(1,(COUNT(B4,D4,F4,H4)&gt;0)+(COUNT(C4,E4,G4,I4)&gt;0)+ISNUMBER(J4)+ISNUMBER(K4)))))</f>
        <v>-</v>
      </c>
      <c r="M4" s="37">
        <f>IF(LEN(IF(L4="","",IF(L4&gt;=0.7,5,IF(L4&gt;=0.4,3,1))))=0,"-",IF(L4="","",IF(L4&gt;=0.7,5,IF(L4&gt;=0.4,3,1))))</f>
        <v>5</v>
      </c>
      <c r="N4" s="7" t="s">
        <v>447</v>
      </c>
    </row>
    <row r="5" spans="1:14" ht="14.25">
      <c r="A5" s="11" t="s">
        <v>378</v>
      </c>
      <c r="B5" s="46" t="s">
        <v>394</v>
      </c>
      <c r="C5" s="21">
        <v>0</v>
      </c>
      <c r="D5" s="19" t="s">
        <v>394</v>
      </c>
      <c r="E5" s="19" t="s">
        <v>394</v>
      </c>
      <c r="F5" s="19" t="s">
        <v>394</v>
      </c>
      <c r="G5" s="19">
        <v>0</v>
      </c>
      <c r="H5" s="19" t="s">
        <v>394</v>
      </c>
      <c r="I5" s="19" t="s">
        <v>394</v>
      </c>
      <c r="J5" s="19" t="s">
        <v>394</v>
      </c>
      <c r="K5" s="19" t="s">
        <v>394</v>
      </c>
      <c r="L5" s="24">
        <f t="shared" ref="L5:L15" si="0">IF(COUNT(B5:K5)=0,"",MIN(1,(IF(COUNT(B5,D5,F5,H5)&gt;0,AVERAGE(B5,D5,F5,H5)/5,0)+IF(COUNT(C5,E5,G5,I5)&gt;0,MIN(SUM(C5,E5,G5,I5)/300,1),0)+IF(ISNUMBER(J5),MIN(J5/30,1),0)+IF(ISNUMBER(K5),MIN(K5/10,1),0))/MAX(1,(COUNT(B5,D5,F5,H5)&gt;0)+(COUNT(C5,E5,G5,I5)&gt;0)+ISNUMBER(J5)+ISNUMBER(K5))))</f>
        <v>0</v>
      </c>
      <c r="M5" s="37">
        <f t="shared" ref="M5:M15" si="1">IF(L5="","",IF(L5&gt;=0.7,5,IF(L5&gt;=0.4,3,1)))</f>
        <v>1</v>
      </c>
      <c r="N5" s="7" t="s">
        <v>448</v>
      </c>
    </row>
    <row r="6" spans="1:14" ht="14.25">
      <c r="A6" s="11" t="s">
        <v>379</v>
      </c>
      <c r="B6" s="46">
        <v>4.9000000000000004</v>
      </c>
      <c r="C6" s="21">
        <v>24</v>
      </c>
      <c r="D6" s="19" t="s">
        <v>394</v>
      </c>
      <c r="E6" s="19" t="s">
        <v>394</v>
      </c>
      <c r="F6" s="19" t="s">
        <v>394</v>
      </c>
      <c r="G6" s="19" t="s">
        <v>394</v>
      </c>
      <c r="H6" s="19" t="s">
        <v>394</v>
      </c>
      <c r="I6" s="19" t="s">
        <v>394</v>
      </c>
      <c r="J6" s="19" t="s">
        <v>394</v>
      </c>
      <c r="K6" s="19" t="s">
        <v>394</v>
      </c>
      <c r="L6" s="24">
        <f t="shared" si="0"/>
        <v>0.53</v>
      </c>
      <c r="M6" s="37">
        <f t="shared" si="1"/>
        <v>3</v>
      </c>
      <c r="N6" s="13" t="s">
        <v>410</v>
      </c>
    </row>
    <row r="7" spans="1:14" ht="14.25">
      <c r="A7" s="11" t="s">
        <v>381</v>
      </c>
      <c r="B7" s="46" t="s">
        <v>394</v>
      </c>
      <c r="C7" s="21" t="s">
        <v>394</v>
      </c>
      <c r="D7" s="19" t="s">
        <v>394</v>
      </c>
      <c r="E7" s="19" t="s">
        <v>394</v>
      </c>
      <c r="F7" s="19" t="s">
        <v>394</v>
      </c>
      <c r="G7" s="19" t="s">
        <v>394</v>
      </c>
      <c r="H7" s="19" t="s">
        <v>394</v>
      </c>
      <c r="I7" s="19" t="s">
        <v>394</v>
      </c>
      <c r="J7" s="19" t="s">
        <v>394</v>
      </c>
      <c r="K7" s="19" t="s">
        <v>394</v>
      </c>
      <c r="L7" s="24" t="str">
        <f>IF(LEN(IF(COUNT(B7:K7)=0,"",MIN(1,(IF(COUNT(B7,D7,F7,H7)&gt;0,AVERAGE(B7,D7,F7,H7)/5,0)+IF(COUNT(C7,E7,G7,I7)&gt;0,MIN(SUM(C7,E7,G7,I7)/300,1),0)+IF(ISNUMBER(J7),MIN(J7/30,1),0)+IF(ISNUMBER(K7),MIN(K7/10,1),0))/MAX(1,(COUNT(B7,D7,F7,H7)&gt;0)+(COUNT(C7,E7,G7,I7)&gt;0)+ISNUMBER(J7)+ISNUMBER(K7)))))=0,"-",IF(COUNT(B7:K7)=0,"",MIN(1,(IF(COUNT(B7,D7,F7,H7)&gt;0,AVERAGE(B7,D7,F7,H7)/5,0)+IF(COUNT(C7,E7,G7,I7)&gt;0,MIN(SUM(C7,E7,G7,I7)/300,1),0)+IF(ISNUMBER(J7),MIN(J7/30,1),0)+IF(ISNUMBER(K7),MIN(K7/10,1),0))/MAX(1,(COUNT(B7,D7,F7,H7)&gt;0)+(COUNT(C7,E7,G7,I7)&gt;0)+ISNUMBER(J7)+ISNUMBER(K7)))))</f>
        <v>-</v>
      </c>
      <c r="M7" s="37">
        <f>IF(LEN(IF(L7="","",IF(L7&gt;=0.7,5,IF(L7&gt;=0.4,3,1))))=0,"-",IF(L7="","",IF(L7&gt;=0.7,5,IF(L7&gt;=0.4,3,1))))</f>
        <v>5</v>
      </c>
      <c r="N7" s="7" t="s">
        <v>449</v>
      </c>
    </row>
    <row r="8" spans="1:14" ht="28.5">
      <c r="A8" s="11" t="s">
        <v>382</v>
      </c>
      <c r="B8" s="46" t="s">
        <v>394</v>
      </c>
      <c r="C8" s="21" t="s">
        <v>394</v>
      </c>
      <c r="D8" s="19" t="s">
        <v>394</v>
      </c>
      <c r="E8" s="19" t="s">
        <v>394</v>
      </c>
      <c r="F8" s="19" t="s">
        <v>394</v>
      </c>
      <c r="G8" s="19" t="s">
        <v>394</v>
      </c>
      <c r="H8" s="19" t="s">
        <v>394</v>
      </c>
      <c r="I8" s="19" t="s">
        <v>394</v>
      </c>
      <c r="J8" s="19" t="s">
        <v>394</v>
      </c>
      <c r="K8" s="19" t="s">
        <v>394</v>
      </c>
      <c r="L8" s="24" t="str">
        <f>IF(LEN(IF(COUNT(B8:K8)=0,"",MIN(1,(IF(COUNT(B8,D8,F8,H8)&gt;0,AVERAGE(B8,D8,F8,H8)/5,0)+IF(COUNT(C8,E8,G8,I8)&gt;0,MIN(SUM(C8,E8,G8,I8)/300,1),0)+IF(ISNUMBER(J8),MIN(J8/30,1),0)+IF(ISNUMBER(K8),MIN(K8/10,1),0))/MAX(1,(COUNT(B8,D8,F8,H8)&gt;0)+(COUNT(C8,E8,G8,I8)&gt;0)+ISNUMBER(J8)+ISNUMBER(K8)))))=0,"-",IF(COUNT(B8:K8)=0,"",MIN(1,(IF(COUNT(B8,D8,F8,H8)&gt;0,AVERAGE(B8,D8,F8,H8)/5,0)+IF(COUNT(C8,E8,G8,I8)&gt;0,MIN(SUM(C8,E8,G8,I8)/300,1),0)+IF(ISNUMBER(J8),MIN(J8/30,1),0)+IF(ISNUMBER(K8),MIN(K8/10,1),0))/MAX(1,(COUNT(B8,D8,F8,H8)&gt;0)+(COUNT(C8,E8,G8,I8)&gt;0)+ISNUMBER(J8)+ISNUMBER(K8)))))</f>
        <v>-</v>
      </c>
      <c r="M8" s="37">
        <f>IF(LEN(IF(L8="","",IF(L8&gt;=0.7,5,IF(L8&gt;=0.4,3,1))))=0,"-",IF(L8="","",IF(L8&gt;=0.7,5,IF(L8&gt;=0.4,3,1))))</f>
        <v>5</v>
      </c>
      <c r="N8" s="7" t="s">
        <v>450</v>
      </c>
    </row>
    <row r="9" spans="1:14" ht="14.25">
      <c r="A9" s="11" t="s">
        <v>383</v>
      </c>
      <c r="B9" s="46">
        <v>4</v>
      </c>
      <c r="C9" s="21">
        <v>1</v>
      </c>
      <c r="D9" s="19" t="s">
        <v>394</v>
      </c>
      <c r="E9" s="19" t="s">
        <v>394</v>
      </c>
      <c r="F9" s="19" t="s">
        <v>394</v>
      </c>
      <c r="G9" s="19" t="s">
        <v>394</v>
      </c>
      <c r="H9" s="19" t="s">
        <v>394</v>
      </c>
      <c r="I9" s="19" t="s">
        <v>394</v>
      </c>
      <c r="J9" s="19" t="s">
        <v>394</v>
      </c>
      <c r="K9" s="19" t="s">
        <v>394</v>
      </c>
      <c r="L9" s="24">
        <f t="shared" si="0"/>
        <v>0.40166666666666667</v>
      </c>
      <c r="M9" s="37">
        <f t="shared" si="1"/>
        <v>3</v>
      </c>
      <c r="N9" s="13" t="s">
        <v>411</v>
      </c>
    </row>
    <row r="10" spans="1:14" ht="14.25">
      <c r="A10" s="11" t="s">
        <v>384</v>
      </c>
      <c r="B10" s="46">
        <v>4.5</v>
      </c>
      <c r="C10" s="21">
        <v>90</v>
      </c>
      <c r="D10" s="19" t="s">
        <v>394</v>
      </c>
      <c r="E10" s="19" t="s">
        <v>394</v>
      </c>
      <c r="F10" s="19" t="s">
        <v>394</v>
      </c>
      <c r="G10" s="19" t="s">
        <v>394</v>
      </c>
      <c r="H10" s="19" t="s">
        <v>394</v>
      </c>
      <c r="I10" s="19" t="s">
        <v>394</v>
      </c>
      <c r="J10" s="19" t="s">
        <v>394</v>
      </c>
      <c r="K10" s="19" t="s">
        <v>394</v>
      </c>
      <c r="L10" s="24">
        <f t="shared" si="0"/>
        <v>0.6</v>
      </c>
      <c r="M10" s="37">
        <f t="shared" si="1"/>
        <v>3</v>
      </c>
      <c r="N10" s="7" t="s">
        <v>451</v>
      </c>
    </row>
    <row r="11" spans="1:14" ht="14.25">
      <c r="A11" s="11" t="s">
        <v>385</v>
      </c>
      <c r="B11" s="46">
        <v>4.5</v>
      </c>
      <c r="C11" s="21">
        <v>1</v>
      </c>
      <c r="D11" s="19" t="s">
        <v>394</v>
      </c>
      <c r="E11" s="19" t="s">
        <v>394</v>
      </c>
      <c r="F11" s="19" t="s">
        <v>394</v>
      </c>
      <c r="G11" s="19" t="s">
        <v>394</v>
      </c>
      <c r="H11" s="19" t="s">
        <v>394</v>
      </c>
      <c r="I11" s="19" t="s">
        <v>394</v>
      </c>
      <c r="J11" s="19" t="s">
        <v>394</v>
      </c>
      <c r="K11" s="19" t="s">
        <v>394</v>
      </c>
      <c r="L11" s="24">
        <f t="shared" si="0"/>
        <v>0.45166666666666666</v>
      </c>
      <c r="M11" s="37">
        <f t="shared" si="1"/>
        <v>3</v>
      </c>
      <c r="N11" s="13" t="s">
        <v>412</v>
      </c>
    </row>
    <row r="12" spans="1:14" ht="14.25">
      <c r="A12" s="11" t="s">
        <v>386</v>
      </c>
      <c r="B12" s="46">
        <v>4.5999999999999996</v>
      </c>
      <c r="C12" s="21">
        <v>386</v>
      </c>
      <c r="D12" s="19" t="s">
        <v>394</v>
      </c>
      <c r="E12" s="19" t="s">
        <v>394</v>
      </c>
      <c r="F12" s="19" t="s">
        <v>394</v>
      </c>
      <c r="G12" s="19" t="s">
        <v>394</v>
      </c>
      <c r="H12" s="19" t="s">
        <v>394</v>
      </c>
      <c r="I12" s="19" t="s">
        <v>394</v>
      </c>
      <c r="J12" s="19" t="s">
        <v>394</v>
      </c>
      <c r="K12" s="19" t="s">
        <v>394</v>
      </c>
      <c r="L12" s="24">
        <f t="shared" si="0"/>
        <v>0.96</v>
      </c>
      <c r="M12" s="37">
        <f t="shared" si="1"/>
        <v>5</v>
      </c>
      <c r="N12" s="13" t="s">
        <v>413</v>
      </c>
    </row>
    <row r="13" spans="1:14" ht="14.25">
      <c r="A13" s="11" t="s">
        <v>387</v>
      </c>
      <c r="B13" s="46">
        <v>4.5</v>
      </c>
      <c r="C13" s="21">
        <v>4</v>
      </c>
      <c r="D13" s="19" t="s">
        <v>394</v>
      </c>
      <c r="E13" s="19" t="s">
        <v>394</v>
      </c>
      <c r="F13" s="19" t="s">
        <v>394</v>
      </c>
      <c r="G13" s="19" t="s">
        <v>394</v>
      </c>
      <c r="H13" s="19" t="s">
        <v>394</v>
      </c>
      <c r="I13" s="19" t="s">
        <v>394</v>
      </c>
      <c r="J13" s="19" t="s">
        <v>394</v>
      </c>
      <c r="K13" s="19" t="s">
        <v>394</v>
      </c>
      <c r="L13" s="24">
        <f t="shared" si="0"/>
        <v>0.45666666666666667</v>
      </c>
      <c r="M13" s="37">
        <f t="shared" si="1"/>
        <v>3</v>
      </c>
      <c r="N13" s="13" t="s">
        <v>414</v>
      </c>
    </row>
    <row r="14" spans="1:14" ht="14.25">
      <c r="A14" s="11" t="s">
        <v>389</v>
      </c>
      <c r="B14" s="46" t="s">
        <v>394</v>
      </c>
      <c r="C14" s="21">
        <v>0</v>
      </c>
      <c r="D14" s="19" t="s">
        <v>394</v>
      </c>
      <c r="E14" s="19" t="s">
        <v>394</v>
      </c>
      <c r="F14" s="19" t="s">
        <v>394</v>
      </c>
      <c r="G14" s="19" t="s">
        <v>394</v>
      </c>
      <c r="H14" s="19" t="s">
        <v>394</v>
      </c>
      <c r="I14" s="19" t="s">
        <v>394</v>
      </c>
      <c r="J14" s="19" t="s">
        <v>394</v>
      </c>
      <c r="K14" s="19" t="s">
        <v>394</v>
      </c>
      <c r="L14" s="24">
        <f t="shared" si="0"/>
        <v>0</v>
      </c>
      <c r="M14" s="37">
        <f t="shared" si="1"/>
        <v>1</v>
      </c>
      <c r="N14" s="13" t="s">
        <v>415</v>
      </c>
    </row>
    <row r="15" spans="1:14" ht="14.25">
      <c r="A15" s="11" t="s">
        <v>390</v>
      </c>
      <c r="B15" s="46">
        <v>4.7</v>
      </c>
      <c r="C15" s="21">
        <v>19</v>
      </c>
      <c r="D15" s="19" t="s">
        <v>394</v>
      </c>
      <c r="E15" s="20" t="s">
        <v>394</v>
      </c>
      <c r="F15" s="20" t="s">
        <v>394</v>
      </c>
      <c r="G15" s="20" t="s">
        <v>394</v>
      </c>
      <c r="H15" s="20" t="s">
        <v>394</v>
      </c>
      <c r="I15" s="20" t="s">
        <v>394</v>
      </c>
      <c r="J15" s="20" t="s">
        <v>394</v>
      </c>
      <c r="K15" s="20" t="s">
        <v>394</v>
      </c>
      <c r="L15" s="25">
        <f t="shared" si="0"/>
        <v>0.50166666666666671</v>
      </c>
      <c r="M15" s="38">
        <f t="shared" si="1"/>
        <v>3</v>
      </c>
      <c r="N15" s="5" t="s">
        <v>452</v>
      </c>
    </row>
    <row r="16" spans="1:14" ht="14.25">
      <c r="A16" s="2" t="s">
        <v>177</v>
      </c>
      <c r="B16" s="2" t="s">
        <v>51</v>
      </c>
      <c r="C16" s="2" t="s">
        <v>178</v>
      </c>
      <c r="D16" s="6" t="s">
        <v>106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4.25">
      <c r="A17" s="39" t="s">
        <v>196</v>
      </c>
      <c r="B17" s="27">
        <f>AVERAGE(L4:L15)</f>
        <v>0.43351851851851847</v>
      </c>
      <c r="C17" s="42" t="str">
        <f>IF(B17&gt;=0.7,"высокий",IF(B17&gt;=0.4,"средний","низкий"))</f>
        <v>средний</v>
      </c>
      <c r="D17" s="44" t="s">
        <v>197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8.5">
      <c r="A18" s="40" t="s">
        <v>198</v>
      </c>
      <c r="B18" s="17">
        <f>SUM(C4:C15,E4:E15,G4:G15,I4:I15)/COUNTA(A4:A15)</f>
        <v>43.75</v>
      </c>
      <c r="C18" s="43" t="str">
        <f>IF(B18&gt;='01_Параметры'!B16,"высокий барьер",IF(B18&gt;='01_Параметры'!B16*0.5,"средний барьер","низкий барьер"))</f>
        <v>низкий барьер</v>
      </c>
      <c r="D18" s="41" t="s">
        <v>416</v>
      </c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8"/>
  <sheetViews>
    <sheetView workbookViewId="0"/>
  </sheetViews>
  <sheetFormatPr defaultRowHeight="13.5"/>
  <cols>
    <col min="1" max="1" width="52.5625" customWidth="1"/>
    <col min="2" max="2" width="40.3125" customWidth="1"/>
    <col min="3" max="3" width="28.75" customWidth="1"/>
    <col min="4" max="4" width="52.5625" customWidth="1"/>
    <col min="5" max="5" width="25.625" customWidth="1"/>
    <col min="6" max="6" width="24.5625" customWidth="1"/>
    <col min="7" max="7" width="18.25" customWidth="1"/>
    <col min="8" max="8" width="23.5" customWidth="1"/>
    <col min="9" max="9" width="11.9375" customWidth="1"/>
    <col min="10" max="10" width="29.8125" customWidth="1"/>
    <col min="11" max="11" width="25.625" customWidth="1"/>
    <col min="12" max="12" width="23.5" customWidth="1"/>
    <col min="13" max="13" width="52.5625" customWidth="1"/>
  </cols>
  <sheetData>
    <row r="1" spans="1:13" ht="20" customHeight="1">
      <c r="A1" s="58" t="s">
        <v>199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9"/>
    </row>
    <row r="2" spans="1:13" ht="20" customHeight="1">
      <c r="A2" s="60" t="s">
        <v>453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5"/>
    </row>
    <row r="3" spans="1:13" ht="14.25">
      <c r="A3" s="2" t="s">
        <v>184</v>
      </c>
      <c r="B3" s="2" t="s">
        <v>200</v>
      </c>
      <c r="C3" s="2" t="s">
        <v>201</v>
      </c>
      <c r="D3" s="2" t="s">
        <v>202</v>
      </c>
      <c r="E3" s="2" t="s">
        <v>203</v>
      </c>
      <c r="F3" s="2" t="s">
        <v>204</v>
      </c>
      <c r="G3" s="2" t="s">
        <v>205</v>
      </c>
      <c r="H3" s="2" t="s">
        <v>206</v>
      </c>
      <c r="I3" s="2" t="s">
        <v>207</v>
      </c>
      <c r="J3" s="2" t="s">
        <v>208</v>
      </c>
      <c r="K3" s="2" t="s">
        <v>209</v>
      </c>
      <c r="L3" s="2" t="s">
        <v>122</v>
      </c>
      <c r="M3" s="6" t="s">
        <v>54</v>
      </c>
    </row>
    <row r="4" spans="1:13" ht="42.75">
      <c r="A4" s="11" t="s">
        <v>376</v>
      </c>
      <c r="B4" s="47" t="s">
        <v>454</v>
      </c>
      <c r="C4" s="35" t="s">
        <v>394</v>
      </c>
      <c r="D4" s="35">
        <v>5</v>
      </c>
      <c r="E4" s="35">
        <v>5</v>
      </c>
      <c r="F4" s="19" t="s">
        <v>394</v>
      </c>
      <c r="G4" s="19" t="s">
        <v>394</v>
      </c>
      <c r="H4" s="19" t="s">
        <v>394</v>
      </c>
      <c r="I4" s="19" t="s">
        <v>394</v>
      </c>
      <c r="J4" s="19" t="s">
        <v>394</v>
      </c>
      <c r="K4" s="24">
        <f t="shared" ref="K4:K15" si="0">IF(COUNTA(B4:J4)=0,"",MIN(1,(IF(ISNUMBER(B4),MIN(B4/500000,1),0)+IF(ISNUMBER(C4),MIN(C4/60,1),0)+IF(ISNUMBER(D4),D4/5,0)+IF(ISNUMBER(E4),E4/5,0)+IF(F4="да",1,0)+IF(G4="да",1,0)+IF(ISNUMBER(H4),MIN(H4/50,1),0)+IF(ISNUMBER(I4),MIN(I4/6,1),0)+IF(ISNUMBER(J4),IF(J4&gt;0,1,0),0))/MAX(1,ISNUMBER(B4)+ISNUMBER(C4)+ISNUMBER(D4)+ISNUMBER(E4)+(F4&lt;&gt;"")+(G4&lt;&gt;"")+ISNUMBER(H4)+ISNUMBER(I4)+ISNUMBER(J4))))</f>
        <v>0.5</v>
      </c>
      <c r="L4" s="37">
        <f t="shared" ref="L4:L15" si="1">IF(K4="","",IF(K4&gt;=0.7,5,IF(K4&gt;=0.4,3,1)))</f>
        <v>3</v>
      </c>
      <c r="M4" s="7" t="s">
        <v>417</v>
      </c>
    </row>
    <row r="5" spans="1:13" ht="42.75">
      <c r="A5" s="11" t="s">
        <v>378</v>
      </c>
      <c r="B5" s="21" t="s">
        <v>418</v>
      </c>
      <c r="C5" s="35" t="s">
        <v>419</v>
      </c>
      <c r="D5" s="35">
        <v>3</v>
      </c>
      <c r="E5" s="35">
        <v>3</v>
      </c>
      <c r="F5" s="19" t="s">
        <v>394</v>
      </c>
      <c r="G5" s="19" t="s">
        <v>394</v>
      </c>
      <c r="H5" s="19" t="s">
        <v>394</v>
      </c>
      <c r="I5" s="19" t="s">
        <v>394</v>
      </c>
      <c r="J5" s="19" t="s">
        <v>394</v>
      </c>
      <c r="K5" s="24">
        <f t="shared" si="0"/>
        <v>0.3</v>
      </c>
      <c r="L5" s="37">
        <f t="shared" si="1"/>
        <v>1</v>
      </c>
      <c r="M5" s="7" t="s">
        <v>417</v>
      </c>
    </row>
    <row r="6" spans="1:13" ht="42.75">
      <c r="A6" s="11" t="s">
        <v>379</v>
      </c>
      <c r="B6" s="21" t="s">
        <v>455</v>
      </c>
      <c r="C6" s="35" t="s">
        <v>420</v>
      </c>
      <c r="D6" s="35">
        <v>5</v>
      </c>
      <c r="E6" s="35">
        <v>4</v>
      </c>
      <c r="F6" s="19" t="s">
        <v>394</v>
      </c>
      <c r="G6" s="19" t="s">
        <v>394</v>
      </c>
      <c r="H6" s="19" t="s">
        <v>394</v>
      </c>
      <c r="I6" s="19" t="s">
        <v>394</v>
      </c>
      <c r="J6" s="19" t="s">
        <v>394</v>
      </c>
      <c r="K6" s="24">
        <f t="shared" si="0"/>
        <v>0.45</v>
      </c>
      <c r="L6" s="37">
        <f t="shared" si="1"/>
        <v>3</v>
      </c>
      <c r="M6" s="7" t="s">
        <v>417</v>
      </c>
    </row>
    <row r="7" spans="1:13" ht="42.75">
      <c r="A7" s="11" t="s">
        <v>381</v>
      </c>
      <c r="B7" s="21" t="s">
        <v>421</v>
      </c>
      <c r="C7" s="35" t="s">
        <v>422</v>
      </c>
      <c r="D7" s="35">
        <v>4</v>
      </c>
      <c r="E7" s="35">
        <v>4</v>
      </c>
      <c r="F7" s="19" t="s">
        <v>394</v>
      </c>
      <c r="G7" s="19" t="s">
        <v>394</v>
      </c>
      <c r="H7" s="19" t="s">
        <v>394</v>
      </c>
      <c r="I7" s="19" t="s">
        <v>394</v>
      </c>
      <c r="J7" s="19" t="s">
        <v>394</v>
      </c>
      <c r="K7" s="24">
        <f t="shared" si="0"/>
        <v>0.4</v>
      </c>
      <c r="L7" s="37">
        <f t="shared" si="1"/>
        <v>3</v>
      </c>
      <c r="M7" s="7" t="s">
        <v>417</v>
      </c>
    </row>
    <row r="8" spans="1:13" ht="42.75">
      <c r="A8" s="11" t="s">
        <v>382</v>
      </c>
      <c r="B8" s="21" t="s">
        <v>456</v>
      </c>
      <c r="C8" s="35" t="s">
        <v>423</v>
      </c>
      <c r="D8" s="35">
        <v>3</v>
      </c>
      <c r="E8" s="35">
        <v>2</v>
      </c>
      <c r="F8" s="19" t="s">
        <v>394</v>
      </c>
      <c r="G8" s="19" t="s">
        <v>394</v>
      </c>
      <c r="H8" s="19" t="s">
        <v>394</v>
      </c>
      <c r="I8" s="19" t="s">
        <v>394</v>
      </c>
      <c r="J8" s="19" t="s">
        <v>394</v>
      </c>
      <c r="K8" s="24">
        <f t="shared" si="0"/>
        <v>0.25</v>
      </c>
      <c r="L8" s="37">
        <f t="shared" si="1"/>
        <v>1</v>
      </c>
      <c r="M8" s="7" t="s">
        <v>417</v>
      </c>
    </row>
    <row r="9" spans="1:13" ht="42.75">
      <c r="A9" s="11" t="s">
        <v>383</v>
      </c>
      <c r="B9" s="21" t="s">
        <v>418</v>
      </c>
      <c r="C9" s="35" t="s">
        <v>422</v>
      </c>
      <c r="D9" s="35">
        <v>2</v>
      </c>
      <c r="E9" s="35">
        <v>2</v>
      </c>
      <c r="F9" s="19" t="s">
        <v>394</v>
      </c>
      <c r="G9" s="19" t="s">
        <v>394</v>
      </c>
      <c r="H9" s="19" t="s">
        <v>394</v>
      </c>
      <c r="I9" s="19" t="s">
        <v>394</v>
      </c>
      <c r="J9" s="19" t="s">
        <v>394</v>
      </c>
      <c r="K9" s="24">
        <f t="shared" si="0"/>
        <v>0.2</v>
      </c>
      <c r="L9" s="37">
        <f t="shared" si="1"/>
        <v>1</v>
      </c>
      <c r="M9" s="7" t="s">
        <v>417</v>
      </c>
    </row>
    <row r="10" spans="1:13" ht="42.75">
      <c r="A10" s="11" t="s">
        <v>384</v>
      </c>
      <c r="B10" s="21" t="s">
        <v>424</v>
      </c>
      <c r="C10" s="35" t="s">
        <v>394</v>
      </c>
      <c r="D10" s="35">
        <v>3</v>
      </c>
      <c r="E10" s="35">
        <v>3</v>
      </c>
      <c r="F10" s="19" t="s">
        <v>394</v>
      </c>
      <c r="G10" s="19" t="s">
        <v>394</v>
      </c>
      <c r="H10" s="19" t="s">
        <v>394</v>
      </c>
      <c r="I10" s="19" t="s">
        <v>394</v>
      </c>
      <c r="J10" s="19" t="s">
        <v>394</v>
      </c>
      <c r="K10" s="24">
        <f t="shared" si="0"/>
        <v>0.3</v>
      </c>
      <c r="L10" s="37">
        <f t="shared" si="1"/>
        <v>1</v>
      </c>
      <c r="M10" s="7" t="s">
        <v>417</v>
      </c>
    </row>
    <row r="11" spans="1:13" ht="42.75">
      <c r="A11" s="11" t="s">
        <v>385</v>
      </c>
      <c r="B11" s="21" t="s">
        <v>394</v>
      </c>
      <c r="C11" s="35" t="s">
        <v>394</v>
      </c>
      <c r="D11" s="35">
        <v>3</v>
      </c>
      <c r="E11" s="35">
        <v>3</v>
      </c>
      <c r="F11" s="19" t="s">
        <v>394</v>
      </c>
      <c r="G11" s="19" t="s">
        <v>394</v>
      </c>
      <c r="H11" s="19" t="s">
        <v>394</v>
      </c>
      <c r="I11" s="19" t="s">
        <v>394</v>
      </c>
      <c r="J11" s="19" t="s">
        <v>394</v>
      </c>
      <c r="K11" s="24">
        <f t="shared" si="0"/>
        <v>0.3</v>
      </c>
      <c r="L11" s="37">
        <f t="shared" si="1"/>
        <v>1</v>
      </c>
      <c r="M11" s="7" t="s">
        <v>417</v>
      </c>
    </row>
    <row r="12" spans="1:13" ht="42.75">
      <c r="A12" s="11" t="s">
        <v>386</v>
      </c>
      <c r="B12" s="47" t="s">
        <v>457</v>
      </c>
      <c r="C12" s="35" t="s">
        <v>425</v>
      </c>
      <c r="D12" s="35">
        <v>5</v>
      </c>
      <c r="E12" s="35">
        <v>5</v>
      </c>
      <c r="F12" s="19" t="s">
        <v>394</v>
      </c>
      <c r="G12" s="19" t="s">
        <v>394</v>
      </c>
      <c r="H12" s="19" t="s">
        <v>394</v>
      </c>
      <c r="I12" s="19" t="s">
        <v>394</v>
      </c>
      <c r="J12" s="19" t="s">
        <v>394</v>
      </c>
      <c r="K12" s="24">
        <f t="shared" si="0"/>
        <v>0.5</v>
      </c>
      <c r="L12" s="37">
        <f t="shared" si="1"/>
        <v>3</v>
      </c>
      <c r="M12" s="7" t="s">
        <v>417</v>
      </c>
    </row>
    <row r="13" spans="1:13" ht="42.75">
      <c r="A13" s="11" t="s">
        <v>387</v>
      </c>
      <c r="B13" s="21" t="s">
        <v>394</v>
      </c>
      <c r="C13" s="35" t="s">
        <v>394</v>
      </c>
      <c r="D13" s="35">
        <v>5</v>
      </c>
      <c r="E13" s="35">
        <v>4</v>
      </c>
      <c r="F13" s="19" t="s">
        <v>394</v>
      </c>
      <c r="G13" s="19" t="s">
        <v>394</v>
      </c>
      <c r="H13" s="19" t="s">
        <v>394</v>
      </c>
      <c r="I13" s="19" t="s">
        <v>394</v>
      </c>
      <c r="J13" s="19" t="s">
        <v>394</v>
      </c>
      <c r="K13" s="24">
        <f t="shared" si="0"/>
        <v>0.45</v>
      </c>
      <c r="L13" s="37">
        <f t="shared" si="1"/>
        <v>3</v>
      </c>
      <c r="M13" s="7" t="s">
        <v>417</v>
      </c>
    </row>
    <row r="14" spans="1:13" ht="42.75">
      <c r="A14" s="11" t="s">
        <v>389</v>
      </c>
      <c r="B14" s="21" t="s">
        <v>394</v>
      </c>
      <c r="C14" s="35" t="s">
        <v>394</v>
      </c>
      <c r="D14" s="35">
        <v>2</v>
      </c>
      <c r="E14" s="35">
        <v>1</v>
      </c>
      <c r="F14" s="19" t="s">
        <v>394</v>
      </c>
      <c r="G14" s="19" t="s">
        <v>394</v>
      </c>
      <c r="H14" s="19" t="s">
        <v>394</v>
      </c>
      <c r="I14" s="19" t="s">
        <v>394</v>
      </c>
      <c r="J14" s="19" t="s">
        <v>394</v>
      </c>
      <c r="K14" s="24">
        <f t="shared" si="0"/>
        <v>0.15000000000000002</v>
      </c>
      <c r="L14" s="37">
        <f t="shared" si="1"/>
        <v>1</v>
      </c>
      <c r="M14" s="7" t="s">
        <v>417</v>
      </c>
    </row>
    <row r="15" spans="1:13" ht="42.75">
      <c r="A15" s="11" t="s">
        <v>390</v>
      </c>
      <c r="B15" s="21" t="s">
        <v>394</v>
      </c>
      <c r="C15" s="35" t="s">
        <v>394</v>
      </c>
      <c r="D15" s="35">
        <v>4</v>
      </c>
      <c r="E15" s="36">
        <v>4</v>
      </c>
      <c r="F15" s="20" t="s">
        <v>394</v>
      </c>
      <c r="G15" s="20" t="s">
        <v>394</v>
      </c>
      <c r="H15" s="20" t="s">
        <v>394</v>
      </c>
      <c r="I15" s="20" t="s">
        <v>394</v>
      </c>
      <c r="J15" s="20" t="s">
        <v>394</v>
      </c>
      <c r="K15" s="25">
        <f t="shared" si="0"/>
        <v>0.4</v>
      </c>
      <c r="L15" s="38">
        <f t="shared" si="1"/>
        <v>3</v>
      </c>
      <c r="M15" s="5" t="s">
        <v>417</v>
      </c>
    </row>
    <row r="16" spans="1:13" ht="14.25">
      <c r="A16" s="2" t="s">
        <v>177</v>
      </c>
      <c r="B16" s="2" t="s">
        <v>51</v>
      </c>
      <c r="C16" s="2" t="s">
        <v>178</v>
      </c>
      <c r="D16" s="6" t="s">
        <v>106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14.25">
      <c r="A17" s="39" t="s">
        <v>210</v>
      </c>
      <c r="B17" s="27">
        <f>AVERAGE(K4:K15)</f>
        <v>0.35000000000000003</v>
      </c>
      <c r="C17" s="42" t="str">
        <f>IF(B17&gt;=0.7,"высокая",IF(B17&gt;=0.4,"средняя","низкая"))</f>
        <v>низкая</v>
      </c>
      <c r="D17" s="44" t="s">
        <v>211</v>
      </c>
      <c r="E17" s="1"/>
      <c r="F17" s="1"/>
      <c r="G17" s="1"/>
      <c r="H17" s="1"/>
      <c r="I17" s="1"/>
      <c r="J17" s="1"/>
      <c r="K17" s="1"/>
      <c r="L17" s="1"/>
      <c r="M17" s="1"/>
    </row>
    <row r="18" spans="1:13" ht="14.25">
      <c r="A18" s="40" t="s">
        <v>212</v>
      </c>
      <c r="B18" s="28">
        <f>(COUNTIF(F4:F15,"да")+COUNTIF(G4:G15,"да"))/(2*COUNTA(A4:A15))</f>
        <v>0</v>
      </c>
      <c r="C18" s="43" t="str">
        <f>IF(B18&gt;=0.75,"высокая цифровая зрелость",IF(B18&gt;=0.35,"средняя цифровая зрелость","низкая цифровая зрелость"))</f>
        <v>низкая цифровая зрелость</v>
      </c>
      <c r="D18" s="41" t="s">
        <v>213</v>
      </c>
      <c r="E18" s="1"/>
      <c r="F18" s="1"/>
      <c r="G18" s="1"/>
      <c r="H18" s="1"/>
      <c r="I18" s="1"/>
      <c r="J18" s="1"/>
      <c r="K18" s="1"/>
      <c r="L18" s="1"/>
      <c r="M18" s="1"/>
    </row>
  </sheetData>
  <mergeCells count="2">
    <mergeCell ref="A1:M1"/>
    <mergeCell ref="A2:M2"/>
  </mergeCells>
  <dataValidations count="1">
    <dataValidation type="list" sqref="F4:G15" xr:uid="{00000000-0002-0000-0600-000000000000}">
      <formula1>"да,нет"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3"/>
  <sheetViews>
    <sheetView workbookViewId="0"/>
  </sheetViews>
  <sheetFormatPr defaultRowHeight="13.5"/>
  <cols>
    <col min="1" max="1" width="39.25" customWidth="1"/>
    <col min="2" max="2" width="52.5625" customWidth="1"/>
    <col min="3" max="3" width="11.9375" customWidth="1"/>
    <col min="4" max="4" width="23.5" customWidth="1"/>
    <col min="5" max="5" width="10.5625" customWidth="1"/>
    <col min="6" max="6" width="19.3125" customWidth="1"/>
    <col min="7" max="7" width="20.375" customWidth="1"/>
    <col min="8" max="9" width="52.5625" customWidth="1"/>
  </cols>
  <sheetData>
    <row r="1" spans="1:9" ht="20" customHeight="1">
      <c r="A1" s="58" t="s">
        <v>214</v>
      </c>
      <c r="B1" s="58"/>
      <c r="C1" s="58"/>
      <c r="D1" s="58"/>
      <c r="E1" s="58"/>
      <c r="F1" s="58"/>
      <c r="G1" s="58"/>
      <c r="H1" s="58"/>
      <c r="I1" s="59"/>
    </row>
    <row r="2" spans="1:9" ht="20" customHeight="1">
      <c r="A2" s="60" t="s">
        <v>458</v>
      </c>
      <c r="B2" s="60"/>
      <c r="C2" s="60"/>
      <c r="D2" s="60"/>
      <c r="E2" s="60"/>
      <c r="F2" s="60"/>
      <c r="G2" s="60"/>
      <c r="H2" s="60"/>
      <c r="I2" s="65"/>
    </row>
    <row r="3" spans="1:9" ht="14.25">
      <c r="A3" s="2" t="s">
        <v>215</v>
      </c>
      <c r="B3" s="2" t="s">
        <v>216</v>
      </c>
      <c r="C3" s="2" t="s">
        <v>51</v>
      </c>
      <c r="D3" s="2" t="s">
        <v>122</v>
      </c>
      <c r="E3" s="2" t="s">
        <v>217</v>
      </c>
      <c r="F3" s="2" t="s">
        <v>218</v>
      </c>
      <c r="G3" s="2" t="s">
        <v>219</v>
      </c>
      <c r="H3" s="2" t="s">
        <v>220</v>
      </c>
      <c r="I3" s="6" t="s">
        <v>221</v>
      </c>
    </row>
    <row r="4" spans="1:9" ht="14.25">
      <c r="A4" s="3" t="s">
        <v>222</v>
      </c>
      <c r="B4" s="8" t="s">
        <v>223</v>
      </c>
      <c r="C4" s="24">
        <f>'02_Конкуренты_SW'!B18</f>
        <v>0.52342571574197627</v>
      </c>
      <c r="D4" s="48">
        <f>IF(OR('02_Конкуренты_SW'!B18&gt;='01_Параметры'!B10,'02_Конкуренты_SW'!B20&gt;='01_Параметры'!B12),5,IF(OR('02_Конкуренты_SW'!B18&gt;='01_Параметры'!B10*0.65,'02_Конкуренты_SW'!B20&gt;='01_Параметры'!B12*0.65),3,1))</f>
        <v>3</v>
      </c>
      <c r="E4" s="49">
        <v>0.14000000000000001</v>
      </c>
      <c r="F4" s="51">
        <f t="shared" ref="F4:F12" si="0">D4*E4</f>
        <v>0.42000000000000004</v>
      </c>
      <c r="G4" s="8" t="str">
        <f t="shared" ref="G4:G12" si="1">IF(D4&gt;=5,"высокое",IF(D4&gt;=3,"среднее","низкое"))</f>
        <v>среднее</v>
      </c>
      <c r="H4" s="3" t="s">
        <v>224</v>
      </c>
      <c r="I4" s="7" t="s">
        <v>225</v>
      </c>
    </row>
    <row r="5" spans="1:9" ht="28.5">
      <c r="A5" s="3" t="s">
        <v>226</v>
      </c>
      <c r="B5" s="3" t="s">
        <v>227</v>
      </c>
      <c r="C5" s="24">
        <f>'03_Каналы_трафика'!C5</f>
        <v>0.33621024727914578</v>
      </c>
      <c r="D5" s="48">
        <f>'03_Каналы_трафика'!E5</f>
        <v>3</v>
      </c>
      <c r="E5" s="49">
        <v>0.1</v>
      </c>
      <c r="F5" s="51">
        <f t="shared" si="0"/>
        <v>0.30000000000000004</v>
      </c>
      <c r="G5" s="8" t="str">
        <f t="shared" si="1"/>
        <v>среднее</v>
      </c>
      <c r="H5" s="3" t="s">
        <v>228</v>
      </c>
      <c r="I5" s="7" t="s">
        <v>229</v>
      </c>
    </row>
    <row r="6" spans="1:9" ht="14.25">
      <c r="A6" s="3" t="s">
        <v>230</v>
      </c>
      <c r="B6" s="3" t="s">
        <v>231</v>
      </c>
      <c r="C6" s="24">
        <f>AVERAGE('03_Каналы_трафика'!C6,'04_Поиск_реклама'!B15)</f>
        <v>0.2663353104530457</v>
      </c>
      <c r="D6" s="48">
        <f>IF(C6&gt;=0.6,5,IF(C6&gt;=0.35,3,1))</f>
        <v>1</v>
      </c>
      <c r="E6" s="49">
        <v>0.06</v>
      </c>
      <c r="F6" s="51">
        <f t="shared" si="0"/>
        <v>0.06</v>
      </c>
      <c r="G6" s="8" t="str">
        <f t="shared" si="1"/>
        <v>низкое</v>
      </c>
      <c r="H6" s="3" t="s">
        <v>232</v>
      </c>
      <c r="I6" s="7" t="s">
        <v>459</v>
      </c>
    </row>
    <row r="7" spans="1:9" ht="14.25">
      <c r="A7" s="3" t="s">
        <v>233</v>
      </c>
      <c r="B7" s="8" t="s">
        <v>234</v>
      </c>
      <c r="C7" s="24">
        <f>'03_Каналы_трафика'!C10</f>
        <v>0</v>
      </c>
      <c r="D7" s="48">
        <f>'03_Каналы_трафика'!E10</f>
        <v>1</v>
      </c>
      <c r="E7" s="49">
        <v>0.1</v>
      </c>
      <c r="F7" s="51">
        <f t="shared" si="0"/>
        <v>0.1</v>
      </c>
      <c r="G7" s="8" t="str">
        <f t="shared" si="1"/>
        <v>низкое</v>
      </c>
      <c r="H7" s="3" t="s">
        <v>235</v>
      </c>
      <c r="I7" s="7" t="s">
        <v>236</v>
      </c>
    </row>
    <row r="8" spans="1:9" ht="42.75">
      <c r="A8" s="3" t="s">
        <v>237</v>
      </c>
      <c r="B8" s="3" t="s">
        <v>460</v>
      </c>
      <c r="C8" s="24">
        <f>AVERAGE(MIN('03_Каналы_трафика'!C5/'01_Параметры'!B14,1),MIN('03_Каналы_трафика'!C6/'01_Параметры'!B13,1))</f>
        <v>0.48357682701983479</v>
      </c>
      <c r="D8" s="48">
        <f>IF(C8&gt;=0.7,5,IF(C8&gt;=0.4,3,1))</f>
        <v>3</v>
      </c>
      <c r="E8" s="49">
        <v>0.12</v>
      </c>
      <c r="F8" s="51">
        <f t="shared" si="0"/>
        <v>0.36</v>
      </c>
      <c r="G8" s="8" t="str">
        <f t="shared" si="1"/>
        <v>среднее</v>
      </c>
      <c r="H8" s="3" t="s">
        <v>238</v>
      </c>
      <c r="I8" s="7" t="s">
        <v>239</v>
      </c>
    </row>
    <row r="9" spans="1:9" ht="14.25">
      <c r="A9" s="3" t="s">
        <v>240</v>
      </c>
      <c r="B9" s="8" t="s">
        <v>241</v>
      </c>
      <c r="C9" s="24">
        <f>'05_Отзывы_рейтинги'!B17</f>
        <v>0.43351851851851847</v>
      </c>
      <c r="D9" s="48">
        <f>IF(C9&gt;=0.7,5,IF(C9&gt;=0.4,3,1))</f>
        <v>3</v>
      </c>
      <c r="E9" s="49">
        <v>0.12</v>
      </c>
      <c r="F9" s="51">
        <f t="shared" si="0"/>
        <v>0.36</v>
      </c>
      <c r="G9" s="8" t="str">
        <f t="shared" si="1"/>
        <v>среднее</v>
      </c>
      <c r="H9" s="3" t="s">
        <v>242</v>
      </c>
      <c r="I9" s="7" t="s">
        <v>461</v>
      </c>
    </row>
    <row r="10" spans="1:9" ht="28.5">
      <c r="A10" s="3" t="s">
        <v>243</v>
      </c>
      <c r="B10" s="3" t="s">
        <v>244</v>
      </c>
      <c r="C10" s="24">
        <f>'06_Технологии_финансы'!B17</f>
        <v>0.35000000000000003</v>
      </c>
      <c r="D10" s="48">
        <f>IF(C10&gt;=0.7,5,IF(C10&gt;=0.4,3,1))</f>
        <v>1</v>
      </c>
      <c r="E10" s="49">
        <v>0.14000000000000001</v>
      </c>
      <c r="F10" s="51">
        <f t="shared" si="0"/>
        <v>0.14000000000000001</v>
      </c>
      <c r="G10" s="8" t="str">
        <f t="shared" si="1"/>
        <v>низкое</v>
      </c>
      <c r="H10" s="3" t="s">
        <v>245</v>
      </c>
      <c r="I10" s="7" t="s">
        <v>246</v>
      </c>
    </row>
    <row r="11" spans="1:9" ht="28.5">
      <c r="A11" s="3" t="s">
        <v>247</v>
      </c>
      <c r="B11" s="3" t="s">
        <v>426</v>
      </c>
      <c r="C11" s="22">
        <v>0.6</v>
      </c>
      <c r="D11" s="51">
        <f>IF(C11&gt;=0.7,5,IF(C11&gt;=0.4,3,1))</f>
        <v>3</v>
      </c>
      <c r="E11" s="49">
        <v>0.08</v>
      </c>
      <c r="F11" s="51">
        <f t="shared" si="0"/>
        <v>0.24</v>
      </c>
      <c r="G11" s="8" t="str">
        <f t="shared" si="1"/>
        <v>среднее</v>
      </c>
      <c r="H11" s="3" t="s">
        <v>248</v>
      </c>
      <c r="I11" s="7" t="s">
        <v>249</v>
      </c>
    </row>
    <row r="12" spans="1:9" ht="28.5">
      <c r="A12" s="3" t="s">
        <v>250</v>
      </c>
      <c r="B12" s="3" t="s">
        <v>427</v>
      </c>
      <c r="C12" s="22">
        <f>IFERROR(1-SUMPRODUCT(('02_Конкуренты_SW'!B4:B15&lt;&gt;"")*(LEFT('02_Конкуренты_SW'!B4:B15,6)="прямой")*'02_Конкуренты_SW'!E4:E15)/SUM('02_Конкуренты_SW'!E4:E15),0)</f>
        <v>0.72802214851278546</v>
      </c>
      <c r="D12" s="51">
        <f>IF(C12&gt;=0.7,5,IF(C12&gt;=0.4,3,1))</f>
        <v>5</v>
      </c>
      <c r="E12" s="49">
        <v>0.14000000000000001</v>
      </c>
      <c r="F12" s="51">
        <f t="shared" si="0"/>
        <v>0.70000000000000007</v>
      </c>
      <c r="G12" s="8" t="str">
        <f t="shared" si="1"/>
        <v>высокое</v>
      </c>
      <c r="H12" s="3" t="s">
        <v>251</v>
      </c>
      <c r="I12" s="7" t="s">
        <v>462</v>
      </c>
    </row>
    <row r="13" spans="1:9" ht="28.5">
      <c r="A13" s="4" t="s">
        <v>252</v>
      </c>
      <c r="B13" s="9" t="s">
        <v>394</v>
      </c>
      <c r="C13" s="28">
        <f>F13</f>
        <v>2.68</v>
      </c>
      <c r="D13" s="52">
        <f>C13</f>
        <v>2.68</v>
      </c>
      <c r="E13" s="50">
        <v>1</v>
      </c>
      <c r="F13" s="52">
        <f>SUM(F4:F12)/SUM(E4:E12)</f>
        <v>2.68</v>
      </c>
      <c r="G13" s="9" t="str">
        <f>IF(F13&gt;=4,"высокие барьеры",IF(F13&gt;=2.5,"средние барьеры","низкие барьеры"))</f>
        <v>средние барьеры</v>
      </c>
      <c r="H13" s="4" t="s">
        <v>428</v>
      </c>
      <c r="I13" s="5" t="s">
        <v>253</v>
      </c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"/>
  <sheetViews>
    <sheetView workbookViewId="0"/>
  </sheetViews>
  <sheetFormatPr defaultRowHeight="13.5"/>
  <cols>
    <col min="1" max="1" width="39.25" customWidth="1"/>
    <col min="2" max="2" width="19.3125" customWidth="1"/>
    <col min="3" max="3" width="10.5625" customWidth="1"/>
    <col min="4" max="4" width="52.5625" customWidth="1"/>
    <col min="5" max="5" width="10.5625" customWidth="1"/>
    <col min="6" max="6" width="24.5625" customWidth="1"/>
    <col min="7" max="8" width="10.5625" customWidth="1"/>
    <col min="9" max="9" width="19.3125" customWidth="1"/>
    <col min="10" max="12" width="10.5625" customWidth="1"/>
  </cols>
  <sheetData>
    <row r="1" spans="1:12" ht="20" customHeight="1">
      <c r="A1" s="58" t="s">
        <v>254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9"/>
    </row>
    <row r="2" spans="1:12" ht="20" customHeight="1">
      <c r="A2" s="60" t="s">
        <v>255</v>
      </c>
      <c r="B2" s="60"/>
      <c r="C2" s="60"/>
      <c r="D2" s="60"/>
      <c r="E2" s="61"/>
      <c r="F2" s="60"/>
      <c r="G2" s="60"/>
      <c r="H2" s="60"/>
      <c r="I2" s="60"/>
      <c r="J2" s="61"/>
      <c r="K2" s="61"/>
      <c r="L2" s="62"/>
    </row>
    <row r="3" spans="1:12" ht="14.25">
      <c r="A3" s="2" t="s">
        <v>256</v>
      </c>
      <c r="B3" s="2" t="s">
        <v>51</v>
      </c>
      <c r="C3" s="2" t="s">
        <v>52</v>
      </c>
      <c r="D3" s="6" t="s">
        <v>106</v>
      </c>
      <c r="E3" s="1"/>
      <c r="F3" s="2" t="s">
        <v>257</v>
      </c>
      <c r="G3" s="2" t="s">
        <v>258</v>
      </c>
      <c r="H3" s="2" t="s">
        <v>217</v>
      </c>
      <c r="I3" s="6" t="s">
        <v>218</v>
      </c>
      <c r="J3" s="1"/>
      <c r="K3" s="1"/>
      <c r="L3" s="1"/>
    </row>
    <row r="4" spans="1:12" ht="14.25">
      <c r="A4" s="3" t="s">
        <v>259</v>
      </c>
      <c r="B4" s="51">
        <f>'07_Барьеры_входа'!F13</f>
        <v>2.68</v>
      </c>
      <c r="C4" s="8" t="s">
        <v>260</v>
      </c>
      <c r="D4" s="7" t="str">
        <f>IF(B4&gt;=4,"Рынок труден для входа: нужны ресурсы, нишевание или сильное отличие.",IF(B4&gt;=2.5,"Вход возможен при выборе каналов и позиционирования.","Барьеры относительно низкие, но требуется проверка платежеспособности."))</f>
        <v>Вход возможен при выборе каналов и позиционирования.</v>
      </c>
      <c r="E4" s="1"/>
      <c r="F4" s="3" t="s">
        <v>222</v>
      </c>
      <c r="G4" s="51">
        <f>'07_Барьеры_входа'!D4</f>
        <v>3</v>
      </c>
      <c r="H4" s="51">
        <f>'07_Барьеры_входа'!E4</f>
        <v>0.14000000000000001</v>
      </c>
      <c r="I4" s="54">
        <f>'07_Барьеры_входа'!F4</f>
        <v>0.42000000000000004</v>
      </c>
      <c r="J4" s="1"/>
      <c r="K4" s="1"/>
      <c r="L4" s="1"/>
    </row>
    <row r="5" spans="1:12" ht="14.25">
      <c r="A5" s="3" t="s">
        <v>261</v>
      </c>
      <c r="B5" s="8" t="str">
        <f>'07_Барьеры_входа'!G13</f>
        <v>средние барьеры</v>
      </c>
      <c r="C5" s="8" t="s">
        <v>394</v>
      </c>
      <c r="D5" s="13" t="s">
        <v>394</v>
      </c>
      <c r="E5" s="1"/>
      <c r="F5" s="3" t="s">
        <v>262</v>
      </c>
      <c r="G5" s="51">
        <f>'07_Барьеры_входа'!D5</f>
        <v>3</v>
      </c>
      <c r="H5" s="51">
        <f>'07_Барьеры_входа'!E5</f>
        <v>0.1</v>
      </c>
      <c r="I5" s="54">
        <f>'07_Барьеры_входа'!F5</f>
        <v>0.30000000000000004</v>
      </c>
      <c r="J5" s="1"/>
      <c r="K5" s="1"/>
      <c r="L5" s="1"/>
    </row>
    <row r="6" spans="1:12" ht="14.25">
      <c r="A6" s="3" t="s">
        <v>263</v>
      </c>
      <c r="B6" s="27">
        <f>'02_Конкуренты_SW'!B18</f>
        <v>0.52342571574197627</v>
      </c>
      <c r="C6" s="8" t="s">
        <v>69</v>
      </c>
      <c r="D6" s="13" t="str">
        <f>IF(B6&gt;='01_Параметры'!B10,"Высокая концентрация лидеров",IF(B6&gt;='01_Параметры'!B10*0.65,"Средняя концентрация","Низкая концентрация"))</f>
        <v>Средняя концентрация</v>
      </c>
      <c r="E6" s="1"/>
      <c r="F6" s="3" t="s">
        <v>264</v>
      </c>
      <c r="G6" s="51">
        <f>'07_Барьеры_входа'!D6</f>
        <v>1</v>
      </c>
      <c r="H6" s="51">
        <f>'07_Барьеры_входа'!E6</f>
        <v>0.06</v>
      </c>
      <c r="I6" s="54">
        <f>'07_Барьеры_входа'!F6</f>
        <v>0.06</v>
      </c>
      <c r="J6" s="1"/>
      <c r="K6" s="1"/>
      <c r="L6" s="1"/>
    </row>
    <row r="7" spans="1:12" ht="14.25">
      <c r="A7" s="3" t="s">
        <v>265</v>
      </c>
      <c r="B7" s="55">
        <f>'02_Конкуренты_SW'!B20</f>
        <v>1359.7074308568426</v>
      </c>
      <c r="C7" s="8" t="s">
        <v>74</v>
      </c>
      <c r="D7" s="13" t="s">
        <v>394</v>
      </c>
      <c r="E7" s="1"/>
      <c r="F7" s="3" t="s">
        <v>158</v>
      </c>
      <c r="G7" s="51">
        <f>'07_Барьеры_входа'!D7</f>
        <v>1</v>
      </c>
      <c r="H7" s="51">
        <f>'07_Барьеры_входа'!E7</f>
        <v>0.1</v>
      </c>
      <c r="I7" s="54">
        <f>'07_Барьеры_входа'!F7</f>
        <v>0.1</v>
      </c>
      <c r="J7" s="1"/>
      <c r="K7" s="1"/>
      <c r="L7" s="1"/>
    </row>
    <row r="8" spans="1:12" ht="14.25">
      <c r="A8" s="3" t="s">
        <v>266</v>
      </c>
      <c r="B8" s="27">
        <f>'04_Поиск_реклама'!B15</f>
        <v>0.48866666666666669</v>
      </c>
      <c r="C8" s="8" t="s">
        <v>69</v>
      </c>
      <c r="D8" s="13" t="s">
        <v>394</v>
      </c>
      <c r="E8" s="1"/>
      <c r="F8" s="3" t="s">
        <v>267</v>
      </c>
      <c r="G8" s="51">
        <f>'07_Барьеры_входа'!D8</f>
        <v>3</v>
      </c>
      <c r="H8" s="51">
        <f>'07_Барьеры_входа'!E8</f>
        <v>0.12</v>
      </c>
      <c r="I8" s="54">
        <f>'07_Барьеры_входа'!F8</f>
        <v>0.36</v>
      </c>
      <c r="J8" s="1"/>
      <c r="K8" s="1"/>
      <c r="L8" s="1"/>
    </row>
    <row r="9" spans="1:12" ht="14.25">
      <c r="A9" s="3" t="s">
        <v>196</v>
      </c>
      <c r="B9" s="27">
        <f>'05_Отзывы_рейтинги'!B17</f>
        <v>0.43351851851851847</v>
      </c>
      <c r="C9" s="8" t="s">
        <v>69</v>
      </c>
      <c r="D9" s="13" t="s">
        <v>394</v>
      </c>
      <c r="E9" s="1"/>
      <c r="F9" s="3" t="s">
        <v>268</v>
      </c>
      <c r="G9" s="51">
        <f>'07_Барьеры_входа'!D9</f>
        <v>3</v>
      </c>
      <c r="H9" s="51">
        <f>'07_Барьеры_входа'!E9</f>
        <v>0.12</v>
      </c>
      <c r="I9" s="54">
        <f>'07_Барьеры_входа'!F9</f>
        <v>0.36</v>
      </c>
      <c r="J9" s="1"/>
      <c r="K9" s="1"/>
      <c r="L9" s="1"/>
    </row>
    <row r="10" spans="1:12" ht="14.25">
      <c r="A10" s="4" t="s">
        <v>210</v>
      </c>
      <c r="B10" s="28">
        <f>'06_Технологии_финансы'!B17</f>
        <v>0.35000000000000003</v>
      </c>
      <c r="C10" s="9" t="s">
        <v>69</v>
      </c>
      <c r="D10" s="10" t="s">
        <v>394</v>
      </c>
      <c r="E10" s="1"/>
      <c r="F10" s="3" t="s">
        <v>269</v>
      </c>
      <c r="G10" s="51">
        <f>'07_Барьеры_входа'!D10</f>
        <v>1</v>
      </c>
      <c r="H10" s="51">
        <f>'07_Барьеры_входа'!E10</f>
        <v>0.14000000000000001</v>
      </c>
      <c r="I10" s="54">
        <f>'07_Барьеры_входа'!F10</f>
        <v>0.14000000000000001</v>
      </c>
      <c r="J10" s="1"/>
      <c r="K10" s="1"/>
      <c r="L10" s="1"/>
    </row>
    <row r="11" spans="1:12" ht="14.25">
      <c r="A11" s="1"/>
      <c r="B11" s="1"/>
      <c r="C11" s="1"/>
      <c r="D11" s="1"/>
      <c r="E11" s="1"/>
      <c r="F11" s="3" t="s">
        <v>270</v>
      </c>
      <c r="G11" s="51">
        <f>'07_Барьеры_входа'!D11</f>
        <v>3</v>
      </c>
      <c r="H11" s="51">
        <f>'07_Барьеры_входа'!E11</f>
        <v>0.08</v>
      </c>
      <c r="I11" s="54">
        <f>'07_Барьеры_входа'!F11</f>
        <v>0.24</v>
      </c>
      <c r="J11" s="1"/>
      <c r="K11" s="1"/>
      <c r="L11" s="1"/>
    </row>
    <row r="12" spans="1:12" ht="14.25">
      <c r="A12" s="1"/>
      <c r="B12" s="1"/>
      <c r="C12" s="1"/>
      <c r="D12" s="1"/>
      <c r="E12" s="1"/>
      <c r="F12" s="4" t="s">
        <v>271</v>
      </c>
      <c r="G12" s="52">
        <f>'07_Барьеры_входа'!D12</f>
        <v>5</v>
      </c>
      <c r="H12" s="52">
        <f>'07_Барьеры_входа'!E12</f>
        <v>0.14000000000000001</v>
      </c>
      <c r="I12" s="53">
        <f>'07_Барьеры_входа'!F12</f>
        <v>0.70000000000000007</v>
      </c>
      <c r="J12" s="1"/>
      <c r="K12" s="1"/>
      <c r="L12" s="1"/>
    </row>
    <row r="13" spans="1:12" ht="20" customHeight="1">
      <c r="A13" s="63" t="s">
        <v>272</v>
      </c>
      <c r="B13" s="63"/>
      <c r="C13" s="63"/>
      <c r="D13" s="64"/>
      <c r="E13" s="1"/>
      <c r="F13" s="1"/>
      <c r="G13" s="1"/>
      <c r="H13" s="1"/>
      <c r="I13" s="1"/>
      <c r="J13" s="1"/>
      <c r="K13" s="1"/>
      <c r="L13" s="1"/>
    </row>
    <row r="14" spans="1:12" ht="68" customHeight="1">
      <c r="A14" s="60" t="str">
        <f>"По результатам оценки цифровой конкуренции индекс барьеров входа составляет "&amp;ROUND(B4,2)&amp;" из 5, что соответствует уровню: "&amp;B5&amp;". "&amp;"Наиболее значимые факторы давления определены по листу 07_Барьеры_входа. "&amp;"Данные Similarweb и альтернативных источников являются оценочной базой и требуют проверки "&amp;"через фактические коммерческие данные, цены, конверсии и платежеспособность клиентов."</f>
        <v>По результатам оценки цифровой конкуренции индекс барьеров входа составляет 2,68 из 5, что соответствует уровню: средние барьеры. Наиболее значимые факторы давления определены по листу 07_Барьеры_входа. Данные Similarweb и альтернативных источников являются оценочной базой и требуют проверки через фактические коммерческие данные, цены, конверсии и платежеспособность клиентов.</v>
      </c>
      <c r="B14" s="60"/>
      <c r="C14" s="60"/>
      <c r="D14" s="65"/>
      <c r="E14" s="1"/>
      <c r="F14" s="1"/>
      <c r="G14" s="1"/>
      <c r="H14" s="1"/>
      <c r="I14" s="1"/>
      <c r="J14" s="1"/>
      <c r="K14" s="1"/>
      <c r="L14" s="1"/>
    </row>
    <row r="15" spans="1:12" ht="20" customHeight="1">
      <c r="A15" s="60"/>
      <c r="B15" s="60"/>
      <c r="C15" s="60"/>
      <c r="D15" s="65"/>
      <c r="E15" s="1"/>
      <c r="F15" s="1"/>
      <c r="G15" s="1"/>
      <c r="H15" s="1"/>
      <c r="I15" s="1"/>
      <c r="J15" s="1"/>
      <c r="K15" s="1"/>
      <c r="L15" s="1"/>
    </row>
    <row r="16" spans="1:12" ht="20" customHeight="1">
      <c r="A16" s="60"/>
      <c r="B16" s="60"/>
      <c r="C16" s="60"/>
      <c r="D16" s="65"/>
      <c r="E16" s="1"/>
      <c r="F16" s="1"/>
      <c r="G16" s="1"/>
      <c r="H16" s="1"/>
      <c r="I16" s="1"/>
      <c r="J16" s="1"/>
      <c r="K16" s="1"/>
      <c r="L16" s="1"/>
    </row>
    <row r="17" spans="1:12" ht="20" customHeight="1">
      <c r="A17" s="60"/>
      <c r="B17" s="60"/>
      <c r="C17" s="60"/>
      <c r="D17" s="65"/>
      <c r="E17" s="1"/>
      <c r="F17" s="1"/>
      <c r="G17" s="1"/>
      <c r="H17" s="1"/>
      <c r="I17" s="1"/>
      <c r="J17" s="1"/>
      <c r="K17" s="1"/>
      <c r="L17" s="1"/>
    </row>
    <row r="18" spans="1:12" ht="20" customHeight="1">
      <c r="A18" s="60"/>
      <c r="B18" s="60"/>
      <c r="C18" s="60"/>
      <c r="D18" s="65"/>
      <c r="E18" s="1"/>
      <c r="F18" s="1"/>
      <c r="G18" s="1"/>
      <c r="H18" s="1"/>
      <c r="I18" s="1"/>
      <c r="J18" s="1"/>
      <c r="K18" s="1"/>
      <c r="L18" s="1"/>
    </row>
    <row r="19" spans="1:12" ht="20" customHeight="1">
      <c r="A19" s="61"/>
      <c r="B19" s="61"/>
      <c r="C19" s="61"/>
      <c r="D19" s="62"/>
      <c r="E19" s="1"/>
      <c r="F19" s="1"/>
      <c r="G19" s="1"/>
      <c r="H19" s="1"/>
      <c r="I19" s="1"/>
      <c r="J19" s="1"/>
      <c r="K19" s="1"/>
      <c r="L19" s="1"/>
    </row>
  </sheetData>
  <mergeCells count="4">
    <mergeCell ref="A1:L1"/>
    <mergeCell ref="A2:L2"/>
    <mergeCell ref="A13:D13"/>
    <mergeCell ref="A14:D1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"/>
  <sheetViews>
    <sheetView workbookViewId="0"/>
  </sheetViews>
  <sheetFormatPr defaultRowHeight="13.5"/>
  <cols>
    <col min="1" max="1" width="35.0625" customWidth="1"/>
    <col min="2" max="3" width="52.5625" customWidth="1"/>
    <col min="4" max="4" width="50.8125" customWidth="1"/>
    <col min="5" max="5" width="51.875" customWidth="1"/>
    <col min="6" max="6" width="18.25" customWidth="1"/>
    <col min="7" max="7" width="52.5625" customWidth="1"/>
  </cols>
  <sheetData>
    <row r="1" spans="1:7" ht="20" customHeight="1">
      <c r="A1" s="58" t="s">
        <v>273</v>
      </c>
      <c r="B1" s="58"/>
      <c r="C1" s="58"/>
      <c r="D1" s="58"/>
      <c r="E1" s="58"/>
      <c r="F1" s="58"/>
      <c r="G1" s="59"/>
    </row>
    <row r="2" spans="1:7" ht="20" customHeight="1">
      <c r="A2" s="60" t="s">
        <v>463</v>
      </c>
      <c r="B2" s="60"/>
      <c r="C2" s="60"/>
      <c r="D2" s="60"/>
      <c r="E2" s="60"/>
      <c r="F2" s="60"/>
      <c r="G2" s="65"/>
    </row>
    <row r="3" spans="1:7" ht="14.25">
      <c r="A3" s="2" t="s">
        <v>124</v>
      </c>
      <c r="B3" s="2" t="s">
        <v>274</v>
      </c>
      <c r="C3" s="2" t="s">
        <v>275</v>
      </c>
      <c r="D3" s="2" t="s">
        <v>276</v>
      </c>
      <c r="E3" s="2" t="s">
        <v>277</v>
      </c>
      <c r="F3" s="2" t="s">
        <v>278</v>
      </c>
      <c r="G3" s="6" t="s">
        <v>279</v>
      </c>
    </row>
    <row r="4" spans="1:7" ht="28.5">
      <c r="A4" s="3" t="s">
        <v>129</v>
      </c>
      <c r="B4" s="3" t="s">
        <v>280</v>
      </c>
      <c r="C4" s="3" t="s">
        <v>281</v>
      </c>
      <c r="D4" s="3" t="s">
        <v>282</v>
      </c>
      <c r="E4" s="3" t="s">
        <v>465</v>
      </c>
      <c r="F4" s="56">
        <v>46298</v>
      </c>
      <c r="G4" s="7" t="s">
        <v>283</v>
      </c>
    </row>
    <row r="5" spans="1:7" ht="14.25">
      <c r="A5" s="3" t="s">
        <v>284</v>
      </c>
      <c r="B5" s="8" t="s">
        <v>285</v>
      </c>
      <c r="C5" s="3" t="s">
        <v>286</v>
      </c>
      <c r="D5" s="8" t="s">
        <v>287</v>
      </c>
      <c r="E5" s="3" t="s">
        <v>288</v>
      </c>
      <c r="F5" s="56">
        <v>46298</v>
      </c>
      <c r="G5" s="7" t="s">
        <v>289</v>
      </c>
    </row>
    <row r="6" spans="1:7" ht="14.25">
      <c r="A6" s="3" t="s">
        <v>290</v>
      </c>
      <c r="B6" s="8" t="s">
        <v>291</v>
      </c>
      <c r="C6" s="3" t="s">
        <v>292</v>
      </c>
      <c r="D6" s="8" t="s">
        <v>293</v>
      </c>
      <c r="E6" s="8" t="s">
        <v>294</v>
      </c>
      <c r="F6" s="56">
        <v>46298</v>
      </c>
      <c r="G6" s="13" t="s">
        <v>295</v>
      </c>
    </row>
    <row r="7" spans="1:7" ht="14.25">
      <c r="A7" s="3" t="s">
        <v>296</v>
      </c>
      <c r="B7" s="8" t="s">
        <v>297</v>
      </c>
      <c r="C7" s="3" t="s">
        <v>298</v>
      </c>
      <c r="D7" s="3" t="s">
        <v>299</v>
      </c>
      <c r="E7" s="8" t="s">
        <v>300</v>
      </c>
      <c r="F7" s="56">
        <v>46298</v>
      </c>
      <c r="G7" s="7" t="s">
        <v>301</v>
      </c>
    </row>
    <row r="8" spans="1:7" ht="14.25">
      <c r="A8" s="3" t="s">
        <v>302</v>
      </c>
      <c r="B8" s="8" t="s">
        <v>303</v>
      </c>
      <c r="C8" s="3" t="s">
        <v>304</v>
      </c>
      <c r="D8" s="8" t="s">
        <v>305</v>
      </c>
      <c r="E8" s="8" t="s">
        <v>306</v>
      </c>
      <c r="F8" s="56">
        <v>46298</v>
      </c>
      <c r="G8" s="7" t="s">
        <v>307</v>
      </c>
    </row>
    <row r="9" spans="1:7" ht="14.25">
      <c r="A9" s="3" t="s">
        <v>308</v>
      </c>
      <c r="B9" s="8" t="s">
        <v>309</v>
      </c>
      <c r="C9" s="3" t="s">
        <v>310</v>
      </c>
      <c r="D9" s="8" t="s">
        <v>311</v>
      </c>
      <c r="E9" s="8" t="s">
        <v>312</v>
      </c>
      <c r="F9" s="56">
        <v>46298</v>
      </c>
      <c r="G9" s="7" t="s">
        <v>313</v>
      </c>
    </row>
    <row r="10" spans="1:7" ht="14.25">
      <c r="A10" s="3" t="s">
        <v>314</v>
      </c>
      <c r="B10" s="8" t="s">
        <v>315</v>
      </c>
      <c r="C10" s="3" t="s">
        <v>316</v>
      </c>
      <c r="D10" s="3" t="s">
        <v>317</v>
      </c>
      <c r="E10" s="8" t="s">
        <v>318</v>
      </c>
      <c r="F10" s="56">
        <v>46298</v>
      </c>
      <c r="G10" s="7" t="s">
        <v>319</v>
      </c>
    </row>
    <row r="11" spans="1:7" ht="14.25">
      <c r="A11" s="3" t="s">
        <v>320</v>
      </c>
      <c r="B11" s="8" t="s">
        <v>321</v>
      </c>
      <c r="C11" s="8" t="s">
        <v>322</v>
      </c>
      <c r="D11" s="8" t="s">
        <v>323</v>
      </c>
      <c r="E11" s="8" t="s">
        <v>324</v>
      </c>
      <c r="F11" s="56">
        <v>46298</v>
      </c>
      <c r="G11" s="7" t="s">
        <v>325</v>
      </c>
    </row>
    <row r="12" spans="1:7" ht="14.25">
      <c r="A12" s="3" t="s">
        <v>326</v>
      </c>
      <c r="B12" s="8" t="s">
        <v>327</v>
      </c>
      <c r="C12" s="3" t="s">
        <v>328</v>
      </c>
      <c r="D12" s="8" t="s">
        <v>323</v>
      </c>
      <c r="E12" s="8" t="s">
        <v>324</v>
      </c>
      <c r="F12" s="56">
        <v>46298</v>
      </c>
      <c r="G12" s="13" t="s">
        <v>329</v>
      </c>
    </row>
    <row r="13" spans="1:7" ht="14.25">
      <c r="A13" s="3" t="s">
        <v>330</v>
      </c>
      <c r="B13" s="3" t="s">
        <v>331</v>
      </c>
      <c r="C13" s="3" t="s">
        <v>332</v>
      </c>
      <c r="D13" s="8" t="s">
        <v>333</v>
      </c>
      <c r="E13" s="3" t="s">
        <v>334</v>
      </c>
      <c r="F13" s="56">
        <v>46298</v>
      </c>
      <c r="G13" s="13" t="s">
        <v>335</v>
      </c>
    </row>
    <row r="14" spans="1:7" ht="14.25">
      <c r="A14" s="3" t="s">
        <v>336</v>
      </c>
      <c r="B14" s="3" t="s">
        <v>337</v>
      </c>
      <c r="C14" s="3" t="s">
        <v>338</v>
      </c>
      <c r="D14" s="8" t="s">
        <v>333</v>
      </c>
      <c r="E14" s="8" t="s">
        <v>339</v>
      </c>
      <c r="F14" s="56">
        <v>46298</v>
      </c>
      <c r="G14" s="7" t="s">
        <v>340</v>
      </c>
    </row>
    <row r="15" spans="1:7" ht="14.25">
      <c r="A15" s="3" t="s">
        <v>341</v>
      </c>
      <c r="B15" s="3" t="s">
        <v>342</v>
      </c>
      <c r="C15" s="3" t="s">
        <v>343</v>
      </c>
      <c r="D15" s="8" t="s">
        <v>344</v>
      </c>
      <c r="E15" s="8" t="s">
        <v>339</v>
      </c>
      <c r="F15" s="56">
        <v>46298</v>
      </c>
      <c r="G15" s="13" t="s">
        <v>345</v>
      </c>
    </row>
    <row r="16" spans="1:7" ht="14.25">
      <c r="A16" s="3" t="s">
        <v>346</v>
      </c>
      <c r="B16" s="3" t="s">
        <v>347</v>
      </c>
      <c r="C16" s="3" t="s">
        <v>348</v>
      </c>
      <c r="D16" s="3" t="s">
        <v>349</v>
      </c>
      <c r="E16" s="8" t="s">
        <v>339</v>
      </c>
      <c r="F16" s="56">
        <v>46298</v>
      </c>
      <c r="G16" s="7" t="s">
        <v>350</v>
      </c>
    </row>
    <row r="17" spans="1:7" ht="14.25">
      <c r="A17" s="3" t="s">
        <v>351</v>
      </c>
      <c r="B17" s="8" t="s">
        <v>352</v>
      </c>
      <c r="C17" s="8" t="s">
        <v>353</v>
      </c>
      <c r="D17" s="3" t="s">
        <v>354</v>
      </c>
      <c r="E17" s="8" t="s">
        <v>355</v>
      </c>
      <c r="F17" s="56">
        <v>46298</v>
      </c>
      <c r="G17" s="13" t="s">
        <v>356</v>
      </c>
    </row>
    <row r="18" spans="1:7" ht="14.25">
      <c r="A18" s="3" t="s">
        <v>357</v>
      </c>
      <c r="B18" s="3" t="s">
        <v>358</v>
      </c>
      <c r="C18" s="3" t="s">
        <v>359</v>
      </c>
      <c r="D18" s="3" t="s">
        <v>360</v>
      </c>
      <c r="E18" s="8" t="s">
        <v>361</v>
      </c>
      <c r="F18" s="56">
        <v>46298</v>
      </c>
      <c r="G18" s="7" t="s">
        <v>362</v>
      </c>
    </row>
    <row r="19" spans="1:7" ht="28.5">
      <c r="A19" s="4" t="s">
        <v>363</v>
      </c>
      <c r="B19" s="9" t="s">
        <v>364</v>
      </c>
      <c r="C19" s="4" t="s">
        <v>365</v>
      </c>
      <c r="D19" s="4" t="s">
        <v>366</v>
      </c>
      <c r="E19" s="9" t="s">
        <v>367</v>
      </c>
      <c r="F19" s="57">
        <v>46298</v>
      </c>
      <c r="G19" s="5" t="s">
        <v>368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02_Конкуренты_SW</vt:lpstr>
      <vt:lpstr>03_Каналы_трафика</vt:lpstr>
      <vt:lpstr>04_Поиск_реклама</vt:lpstr>
      <vt:lpstr>05_Отзывы_рейтинги</vt:lpstr>
      <vt:lpstr>06_Технологии_финансы</vt:lpstr>
      <vt:lpstr>07_Барьеры_входа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created xsi:type="dcterms:W3CDTF">2026-10-06T20:51:22Z</dcterms:created>
  <dcterms:modified xsi:type="dcterms:W3CDTF">2026-10-06T21:28:36Z</dcterms:modified>
</cp:coreProperties>
</file>