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bleMind_EB\.claude\worktrees\handoff-continuation-89518d\ЛР4_Пять_сил_Портера\Excel\"/>
    </mc:Choice>
  </mc:AlternateContent>
  <xr:revisionPtr revIDLastSave="0" documentId="13_ncr:1_{69C86C34-53C1-4504-9CBA-F3D7913C539D}" xr6:coauthVersionLast="47" xr6:coauthVersionMax="47" xr10:uidLastSave="{00000000-0000-0000-0000-000000000000}"/>
  <bookViews>
    <workbookView xWindow="2205" yWindow="458" windowWidth="12022" windowHeight="10972" xr2:uid="{00000000-000D-0000-FFFF-FFFF00000000}"/>
  </bookViews>
  <sheets>
    <sheet name="00_Методика" sheetId="1" r:id="rId1"/>
    <sheet name="01_Параметры" sheetId="2" r:id="rId2"/>
    <sheet name="02_Конкуренты_SW" sheetId="3" r:id="rId3"/>
    <sheet name="03_Каналы_трафика" sheetId="4" r:id="rId4"/>
    <sheet name="04_Поиск_реклама" sheetId="5" r:id="rId5"/>
    <sheet name="05_Отзывы_рейтинги" sheetId="6" r:id="rId6"/>
    <sheet name="06_Технологии_финансы" sheetId="7" r:id="rId7"/>
    <sheet name="07_Барьеры_входа" sheetId="8" r:id="rId8"/>
    <sheet name="08_Дашборд" sheetId="9" r:id="rId9"/>
    <sheet name="09_Источники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" i="5" l="1"/>
  <c r="C37" i="5"/>
  <c r="B38" i="7"/>
  <c r="C38" i="7" s="1"/>
  <c r="K33" i="7"/>
  <c r="L33" i="7" s="1"/>
  <c r="K32" i="7"/>
  <c r="L32" i="7" s="1"/>
  <c r="K31" i="7"/>
  <c r="L31" i="7" s="1"/>
  <c r="K30" i="7"/>
  <c r="L30" i="7" s="1"/>
  <c r="K29" i="7"/>
  <c r="L29" i="7" s="1"/>
  <c r="K28" i="7"/>
  <c r="L28" i="7" s="1"/>
  <c r="K27" i="7"/>
  <c r="L27" i="7" s="1"/>
  <c r="K26" i="7"/>
  <c r="L26" i="7" s="1"/>
  <c r="K25" i="7"/>
  <c r="L25" i="7" s="1"/>
  <c r="K24" i="7"/>
  <c r="L24" i="7" s="1"/>
  <c r="K23" i="7"/>
  <c r="L23" i="7" s="1"/>
  <c r="K22" i="7"/>
  <c r="L22" i="7" s="1"/>
  <c r="K21" i="7"/>
  <c r="L21" i="7" s="1"/>
  <c r="K20" i="7"/>
  <c r="L20" i="7" s="1"/>
  <c r="K19" i="7"/>
  <c r="L19" i="7" s="1"/>
  <c r="K18" i="7"/>
  <c r="L18" i="7" s="1"/>
  <c r="K17" i="7"/>
  <c r="L17" i="7" s="1"/>
  <c r="K16" i="7"/>
  <c r="L16" i="7" s="1"/>
  <c r="K15" i="7"/>
  <c r="L15" i="7" s="1"/>
  <c r="K14" i="7"/>
  <c r="L14" i="7" s="1"/>
  <c r="K13" i="7"/>
  <c r="L13" i="7" s="1"/>
  <c r="K12" i="7"/>
  <c r="L12" i="7" s="1"/>
  <c r="K11" i="7"/>
  <c r="L11" i="7" s="1"/>
  <c r="K10" i="7"/>
  <c r="L10" i="7" s="1"/>
  <c r="K9" i="7"/>
  <c r="L9" i="7" s="1"/>
  <c r="K8" i="7"/>
  <c r="L8" i="7" s="1"/>
  <c r="K7" i="7"/>
  <c r="L7" i="7" s="1"/>
  <c r="K6" i="7"/>
  <c r="L6" i="7" s="1"/>
  <c r="K5" i="7"/>
  <c r="L5" i="7" s="1"/>
  <c r="K4" i="7"/>
  <c r="L4" i="7" s="1"/>
  <c r="B38" i="6"/>
  <c r="C38" i="6" s="1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L13" i="6"/>
  <c r="M13" i="6" s="1"/>
  <c r="L12" i="6"/>
  <c r="M12" i="6" s="1"/>
  <c r="M11" i="6"/>
  <c r="L11" i="6"/>
  <c r="M10" i="6"/>
  <c r="L10" i="6"/>
  <c r="M9" i="6"/>
  <c r="L9" i="6"/>
  <c r="M8" i="6"/>
  <c r="L8" i="6"/>
  <c r="M7" i="6"/>
  <c r="L7" i="6"/>
  <c r="M6" i="6"/>
  <c r="L6" i="6"/>
  <c r="L5" i="6"/>
  <c r="M5" i="6" s="1"/>
  <c r="L4" i="6"/>
  <c r="M4" i="6" s="1"/>
  <c r="L33" i="5"/>
  <c r="K33" i="5"/>
  <c r="L32" i="5"/>
  <c r="K32" i="5"/>
  <c r="L31" i="5"/>
  <c r="K31" i="5"/>
  <c r="L30" i="5"/>
  <c r="K30" i="5"/>
  <c r="K29" i="5"/>
  <c r="L29" i="5" s="1"/>
  <c r="K28" i="5"/>
  <c r="L28" i="5" s="1"/>
  <c r="K27" i="5"/>
  <c r="L27" i="5" s="1"/>
  <c r="L26" i="5"/>
  <c r="K26" i="5"/>
  <c r="L25" i="5"/>
  <c r="K25" i="5"/>
  <c r="L24" i="5"/>
  <c r="K24" i="5"/>
  <c r="L23" i="5"/>
  <c r="K23" i="5"/>
  <c r="L22" i="5"/>
  <c r="K22" i="5"/>
  <c r="K21" i="5"/>
  <c r="L21" i="5" s="1"/>
  <c r="K20" i="5"/>
  <c r="L20" i="5" s="1"/>
  <c r="K19" i="5"/>
  <c r="L19" i="5" s="1"/>
  <c r="L18" i="5"/>
  <c r="K18" i="5"/>
  <c r="L17" i="5"/>
  <c r="K17" i="5"/>
  <c r="L16" i="5"/>
  <c r="K16" i="5"/>
  <c r="L15" i="5"/>
  <c r="K15" i="5"/>
  <c r="L14" i="5"/>
  <c r="K14" i="5"/>
  <c r="K13" i="5"/>
  <c r="L13" i="5" s="1"/>
  <c r="K12" i="5"/>
  <c r="L12" i="5" s="1"/>
  <c r="K11" i="5"/>
  <c r="L11" i="5" s="1"/>
  <c r="L10" i="5"/>
  <c r="K10" i="5"/>
  <c r="L9" i="5"/>
  <c r="K9" i="5"/>
  <c r="L8" i="5"/>
  <c r="K8" i="5"/>
  <c r="L7" i="5"/>
  <c r="K7" i="5"/>
  <c r="L6" i="5"/>
  <c r="K6" i="5"/>
  <c r="K5" i="5"/>
  <c r="L5" i="5" s="1"/>
  <c r="K4" i="5"/>
  <c r="B37" i="5" s="1"/>
  <c r="B9" i="2"/>
  <c r="H13" i="9"/>
  <c r="H12" i="9"/>
  <c r="H11" i="9"/>
  <c r="H10" i="9"/>
  <c r="H9" i="9"/>
  <c r="H8" i="9"/>
  <c r="H7" i="9"/>
  <c r="H6" i="9"/>
  <c r="H5" i="9"/>
  <c r="D11" i="8"/>
  <c r="G12" i="9" s="1"/>
  <c r="D10" i="4"/>
  <c r="D6" i="4"/>
  <c r="D5" i="4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C12" i="8" s="1"/>
  <c r="D12" i="8" s="1"/>
  <c r="L4" i="5" l="1"/>
  <c r="B38" i="5" s="1"/>
  <c r="G12" i="8"/>
  <c r="F12" i="8"/>
  <c r="I13" i="9" s="1"/>
  <c r="G13" i="9"/>
  <c r="B9" i="9"/>
  <c r="B10" i="2"/>
  <c r="F11" i="3"/>
  <c r="F13" i="3"/>
  <c r="F8" i="3"/>
  <c r="C6" i="4"/>
  <c r="F25" i="3"/>
  <c r="F10" i="3"/>
  <c r="F26" i="3"/>
  <c r="F27" i="3"/>
  <c r="F12" i="3"/>
  <c r="F28" i="3"/>
  <c r="F29" i="3"/>
  <c r="F15" i="3"/>
  <c r="F31" i="3"/>
  <c r="F16" i="3"/>
  <c r="F32" i="3"/>
  <c r="F17" i="3"/>
  <c r="F33" i="3"/>
  <c r="F18" i="3"/>
  <c r="F19" i="3"/>
  <c r="F30" i="3"/>
  <c r="F24" i="3"/>
  <c r="F9" i="3"/>
  <c r="C9" i="4"/>
  <c r="E9" i="4" s="1"/>
  <c r="F20" i="3"/>
  <c r="F5" i="3"/>
  <c r="F21" i="3"/>
  <c r="F23" i="3"/>
  <c r="G11" i="8"/>
  <c r="C8" i="4"/>
  <c r="E8" i="4" s="1"/>
  <c r="B37" i="7"/>
  <c r="B37" i="3"/>
  <c r="C10" i="4"/>
  <c r="F4" i="3"/>
  <c r="F7" i="3"/>
  <c r="C7" i="4"/>
  <c r="E7" i="4" s="1"/>
  <c r="B37" i="6"/>
  <c r="B41" i="3"/>
  <c r="F11" i="8"/>
  <c r="I12" i="9" s="1"/>
  <c r="C4" i="4"/>
  <c r="E4" i="4" s="1"/>
  <c r="C5" i="4"/>
  <c r="C8" i="8" s="1"/>
  <c r="F6" i="3"/>
  <c r="F14" i="3"/>
  <c r="F22" i="3"/>
  <c r="D8" i="8" l="1"/>
  <c r="G8" i="8" s="1"/>
  <c r="C6" i="8"/>
  <c r="D6" i="8" s="1"/>
  <c r="F6" i="8" s="1"/>
  <c r="I7" i="9" s="1"/>
  <c r="E6" i="4"/>
  <c r="E10" i="4"/>
  <c r="D7" i="8" s="1"/>
  <c r="C7" i="8"/>
  <c r="C10" i="8"/>
  <c r="D10" i="8" s="1"/>
  <c r="C37" i="7"/>
  <c r="B11" i="9"/>
  <c r="B38" i="3"/>
  <c r="B40" i="3"/>
  <c r="B8" i="9" s="1"/>
  <c r="B39" i="3"/>
  <c r="E5" i="4"/>
  <c r="D5" i="8" s="1"/>
  <c r="C5" i="8"/>
  <c r="C9" i="8"/>
  <c r="D9" i="8" s="1"/>
  <c r="C37" i="6"/>
  <c r="B10" i="9"/>
  <c r="G7" i="9" l="1"/>
  <c r="F8" i="8"/>
  <c r="I9" i="9" s="1"/>
  <c r="G9" i="9"/>
  <c r="G6" i="8"/>
  <c r="F9" i="8"/>
  <c r="I10" i="9" s="1"/>
  <c r="G9" i="8"/>
  <c r="G10" i="9"/>
  <c r="G5" i="8"/>
  <c r="F5" i="8"/>
  <c r="I6" i="9" s="1"/>
  <c r="G6" i="9"/>
  <c r="D4" i="8"/>
  <c r="C4" i="8"/>
  <c r="B7" i="9"/>
  <c r="D7" i="9" s="1"/>
  <c r="G10" i="8"/>
  <c r="F10" i="8"/>
  <c r="I11" i="9" s="1"/>
  <c r="G11" i="9"/>
  <c r="G8" i="9"/>
  <c r="G7" i="8"/>
  <c r="F7" i="8"/>
  <c r="I8" i="9" s="1"/>
  <c r="G5" i="9" l="1"/>
  <c r="G4" i="8"/>
  <c r="F4" i="8"/>
  <c r="F13" i="8" s="1"/>
  <c r="C13" i="8" s="1"/>
  <c r="I5" i="9" l="1"/>
  <c r="D13" i="8"/>
  <c r="B5" i="9" l="1"/>
  <c r="G13" i="8"/>
  <c r="B6" i="9" s="1"/>
  <c r="D5" i="9" l="1"/>
  <c r="A15" i="9"/>
</calcChain>
</file>

<file path=xl/sharedStrings.xml><?xml version="1.0" encoding="utf-8"?>
<sst xmlns="http://schemas.openxmlformats.org/spreadsheetml/2006/main" count="573" uniqueCount="446">
  <si>
    <t>Excel-шаблон оценки уровня конкуренции и барьеров входа</t>
  </si>
  <si>
    <t>Расчетная модель на основе Similarweb и альтернативных источников цифровых данных</t>
  </si>
  <si>
    <t>Блок</t>
  </si>
  <si>
    <t>Назначение</t>
  </si>
  <si>
    <t>Что заполняет пользователь</t>
  </si>
  <si>
    <t>Что рассчитывается</t>
  </si>
  <si>
    <t>Как использовать результат</t>
  </si>
  <si>
    <t>01_Параметры</t>
  </si>
  <si>
    <t>Задает границы рынка, пороги и веса факторов.</t>
  </si>
  <si>
    <t>Название рынка, география, период, веса факторов.</t>
  </si>
  <si>
    <t>Итоговые индексы и шкалы оценки.</t>
  </si>
  <si>
    <t>Используется всеми расчетными листами.</t>
  </si>
  <si>
    <t>02_Конкуренты_SW</t>
  </si>
  <si>
    <t>Фиксирует конкурентов и данные Similarweb.</t>
  </si>
  <si>
    <t>Сайты, визиты, география, каналы, вовлеченность.</t>
  </si>
  <si>
    <t>Релевантный трафик, доля трафика, концентрация.</t>
  </si>
  <si>
    <t>Показывает структуру цифровой конкуренции.</t>
  </si>
  <si>
    <t>03_Каналы_трафика</t>
  </si>
  <si>
    <t>Оценивает давление каналов привлечения.</t>
  </si>
  <si>
    <t>Проверяются доли каналов по конкурентам.</t>
  </si>
  <si>
    <t>Взвешенные доли organic/paid/social/referral/direct.</t>
  </si>
  <si>
    <t>Показывает, где вход на рынок дороже.</t>
  </si>
  <si>
    <t>04_Поиск_реклама</t>
  </si>
  <si>
    <t>Оценивает поисковую и рекламную конкуренцию.</t>
  </si>
  <si>
    <t>Запросы, частотность, цена клика, сложность, активность рекламы.</t>
  </si>
  <si>
    <t>Индекс рекламного и SEO-давления.</t>
  </si>
  <si>
    <t>Помогает оценить стоимость входа через поиск и рекламу.</t>
  </si>
  <si>
    <t>05_Отзывы_рейтинги</t>
  </si>
  <si>
    <t>Оценивает репутационные барьеры.</t>
  </si>
  <si>
    <t>Отзывы, рейтинги, число кейсов, возраст бренда.</t>
  </si>
  <si>
    <t>Индекс доверия действующих игроков.</t>
  </si>
  <si>
    <t>Показывает, насколько трудно новому бизнесу получить доверие.</t>
  </si>
  <si>
    <t>06_Технологии_финансы</t>
  </si>
  <si>
    <t>Оценивает технологические и ресурсные барьеры.</t>
  </si>
  <si>
    <t>Стек сайта, автоматизация, финансирование, команда, рекламные библиотеки.</t>
  </si>
  <si>
    <t>Индекс технологической силы конкурентов.</t>
  </si>
  <si>
    <t>Показывает, насколько конкуренты защищены ресурсами и инфраструктурой.</t>
  </si>
  <si>
    <t>07_Барьеры_входа</t>
  </si>
  <si>
    <t>Сводит все факторы в единую оценку.</t>
  </si>
  <si>
    <t>При необходимости корректируются баллы и веса.</t>
  </si>
  <si>
    <t>Интегральный индекс барьеров входа.</t>
  </si>
  <si>
    <t>Дает итоговый вывод: низкие, средние или высокие барьеры.</t>
  </si>
  <si>
    <t>08_Дашборд</t>
  </si>
  <si>
    <t>Показывает итоговые показатели.</t>
  </si>
  <si>
    <t>Не заполняется вручную.</t>
  </si>
  <si>
    <t>KPI, графики, финальная интерпретация.</t>
  </si>
  <si>
    <t>Используется для отчета и презентации.</t>
  </si>
  <si>
    <t>09_Источники</t>
  </si>
  <si>
    <t>Фиксирует источники данных.</t>
  </si>
  <si>
    <t>Ссылки, дата обращения, комментарии.</t>
  </si>
  <si>
    <t>Журнал доказательной базы.</t>
  </si>
  <si>
    <t>Повышает воспроизводимость анализа.</t>
  </si>
  <si>
    <t>Ключевое правило интерпретации</t>
  </si>
  <si>
    <t>Similarweb и аналогичные сервисы дают оценочные цифровые сигналы: посещаемость, каналы трафика, географию, поисковые запросы и конкурентное окружение. Их нельзя механически превращать в точный размер рынка. Для оценки барьеров входа используйте несколько источников: Similarweb, Semrush/Ahrefs, G2/Capterra/Trustpilot, Crunchbase, BuiltWith/Wappalyzer, рекламные библиотеки и данные маркетплейсов.</t>
  </si>
  <si>
    <t>Параметры оценки конкуренции и барьеров входа</t>
  </si>
  <si>
    <t>Желтые ячейки заполняются пользователем; зеленые рассчитываются формулами</t>
  </si>
  <si>
    <t>Параметр</t>
  </si>
  <si>
    <t>Значение</t>
  </si>
  <si>
    <t>Ед.</t>
  </si>
  <si>
    <t>Тип</t>
  </si>
  <si>
    <t>Комментарий</t>
  </si>
  <si>
    <t>Источник/лист</t>
  </si>
  <si>
    <t>Название рынка</t>
  </si>
  <si>
    <t>ввод</t>
  </si>
  <si>
    <t>Укажите анализируемый рынок после фиксации его границ.</t>
  </si>
  <si>
    <t>География</t>
  </si>
  <si>
    <t>Страна, регион или город анализа.</t>
  </si>
  <si>
    <t>Период анализа Similarweb</t>
  </si>
  <si>
    <t>Период, по которому фиксируются данные Similarweb.</t>
  </si>
  <si>
    <t>Дата обновления модели</t>
  </si>
  <si>
    <t>Число конкурентов в выборке</t>
  </si>
  <si>
    <t>сайтов</t>
  </si>
  <si>
    <t>формула</t>
  </si>
  <si>
    <t>Суммарный релевантный трафик</t>
  </si>
  <si>
    <t>визитов/мес.</t>
  </si>
  <si>
    <t>Порог высокого CR3</t>
  </si>
  <si>
    <t>%</t>
  </si>
  <si>
    <t>Если 3 лидера контролируют больше порога, рынок концентрирован.</t>
  </si>
  <si>
    <t>Порог высокого CR5</t>
  </si>
  <si>
    <t>Если 5 лидеров контролируют больше порога, вход труднее.</t>
  </si>
  <si>
    <t>Порог высокого HHI</t>
  </si>
  <si>
    <t>индекс</t>
  </si>
  <si>
    <t>Ориентир высокой концентрации по долям трафика.</t>
  </si>
  <si>
    <t>Порог высокой доли платного трафика</t>
  </si>
  <si>
    <t>Высокая доля paid traffic означает дорогой вход через рекламу.</t>
  </si>
  <si>
    <t>Порог высокой доли органики</t>
  </si>
  <si>
    <t>Высокая доля органики означает сильную SEO-позицию конкурентов.</t>
  </si>
  <si>
    <t>Порог высокой брендовой силы</t>
  </si>
  <si>
    <t>Прямой + брендовый трафик как признак узнаваемости.</t>
  </si>
  <si>
    <t>Порог отзывов на конкурента</t>
  </si>
  <si>
    <t>отзывов</t>
  </si>
  <si>
    <t>Если у игроков много отзывов, новому бизнесу труднее получить доверие.</t>
  </si>
  <si>
    <t>Порог рекламной активности</t>
  </si>
  <si>
    <t>объявлений</t>
  </si>
  <si>
    <t>Ориентир высокого рекламного давления по рекламным библиотекам.</t>
  </si>
  <si>
    <t>Данные Similarweb по конкурентам</t>
  </si>
  <si>
    <t>Заполните сайты конкурентов и показатели Similarweb. Релевантный трафик и доля рынка считаются автоматически.</t>
  </si>
  <si>
    <t>Конкурент / сайт</t>
  </si>
  <si>
    <t>Тип игрока</t>
  </si>
  <si>
    <t>Месячные визиты</t>
  </si>
  <si>
    <t>Релевантный трафик</t>
  </si>
  <si>
    <t>Доля релевантного трафика</t>
  </si>
  <si>
    <t>Длительность, сек.</t>
  </si>
  <si>
    <t>Страниц/визит</t>
  </si>
  <si>
    <t>Отказы</t>
  </si>
  <si>
    <t>Прямой трафик</t>
  </si>
  <si>
    <t>Органика</t>
  </si>
  <si>
    <t>Платный поиск</t>
  </si>
  <si>
    <t>Соцсети</t>
  </si>
  <si>
    <t>Рефералы</t>
  </si>
  <si>
    <t>Медийная реклама</t>
  </si>
  <si>
    <t>Брендовый поиск</t>
  </si>
  <si>
    <t>Показатель</t>
  </si>
  <si>
    <t>Формула / значение</t>
  </si>
  <si>
    <t>Интерпретация</t>
  </si>
  <si>
    <t>Оценочный цифровой размер выборки конкурентов</t>
  </si>
  <si>
    <t>CR3 по трафику</t>
  </si>
  <si>
    <t>Доля трех крупнейших игроков</t>
  </si>
  <si>
    <t>CR5 по трафику</t>
  </si>
  <si>
    <t>Доля пяти крупнейших игроков</t>
  </si>
  <si>
    <t>HHI по трафику</t>
  </si>
  <si>
    <t>Индекс концентрации на основе долей релевантного трафика</t>
  </si>
  <si>
    <t>Средняя длительность визита</t>
  </si>
  <si>
    <t>Косвенный признак вовлеченности</t>
  </si>
  <si>
    <t>Оценка конкурентного давления по каналам трафика</t>
  </si>
  <si>
    <t>Расчет делается как взвешенная доля каналов с учетом релевантного трафика конкурентов</t>
  </si>
  <si>
    <t>Канал</t>
  </si>
  <si>
    <t>Формула / источник</t>
  </si>
  <si>
    <t>Взвешенная доля канала</t>
  </si>
  <si>
    <t>Порог высокого давления</t>
  </si>
  <si>
    <t>Балльная оценка 1-5</t>
  </si>
  <si>
    <t>Риски для нового игрока</t>
  </si>
  <si>
    <t>Что проверить дополнительно</t>
  </si>
  <si>
    <t>Источник</t>
  </si>
  <si>
    <t>Similarweb: Direct</t>
  </si>
  <si>
    <t>Высокая доля означает узнаваемость брендов.</t>
  </si>
  <si>
    <t>Новому игроку сложнее быстро получить прямые заходы.</t>
  </si>
  <si>
    <t>Брендовые запросы, отзывы, возраст домена.</t>
  </si>
  <si>
    <t>Similarweb</t>
  </si>
  <si>
    <t>Органический поиск</t>
  </si>
  <si>
    <t>Similarweb: Organic Search</t>
  </si>
  <si>
    <t>Высокая доля означает сильные SEO-позиции.</t>
  </si>
  <si>
    <t>Потребуются контент, ссылки, время и техническая оптимизация.</t>
  </si>
  <si>
    <t>Semrush/Ahrefs, выдача Google/Яндекс.</t>
  </si>
  <si>
    <t>Similarweb, Semrush, Ahrefs</t>
  </si>
  <si>
    <t>Similarweb: Paid Search</t>
  </si>
  <si>
    <t>Высокая доля означает рекламное давление.</t>
  </si>
  <si>
    <t>Вход через рекламу может быть дорогим.</t>
  </si>
  <si>
    <t>Google Ads, Яндекс Директ, рекламные библиотеки.</t>
  </si>
  <si>
    <t>Similarweb, Ads libraries</t>
  </si>
  <si>
    <t>Социальные сети</t>
  </si>
  <si>
    <t>Similarweb: Social</t>
  </si>
  <si>
    <t>Высокая доля означает сильные социальные каналы.</t>
  </si>
  <si>
    <t>Нужно развивать контент и сообщество.</t>
  </si>
  <si>
    <t>Meta/TikTok/YouTube/LinkedIn активность.</t>
  </si>
  <si>
    <t>Similarweb, социальные сети</t>
  </si>
  <si>
    <t>Реферальный трафик</t>
  </si>
  <si>
    <t>Similarweb: Referrals</t>
  </si>
  <si>
    <t>Высокая доля означает партнерские и медийные связи.</t>
  </si>
  <si>
    <t>Потребуются партнерства и присутствие в каталогах.</t>
  </si>
  <si>
    <t>Каталоги, медиа, партнерские сайты.</t>
  </si>
  <si>
    <t>Similarweb, каталоги</t>
  </si>
  <si>
    <t>Similarweb: Display</t>
  </si>
  <si>
    <t>Высокая доля означает платное медийное давление.</t>
  </si>
  <si>
    <t>Нужны бюджеты на охват и ретаргетинг.</t>
  </si>
  <si>
    <t>Библиотеки рекламы, креативы, баннеры.</t>
  </si>
  <si>
    <t>Similarweb, рекламные библиотеки</t>
  </si>
  <si>
    <t>Брендовая сила</t>
  </si>
  <si>
    <t>Direct + Brand Search</t>
  </si>
  <si>
    <t>Высокая доля означает устойчивое доверие и узнаваемость.</t>
  </si>
  <si>
    <t>Новому игроку сложнее перехватить спрос.</t>
  </si>
  <si>
    <t>Google Trends по брендам, брендовые запросы.</t>
  </si>
  <si>
    <t>Similarweb, Trends, Wordstat</t>
  </si>
  <si>
    <t>Оценка поисковой и рекламной конкуренции</t>
  </si>
  <si>
    <t>Вводятся данные из Google/Яндекс, Semrush/Ahrefs, рекламных библиотек и Similarweb</t>
  </si>
  <si>
    <t>Запрос / рекламная тема</t>
  </si>
  <si>
    <t>Тип намерения</t>
  </si>
  <si>
    <t>CPC / цена клика</t>
  </si>
  <si>
    <t>Конкурентность PPC 0-1</t>
  </si>
  <si>
    <t>SEO difficulty 0-100</t>
  </si>
  <si>
    <t>Топ-конкурентов в выдаче</t>
  </si>
  <si>
    <t>Активных рекламодателей</t>
  </si>
  <si>
    <t>Рекламные объявления</t>
  </si>
  <si>
    <t>Индекс давления</t>
  </si>
  <si>
    <t>коммерческий</t>
  </si>
  <si>
    <t>инструментальный</t>
  </si>
  <si>
    <t>Сводный показатель</t>
  </si>
  <si>
    <t>Оценка</t>
  </si>
  <si>
    <t>Средний индекс поисково-рекламного давления</t>
  </si>
  <si>
    <t>Учитывает CPC, PPC-конкурентность, SEO difficulty, число конкурентов и рекламных объявлений.</t>
  </si>
  <si>
    <t>Доля высококонкурентных запросов</t>
  </si>
  <si>
    <t>Доля запросов с баллом 5.</t>
  </si>
  <si>
    <t>Вывод</t>
  </si>
  <si>
    <t>Оценка репутационных барьеров: отзывы, рейтинги, кейсы</t>
  </si>
  <si>
    <t>Заполняется по G2, Capterra, Trustpilot, Google Maps, App Store, Google Play, маркетплейсам и сайтам конкурентов</t>
  </si>
  <si>
    <t>Конкурент</t>
  </si>
  <si>
    <t>G2 рейтинг</t>
  </si>
  <si>
    <t>G2 отзывы</t>
  </si>
  <si>
    <t>Capterra рейтинг</t>
  </si>
  <si>
    <t>Capterra отзывы</t>
  </si>
  <si>
    <t>Trustpilot рейтинг</t>
  </si>
  <si>
    <t>Trustpilot отзывы</t>
  </si>
  <si>
    <t>Google рейтинг</t>
  </si>
  <si>
    <t>Google отзывы</t>
  </si>
  <si>
    <t>Кейсы на сайте</t>
  </si>
  <si>
    <t>Возраст бренда, лет</t>
  </si>
  <si>
    <t>Индекс доверия</t>
  </si>
  <si>
    <t>Средний индекс доверия конкурентов</t>
  </si>
  <si>
    <t>Высокий индекс означает сильный репутационный барьер.</t>
  </si>
  <si>
    <t>Среднее число отзывов на конкурента</t>
  </si>
  <si>
    <t>Оценка технологических, финансовых и организационных барьеров</t>
  </si>
  <si>
    <t>Используйте Crunchbase, LinkedIn, BuiltWith, Wappalyzer, рекламные библиотеки, GitHub, вакансии и сайты конкурентов</t>
  </si>
  <si>
    <t>Финансирование / инвестиции</t>
  </si>
  <si>
    <t>Сотрудники LinkedIn</t>
  </si>
  <si>
    <t>Технологический стек 1-5</t>
  </si>
  <si>
    <t>CRM/автоматизация 1-5</t>
  </si>
  <si>
    <t>Мобильное приложение</t>
  </si>
  <si>
    <t>Личный кабинет</t>
  </si>
  <si>
    <t>Активных объявлений</t>
  </si>
  <si>
    <t>Вакансий</t>
  </si>
  <si>
    <t>Патенты/уникальные активы</t>
  </si>
  <si>
    <t>Индекс ресурсной силы</t>
  </si>
  <si>
    <t>Средний индекс ресурсной силы</t>
  </si>
  <si>
    <t>Высокая ресурсная сила конкурентов повышает барьеры входа.</t>
  </si>
  <si>
    <t>Доля конкурентов с личным кабинетом/приложением</t>
  </si>
  <si>
    <t>Показывает степень цифровой зрелости конкурентов.</t>
  </si>
  <si>
    <t>Сводная оценка уровня конкуренции и барьеров входа</t>
  </si>
  <si>
    <t>Баллы 1/3/5 формируются из расчетных листов. Веса можно корректировать в зависимости от рынка.</t>
  </si>
  <si>
    <t>Фактор барьера входа</t>
  </si>
  <si>
    <t>Ключевой показатель</t>
  </si>
  <si>
    <t>Вес</t>
  </si>
  <si>
    <t>Взвешенный балл</t>
  </si>
  <si>
    <t>Уровень давления</t>
  </si>
  <si>
    <t>Что означает</t>
  </si>
  <si>
    <t>Рекомендуемое действие</t>
  </si>
  <si>
    <t>Концентрация трафика</t>
  </si>
  <si>
    <t>CR3 / CR5 / HHI</t>
  </si>
  <si>
    <t>Лидеры контролируют значимую часть цифрового спроса.</t>
  </si>
  <si>
    <t>Искать узкие сегменты и менее занятые каналы.</t>
  </si>
  <si>
    <t>Органическое SEO-давление</t>
  </si>
  <si>
    <t>Доля органического трафика конкурентов</t>
  </si>
  <si>
    <t>Конкуренты занимают поисковую видимость.</t>
  </si>
  <si>
    <t>Планировать контент, поисковую оптимизацию и долгий горизонт входа.</t>
  </si>
  <si>
    <t>Платное рекламное давление</t>
  </si>
  <si>
    <t>Доля paid search + рекламная активность</t>
  </si>
  <si>
    <t>Вход через рекламу требует бюджета.</t>
  </si>
  <si>
    <t>Проверить стоимость клика и юнит-экономику.</t>
  </si>
  <si>
    <t>Брендовая сила конкурентов</t>
  </si>
  <si>
    <t>Direct + брендовый поиск</t>
  </si>
  <si>
    <t>Клиенты уже знают действующих игроков.</t>
  </si>
  <si>
    <t>Строить доверие, кейсы, репутацию и рекомендации.</t>
  </si>
  <si>
    <t>Поисково-рекламная конкуренция</t>
  </si>
  <si>
    <t>Коммерческие запросы заняты сильными игроками.</t>
  </si>
  <si>
    <t>Выбирать длинные и проблемные запросы.</t>
  </si>
  <si>
    <t>Репутационный барьер</t>
  </si>
  <si>
    <t>Отзывы, рейтинги, кейсы</t>
  </si>
  <si>
    <t>У конкурентов накоплены отзывы и социальное доказательство.</t>
  </si>
  <si>
    <t>Запускать пилоты, собирать отзывы, демонстрировать кейсы.</t>
  </si>
  <si>
    <t>Технологический и ресурсный барьер</t>
  </si>
  <si>
    <t>Стек, команда, финансирование, автоматизация</t>
  </si>
  <si>
    <t>Конкуренты защищены ресурсами или цифровой инфраструктурой.</t>
  </si>
  <si>
    <t>Фокусироваться на нише и сервисном преимуществе.</t>
  </si>
  <si>
    <t>Платформенная зависимость</t>
  </si>
  <si>
    <t>Доступ к клиенту контролируется платформами.</t>
  </si>
  <si>
    <t>Диверсифицировать каналы и строить собственную базу клиентов.</t>
  </si>
  <si>
    <t>Угроза заменителей</t>
  </si>
  <si>
    <t>Клиент может решить задачу альтернативным способом.</t>
  </si>
  <si>
    <t>Уточнить ценность: результат, скорость, экспертиза, сопровождение.</t>
  </si>
  <si>
    <t>Суммарный индекс барьеров входа</t>
  </si>
  <si>
    <t>Использовать как итоговый вывод для анализа входа на рынок.</t>
  </si>
  <si>
    <t>Дашборд оценки уровня конкуренции и барьеров входа</t>
  </si>
  <si>
    <t>Итоговые показатели автоматически подтягиваются из расчетных листов</t>
  </si>
  <si>
    <t>KPI</t>
  </si>
  <si>
    <t>Фактор</t>
  </si>
  <si>
    <t>Балл</t>
  </si>
  <si>
    <t>Индекс барьеров входа</t>
  </si>
  <si>
    <t>1-5</t>
  </si>
  <si>
    <t>Итоговый уровень</t>
  </si>
  <si>
    <t>SEO-давление</t>
  </si>
  <si>
    <t>CR3 по релевантному трафику</t>
  </si>
  <si>
    <t>Рекламное давление</t>
  </si>
  <si>
    <t>HHI по релевантному трафику</t>
  </si>
  <si>
    <t>Средний поисково-рекламный индекс</t>
  </si>
  <si>
    <t>Поиск/реклама</t>
  </si>
  <si>
    <t>Репутация</t>
  </si>
  <si>
    <t>Технологии</t>
  </si>
  <si>
    <t>Платформы</t>
  </si>
  <si>
    <t>Заменители</t>
  </si>
  <si>
    <t>Итоговая формулировка для отчета</t>
  </si>
  <si>
    <t>Журнал источников данных для оценки конкуренции</t>
  </si>
  <si>
    <t>Фиксируйте дату обращения, ссылку, что именно взято и ограничения интерпретации</t>
  </si>
  <si>
    <t>URL</t>
  </si>
  <si>
    <t>Что брать</t>
  </si>
  <si>
    <t>Для какой силы/фактора</t>
  </si>
  <si>
    <t>Формат фиксации</t>
  </si>
  <si>
    <t>Дата обращения</t>
  </si>
  <si>
    <t>Ограничения</t>
  </si>
  <si>
    <t>https://www.similarweb.com/website/</t>
  </si>
  <si>
    <t>визиты, каналы трафика, география, похожие сайты, поисковые запросы</t>
  </si>
  <si>
    <t>конкуренция, каналы, география, барьеры входа</t>
  </si>
  <si>
    <t>ручная фиксация / выгрузка при наличии доступа</t>
  </si>
  <si>
    <t>оценочные данные, слабее для малых сайтов</t>
  </si>
  <si>
    <t>Semrush</t>
  </si>
  <si>
    <t>https://www.semrush.com/</t>
  </si>
  <si>
    <t>органический трафик, paid search, keyword difficulty, конкуренты</t>
  </si>
  <si>
    <t>SEO и рекламное давление</t>
  </si>
  <si>
    <t>таблица/скриншот/экспорт при доступе</t>
  </si>
  <si>
    <t>Ahrefs</t>
  </si>
  <si>
    <t>https://ahrefs.com/</t>
  </si>
  <si>
    <t>ссылки, ключевые слова, органическая видимость, конкуренты</t>
  </si>
  <si>
    <t>SEO-барьеры</t>
  </si>
  <si>
    <t>таблица/экспорт при доступе</t>
  </si>
  <si>
    <t>зависит от базы и тарифа</t>
  </si>
  <si>
    <t>G2</t>
  </si>
  <si>
    <t>https://www.g2.com/</t>
  </si>
  <si>
    <t>отзывы, рейтинги, сравнения, категории B2B-софта</t>
  </si>
  <si>
    <t>сила покупателей, репутация, заменители</t>
  </si>
  <si>
    <t>таблица отзывов и рейтингов</t>
  </si>
  <si>
    <t>сильнее для программных продуктов</t>
  </si>
  <si>
    <t>Capterra</t>
  </si>
  <si>
    <t>https://www.capterra.com/</t>
  </si>
  <si>
    <t>отзывы и рейтинги программных решений</t>
  </si>
  <si>
    <t>репутация и заменители</t>
  </si>
  <si>
    <t>таблица отзывов</t>
  </si>
  <si>
    <t>не все локальные рынки представлены</t>
  </si>
  <si>
    <t>Trustpilot</t>
  </si>
  <si>
    <t>https://www.trustpilot.com/</t>
  </si>
  <si>
    <t>отзывы, рейтинг, динамика доверия</t>
  </si>
  <si>
    <t>репутационные барьеры</t>
  </si>
  <si>
    <t>таблица/скриншот</t>
  </si>
  <si>
    <t>разная полнота по странам и нишам</t>
  </si>
  <si>
    <t>Crunchbase</t>
  </si>
  <si>
    <t>https://www.crunchbase.com/</t>
  </si>
  <si>
    <t>финансирование, сделки, инвесторы, рост компаний</t>
  </si>
  <si>
    <t>угроза новых игроков, ресурсная сила</t>
  </si>
  <si>
    <t>таблица компаний</t>
  </si>
  <si>
    <t>многие данные доступны по подписке</t>
  </si>
  <si>
    <t>BuiltWith</t>
  </si>
  <si>
    <t>https://builtwith.com/</t>
  </si>
  <si>
    <t>технологический стек сайта</t>
  </si>
  <si>
    <t>технологические барьеры</t>
  </si>
  <si>
    <t>таблица технологий</t>
  </si>
  <si>
    <t>не показывает всю внутреннюю инфраструктуру</t>
  </si>
  <si>
    <t>Wappalyzer</t>
  </si>
  <si>
    <t>https://www.wappalyzer.com/</t>
  </si>
  <si>
    <t>технологии сайта, аналитика, CRM, e-commerce stack</t>
  </si>
  <si>
    <t>только видимые технологии</t>
  </si>
  <si>
    <t>Meta Ad Library</t>
  </si>
  <si>
    <t>https://www.facebook.com/ads/library/</t>
  </si>
  <si>
    <t>активные рекламные объявления</t>
  </si>
  <si>
    <t>рекламное давление</t>
  </si>
  <si>
    <t>ссылка/скриншот/число объявлений</t>
  </si>
  <si>
    <t>не дает полный бюджет</t>
  </si>
  <si>
    <t>Google Ads Transparency Center</t>
  </si>
  <si>
    <t>https://adstransparency.google.com/</t>
  </si>
  <si>
    <t>объявления рекламодателей в Google</t>
  </si>
  <si>
    <t>ссылка/скриншот</t>
  </si>
  <si>
    <t>не всегда видно бюджет и эффективность</t>
  </si>
  <si>
    <t>LinkedIn Ads Library</t>
  </si>
  <si>
    <t>https://www.linkedin.com/ad-library/</t>
  </si>
  <si>
    <t>B2B-реклама и активность брендов</t>
  </si>
  <si>
    <t>рекламное давление B2B</t>
  </si>
  <si>
    <t>актуально для B2B-рынков</t>
  </si>
  <si>
    <t>TikTok Creative Center</t>
  </si>
  <si>
    <t>https://ads.tiktok.com/business/creativecenter/</t>
  </si>
  <si>
    <t>креативы, тренды, рекламные идеи</t>
  </si>
  <si>
    <t>социальные каналы и заменители</t>
  </si>
  <si>
    <t>не для всех ниш одинаково полезен</t>
  </si>
  <si>
    <t>Product Hunt</t>
  </si>
  <si>
    <t>https://www.producthunt.com/</t>
  </si>
  <si>
    <t>новые продукты и стартапы</t>
  </si>
  <si>
    <t>угроза новых участников и заменителей</t>
  </si>
  <si>
    <t>список продуктов</t>
  </si>
  <si>
    <t>смещен в сторону стартапов</t>
  </si>
  <si>
    <t>App Store / Google Play</t>
  </si>
  <si>
    <t>https://play.google.com/store/apps</t>
  </si>
  <si>
    <t>приложения, отзывы, рейтинги, загрузки</t>
  </si>
  <si>
    <t>заменители, конкуренты, доверие</t>
  </si>
  <si>
    <t>таблица приложений</t>
  </si>
  <si>
    <t>данные по загрузкам приблизительные или скрытые</t>
  </si>
  <si>
    <t>Белстат</t>
  </si>
  <si>
    <t>https://www.belstat.gov.by/</t>
  </si>
  <si>
    <t>количество организаций, отрасли, доходы, социально-экономические данные</t>
  </si>
  <si>
    <t>потенциальные клиенты и платежеспособность</t>
  </si>
  <si>
    <t>таблица статистики</t>
  </si>
  <si>
    <t>не всегда есть узкие цифровые сегменты</t>
  </si>
  <si>
    <t>Онлайн-проверка Excel-моделей и финансовых таблиц (TableMind)</t>
  </si>
  <si>
    <t>Англоязычные страны (США, Великобритания, Канада, Австралия, Ирландия) и ЕС-27</t>
  </si>
  <si>
    <t>06-08.2026 (три месяца), весь мир; снимок 03.10.2026</t>
  </si>
  <si>
    <t>дата</t>
  </si>
  <si>
    <t>Дата снимка Similarweb</t>
  </si>
  <si>
    <t>Число сайтов выборки</t>
  </si>
  <si>
    <t>Релевантный трафик: визиты x география x релевантность x качество</t>
  </si>
  <si>
    <t>Доля целевой географии x релевантность x качество</t>
  </si>
  <si>
    <t>shortcut.ai</t>
  </si>
  <si>
    <t>частичный конкурент: AI-агент для Excel</t>
  </si>
  <si>
    <t>perfectxl.com</t>
  </si>
  <si>
    <t>прямой конкурент: аудит таблиц</t>
  </si>
  <si>
    <t>rows.com</t>
  </si>
  <si>
    <t>заменитель: AI-таблицы</t>
  </si>
  <si>
    <t>numerous.ai</t>
  </si>
  <si>
    <t>заменитель: AI-помощник в таблицах</t>
  </si>
  <si>
    <t>operis.com</t>
  </si>
  <si>
    <t>прямой конкурент: аудит финансовых моделей</t>
  </si>
  <si>
    <t>arixcel.com</t>
  </si>
  <si>
    <t>formulabot.com</t>
  </si>
  <si>
    <t>ajelix.com</t>
  </si>
  <si>
    <t>datarails.com</t>
  </si>
  <si>
    <t>заменитель: FP&amp;A-платформа для Excel</t>
  </si>
  <si>
    <t>julius.ai</t>
  </si>
  <si>
    <t>заменитель: AI-анализ данных</t>
  </si>
  <si>
    <t>spreadsheetdetective.com</t>
  </si>
  <si>
    <t>cimcon.com</t>
  </si>
  <si>
    <t>частичный конкурент: риски пользовательских таблиц</t>
  </si>
  <si>
    <t>excel audit</t>
  </si>
  <si>
    <t>Google Trends (индекс 0-100, ЛР1)</t>
  </si>
  <si>
    <t>spreadsheet audit</t>
  </si>
  <si>
    <t>excel formula checker</t>
  </si>
  <si>
    <t>financial model audit</t>
  </si>
  <si>
    <t>excel copilot</t>
  </si>
  <si>
    <t>AI-альтернатива</t>
  </si>
  <si>
    <t>perfectxl</t>
  </si>
  <si>
    <t>брендовый</t>
  </si>
  <si>
    <t>Индекс Google Trends (спрос)</t>
  </si>
  <si>
    <t>Данные CPC и SEO difficulty не получены; в сводной оценке используется прокси по каналам Similarweb (лист 07, строка 8).</t>
  </si>
  <si>
    <t>G2: карточки Shortcut нет (найдена SheetWhiz - не относится)</t>
  </si>
  <si>
    <t>G2: карточка PerfectXL (Infotron B.V.) 0 отзывов</t>
  </si>
  <si>
    <t>G2: Rows</t>
  </si>
  <si>
    <t>G2: карточки Numerous.ai нет (найден посторонний продукт)</t>
  </si>
  <si>
    <t>G2: найден только однофамилец (Operis by Vastian, лабораторные процессы) - не конкурент</t>
  </si>
  <si>
    <t>G2: Arixcel Explorer</t>
  </si>
  <si>
    <t>G2: Formula Bot (Better Analyst)</t>
  </si>
  <si>
    <t>G2: Ajelix</t>
  </si>
  <si>
    <t>G2: Datarails</t>
  </si>
  <si>
    <t>G2: Julius AI</t>
  </si>
  <si>
    <t>G2: карточка без оценок</t>
  </si>
  <si>
    <t>G2: CIMCON Software (EUC-риск)</t>
  </si>
  <si>
    <t>CPC, PPC, SEO difficulty (при отсутствии - прокси: органика и платный поиск Similarweb к порогам)</t>
  </si>
  <si>
    <t>Доля планируемых каналов через внешние платформы (AppSource, Product Hunt, поиск) из каналов ПЗ1</t>
  </si>
  <si>
    <t>Доля релевантного трафика, приходящаяся на частичных конкурентов и заменителей</t>
  </si>
  <si>
    <t>Интегральная оценка давления (сумма весов в шаблоне 1,04, поэтому делится на сумму весов).</t>
  </si>
  <si>
    <t>Similarweb Pro, 06-08.2026, 03.10.2026; брендовый поиск - доля прямых заходов как прокси</t>
  </si>
  <si>
    <t>Среднее число отзывов на конкурента (G2, Capterra, Trustpilot); отзывы Google, кейсы и возраст бренда - по сайтам конкурентов</t>
  </si>
  <si>
    <t>D и E - экспертные баллы (Д-17); финансирование и штат - по открытым источникам (ЛР5, приложение Д)</t>
  </si>
  <si>
    <t>CPC, PPC, SEO difficulty, выдача и объявления: расчетные показатели (отчет ЛР4, приложение Д, допущение Д-33)</t>
  </si>
  <si>
    <t>часть данных платная, оценки расчетные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</si>
</sst>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5">
    <font>
      <sz val="11"/>
      <name val="Carlito"/>
    </font>
    <font>
      <b/>
      <sz val="14"/>
      <color rgb="FFFFFFFF"/>
      <name val="Carlito"/>
    </font>
    <font>
      <i/>
      <sz val="11"/>
      <color rgb="FF374151"/>
      <name val="Carlito"/>
    </font>
    <font>
      <b/>
      <sz val="11"/>
      <color rgb="FFFFFFFF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EAF4F6"/>
      </patternFill>
    </fill>
    <fill>
      <patternFill patternType="solid">
        <fgColor rgb="FF2F6F7E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0" fillId="7" borderId="0" xfId="1" applyFont="1" applyFill="1" applyAlignment="1">
      <alignment wrapText="1"/>
    </xf>
    <xf numFmtId="3" fontId="0" fillId="6" borderId="0" xfId="1" applyNumberFormat="1" applyFont="1" applyFill="1" applyAlignment="1">
      <alignment wrapText="1"/>
    </xf>
    <xf numFmtId="9" fontId="0" fillId="7" borderId="0" xfId="1" applyNumberFormat="1" applyFont="1" applyFill="1" applyAlignment="1">
      <alignment wrapText="1"/>
    </xf>
    <xf numFmtId="3" fontId="0" fillId="0" borderId="0" xfId="1" applyNumberFormat="1" applyFont="1" applyAlignment="1">
      <alignment wrapText="1"/>
    </xf>
    <xf numFmtId="164" fontId="0" fillId="0" borderId="0" xfId="1" applyNumberFormat="1" applyFont="1" applyAlignment="1">
      <alignment wrapText="1"/>
    </xf>
    <xf numFmtId="164" fontId="0" fillId="6" borderId="0" xfId="1" applyNumberFormat="1" applyFont="1" applyFill="1" applyAlignment="1">
      <alignment wrapText="1"/>
    </xf>
    <xf numFmtId="3" fontId="0" fillId="7" borderId="0" xfId="1" applyNumberFormat="1" applyFont="1" applyFill="1" applyAlignment="1">
      <alignment wrapText="1"/>
    </xf>
    <xf numFmtId="164" fontId="0" fillId="7" borderId="0" xfId="1" applyNumberFormat="1" applyFont="1" applyFill="1" applyAlignment="1">
      <alignment wrapText="1"/>
    </xf>
    <xf numFmtId="3" fontId="0" fillId="0" borderId="0" xfId="1" applyNumberFormat="1" applyFont="1"/>
    <xf numFmtId="164" fontId="0" fillId="0" borderId="0" xfId="1" applyNumberFormat="1" applyFont="1"/>
    <xf numFmtId="165" fontId="0" fillId="0" borderId="0" xfId="1" applyNumberFormat="1" applyFont="1" applyAlignment="1">
      <alignment wrapText="1"/>
    </xf>
    <xf numFmtId="1" fontId="0" fillId="6" borderId="0" xfId="1" applyNumberFormat="1" applyFont="1" applyFill="1" applyAlignment="1">
      <alignment wrapText="1"/>
    </xf>
    <xf numFmtId="2" fontId="0" fillId="7" borderId="0" xfId="1" applyNumberFormat="1" applyFont="1" applyFill="1" applyAlignment="1">
      <alignment wrapText="1"/>
    </xf>
    <xf numFmtId="1" fontId="0" fillId="7" borderId="0" xfId="1" applyNumberFormat="1" applyFont="1" applyFill="1" applyAlignment="1">
      <alignment wrapText="1"/>
    </xf>
    <xf numFmtId="0" fontId="0" fillId="6" borderId="0" xfId="1" applyFont="1" applyFill="1" applyAlignment="1">
      <alignment wrapText="1"/>
    </xf>
    <xf numFmtId="165" fontId="0" fillId="7" borderId="0" xfId="1" applyNumberFormat="1" applyFont="1" applyFill="1" applyAlignment="1">
      <alignment wrapText="1"/>
    </xf>
    <xf numFmtId="2" fontId="0" fillId="6" borderId="0" xfId="1" applyNumberFormat="1" applyFont="1" applyFill="1" applyAlignment="1">
      <alignment wrapText="1"/>
    </xf>
    <xf numFmtId="9" fontId="0" fillId="0" borderId="0" xfId="1" applyNumberFormat="1" applyFont="1" applyAlignment="1">
      <alignment wrapText="1"/>
    </xf>
    <xf numFmtId="2" fontId="0" fillId="0" borderId="0" xfId="1" applyNumberFormat="1" applyFont="1" applyAlignment="1">
      <alignment wrapText="1"/>
    </xf>
    <xf numFmtId="1" fontId="0" fillId="0" borderId="0" xfId="1" applyNumberFormat="1" applyFont="1" applyAlignment="1">
      <alignment wrapText="1"/>
    </xf>
    <xf numFmtId="14" fontId="0" fillId="0" borderId="0" xfId="1" applyNumberFormat="1" applyFont="1" applyAlignment="1">
      <alignment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 wrapText="1"/>
    </xf>
    <xf numFmtId="0" fontId="3" fillId="4" borderId="0" xfId="1" applyFont="1" applyFill="1" applyAlignment="1">
      <alignment horizontal="center" vertical="center" wrapText="1"/>
    </xf>
    <xf numFmtId="0" fontId="0" fillId="5" borderId="0" xfId="1" applyFont="1" applyFill="1" applyAlignment="1">
      <alignment vertical="top" wrapText="1"/>
    </xf>
    <xf numFmtId="0" fontId="0" fillId="3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Баллы по факторам барьеров входа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Балл</c:v>
          </c:tx>
          <c:invertIfNegative val="1"/>
          <c:cat>
            <c:strRef>
              <c:f>'08_Дашборд'!$F$5:$F$13</c:f>
              <c:strCache>
                <c:ptCount val="9"/>
                <c:pt idx="0">
                  <c:v>Концентрация трафика</c:v>
                </c:pt>
                <c:pt idx="1">
                  <c:v>SEO-давление</c:v>
                </c:pt>
                <c:pt idx="2">
                  <c:v>Рекламное давление</c:v>
                </c:pt>
                <c:pt idx="3">
                  <c:v>Брендовая сила</c:v>
                </c:pt>
                <c:pt idx="4">
                  <c:v>Поиск/реклама</c:v>
                </c:pt>
                <c:pt idx="5">
                  <c:v>Репутация</c:v>
                </c:pt>
                <c:pt idx="6">
                  <c:v>Технологии</c:v>
                </c:pt>
                <c:pt idx="7">
                  <c:v>Платформы</c:v>
                </c:pt>
                <c:pt idx="8">
                  <c:v>Заменители</c:v>
                </c:pt>
              </c:strCache>
            </c:strRef>
          </c:cat>
          <c:val>
            <c:numRef>
              <c:f>'08_Дашборд'!$G$5:$G$13</c:f>
              <c:numCache>
                <c:formatCode>0.00</c:formatCode>
                <c:ptCount val="9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D-49C7-B849-BF42B6EE7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ompetitorsSW" displayName="tblCompetitorsSW" ref="A3:Q33">
  <tableColumns count="17">
    <tableColumn id="1" xr3:uid="{00000000-0010-0000-0000-000001000000}" name="Конкурент / сайт"/>
    <tableColumn id="2" xr3:uid="{00000000-0010-0000-0000-000002000000}" name="Тип игрока"/>
    <tableColumn id="3" xr3:uid="{00000000-0010-0000-0000-000003000000}" name="Месячные визиты"/>
    <tableColumn id="4" xr3:uid="{00000000-0010-0000-0000-000004000000}" name="Доля целевой географии x релевантность x качество"/>
    <tableColumn id="5" xr3:uid="{00000000-0010-0000-0000-000005000000}" name="Релевантный трафик"/>
    <tableColumn id="6" xr3:uid="{00000000-0010-0000-0000-000006000000}" name="Доля релевантного трафика"/>
    <tableColumn id="7" xr3:uid="{00000000-0010-0000-0000-000007000000}" name="Длительность, сек."/>
    <tableColumn id="8" xr3:uid="{00000000-0010-0000-0000-000008000000}" name="Страниц/визит"/>
    <tableColumn id="9" xr3:uid="{00000000-0010-0000-0000-000009000000}" name="Отказы"/>
    <tableColumn id="10" xr3:uid="{00000000-0010-0000-0000-00000A000000}" name="Прямой трафик"/>
    <tableColumn id="11" xr3:uid="{00000000-0010-0000-0000-00000B000000}" name="Органика"/>
    <tableColumn id="12" xr3:uid="{00000000-0010-0000-0000-00000C000000}" name="Платный поиск"/>
    <tableColumn id="13" xr3:uid="{00000000-0010-0000-0000-00000D000000}" name="Соцсети"/>
    <tableColumn id="14" xr3:uid="{00000000-0010-0000-0000-00000E000000}" name="Рефералы"/>
    <tableColumn id="15" xr3:uid="{00000000-0010-0000-0000-00000F000000}" name="Медийная реклама"/>
    <tableColumn id="16" xr3:uid="{00000000-0010-0000-0000-000010000000}" name="Брендовый поиск"/>
    <tableColumn id="17" xr3:uid="{00000000-0010-0000-0000-000011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hannels" displayName="tblChannels" ref="A3:I10">
  <tableColumns count="9">
    <tableColumn id="1" xr3:uid="{00000000-0010-0000-0100-000001000000}" name="Канал"/>
    <tableColumn id="2" xr3:uid="{00000000-0010-0000-0100-000002000000}" name="Формула / источник"/>
    <tableColumn id="3" xr3:uid="{00000000-0010-0000-0100-000003000000}" name="Взвешенная доля канала"/>
    <tableColumn id="4" xr3:uid="{00000000-0010-0000-0100-000004000000}" name="Порог высокого давления"/>
    <tableColumn id="5" xr3:uid="{00000000-0010-0000-0100-000005000000}" name="Балльная оценка 1-5"/>
    <tableColumn id="6" xr3:uid="{00000000-0010-0000-0100-000006000000}" name="Интерпретация"/>
    <tableColumn id="7" xr3:uid="{00000000-0010-0000-0100-000007000000}" name="Риски для нового игрока"/>
    <tableColumn id="8" xr3:uid="{00000000-0010-0000-0100-000008000000}" name="Что проверить дополнительно"/>
    <tableColumn id="9" xr3:uid="{00000000-0010-0000-0100-000009000000}" name="Источни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earchAds" displayName="tblSearchAds" ref="A3:M33">
  <tableColumns count="13">
    <tableColumn id="1" xr3:uid="{00000000-0010-0000-0200-000001000000}" name="Запрос / рекламная тема"/>
    <tableColumn id="2" xr3:uid="{00000000-0010-0000-0200-000002000000}" name="Тип намерения"/>
    <tableColumn id="3" xr3:uid="{00000000-0010-0000-0200-000003000000}" name="Источник"/>
    <tableColumn id="4" xr3:uid="{00000000-0010-0000-0200-000004000000}" name="Индекс Google Trends (спрос)"/>
    <tableColumn id="5" xr3:uid="{00000000-0010-0000-0200-000005000000}" name="CPC / цена клика"/>
    <tableColumn id="6" xr3:uid="{00000000-0010-0000-0200-000006000000}" name="Конкурентность PPC 0-1"/>
    <tableColumn id="7" xr3:uid="{00000000-0010-0000-0200-000007000000}" name="SEO difficulty 0-100"/>
    <tableColumn id="8" xr3:uid="{00000000-0010-0000-0200-000008000000}" name="Топ-конкурентов в выдаче"/>
    <tableColumn id="9" xr3:uid="{00000000-0010-0000-0200-000009000000}" name="Активных рекламодателей"/>
    <tableColumn id="10" xr3:uid="{00000000-0010-0000-0200-00000A000000}" name="Рекламные объявления"/>
    <tableColumn id="11" xr3:uid="{00000000-0010-0000-0200-00000B000000}" name="Индекс давления"/>
    <tableColumn id="12" xr3:uid="{00000000-0010-0000-0200-00000C000000}" name="Балльная оценка 1-5"/>
    <tableColumn id="13" xr3:uid="{00000000-0010-0000-0200-00000D000000}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Reviews" displayName="tblReviews" ref="A3:N33">
  <tableColumns count="14">
    <tableColumn id="1" xr3:uid="{00000000-0010-0000-0300-000001000000}" name="Конкурент"/>
    <tableColumn id="2" xr3:uid="{00000000-0010-0000-0300-000002000000}" name="G2 рейтинг"/>
    <tableColumn id="3" xr3:uid="{00000000-0010-0000-0300-000003000000}" name="G2 отзывы"/>
    <tableColumn id="4" xr3:uid="{00000000-0010-0000-0300-000004000000}" name="Capterra рейтинг"/>
    <tableColumn id="5" xr3:uid="{00000000-0010-0000-0300-000005000000}" name="Capterra отзывы"/>
    <tableColumn id="6" xr3:uid="{00000000-0010-0000-0300-000006000000}" name="Trustpilot рейтинг"/>
    <tableColumn id="7" xr3:uid="{00000000-0010-0000-0300-000007000000}" name="Trustpilot отзывы"/>
    <tableColumn id="8" xr3:uid="{00000000-0010-0000-0300-000008000000}" name="Google рейтинг"/>
    <tableColumn id="9" xr3:uid="{00000000-0010-0000-0300-000009000000}" name="Google отзывы"/>
    <tableColumn id="10" xr3:uid="{00000000-0010-0000-0300-00000A000000}" name="Кейсы на сайте"/>
    <tableColumn id="11" xr3:uid="{00000000-0010-0000-0300-00000B000000}" name="Возраст бренда, лет"/>
    <tableColumn id="12" xr3:uid="{00000000-0010-0000-0300-00000C000000}" name="Индекс доверия"/>
    <tableColumn id="13" xr3:uid="{00000000-0010-0000-0300-00000D000000}" name="Балльная оценка 1-5"/>
    <tableColumn id="14" xr3:uid="{00000000-0010-0000-0300-00000E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TechFinance" displayName="tblTechFinance" ref="A3:M33">
  <tableColumns count="13">
    <tableColumn id="1" xr3:uid="{00000000-0010-0000-0400-000001000000}" name="Конкурент"/>
    <tableColumn id="2" xr3:uid="{00000000-0010-0000-0400-000002000000}" name="Финансирование / инвестиции"/>
    <tableColumn id="3" xr3:uid="{00000000-0010-0000-0400-000003000000}" name="Сотрудники LinkedIn"/>
    <tableColumn id="4" xr3:uid="{00000000-0010-0000-0400-000004000000}" name="Технологический стек 1-5"/>
    <tableColumn id="5" xr3:uid="{00000000-0010-0000-0400-000005000000}" name="CRM/автоматизация 1-5"/>
    <tableColumn id="6" xr3:uid="{00000000-0010-0000-0400-000006000000}" name="Мобильное приложение"/>
    <tableColumn id="7" xr3:uid="{00000000-0010-0000-0400-000007000000}" name="Личный кабинет"/>
    <tableColumn id="8" xr3:uid="{00000000-0010-0000-0400-000008000000}" name="Активных объявлений"/>
    <tableColumn id="9" xr3:uid="{00000000-0010-0000-0400-000009000000}" name="Вакансий"/>
    <tableColumn id="10" xr3:uid="{00000000-0010-0000-0400-00000A000000}" name="Патенты/уникальные активы"/>
    <tableColumn id="11" xr3:uid="{00000000-0010-0000-0400-00000B000000}" name="Индекс ресурсной силы"/>
    <tableColumn id="12" xr3:uid="{00000000-0010-0000-0400-00000C000000}" name="Балльная оценка 1-5"/>
    <tableColumn id="13" xr3:uid="{00000000-0010-0000-0400-00000D000000}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EntryBarriers" displayName="tblEntryBarriers" ref="A3:I13">
  <tableColumns count="9">
    <tableColumn id="1" xr3:uid="{00000000-0010-0000-0500-000001000000}" name="Фактор барьера входа"/>
    <tableColumn id="2" xr3:uid="{00000000-0010-0000-0500-000002000000}" name="Ключевой показатель"/>
    <tableColumn id="3" xr3:uid="{00000000-0010-0000-0500-000003000000}" name="Значение"/>
    <tableColumn id="4" xr3:uid="{00000000-0010-0000-0500-000004000000}" name="Балльная оценка 1-5"/>
    <tableColumn id="5" xr3:uid="{00000000-0010-0000-0500-000005000000}" name="Вес"/>
    <tableColumn id="6" xr3:uid="{00000000-0010-0000-0500-000006000000}" name="Взвешенный балл"/>
    <tableColumn id="7" xr3:uid="{00000000-0010-0000-0500-000007000000}" name="Уровень давления"/>
    <tableColumn id="8" xr3:uid="{00000000-0010-0000-0500-000008000000}" name="Что означает"/>
    <tableColumn id="9" xr3:uid="{00000000-0010-0000-0500-000009000000}" name="Рекомендуемое действ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Sources" displayName="tblSources" ref="A3:G19">
  <tableColumns count="7">
    <tableColumn id="1" xr3:uid="{00000000-0010-0000-0600-000001000000}" name="Источник"/>
    <tableColumn id="2" xr3:uid="{00000000-0010-0000-0600-000002000000}" name="URL"/>
    <tableColumn id="3" xr3:uid="{00000000-0010-0000-0600-000003000000}" name="Что брать"/>
    <tableColumn id="4" xr3:uid="{00000000-0010-0000-0600-000004000000}" name="Для какой силы/фактора"/>
    <tableColumn id="5" xr3:uid="{00000000-0010-0000-0600-000005000000}" name="Формат фиксации"/>
    <tableColumn id="6" xr3:uid="{00000000-0010-0000-0600-000006000000}" name="Дата обращения"/>
    <tableColumn id="7" xr3:uid="{00000000-0010-0000-0600-000007000000}" name="Ограничен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sqref="A1:I1"/>
    </sheetView>
  </sheetViews>
  <sheetFormatPr defaultRowHeight="13.5"/>
  <cols>
    <col min="1" max="1" width="25" customWidth="1"/>
    <col min="2" max="4" width="38" customWidth="1"/>
    <col min="5" max="5" width="42" customWidth="1"/>
  </cols>
  <sheetData>
    <row r="1" spans="1:9" ht="1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16.0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</row>
    <row r="4" spans="1:9" ht="17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9" ht="27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</row>
    <row r="6" spans="1:9" ht="27">
      <c r="A6" s="3" t="s">
        <v>12</v>
      </c>
      <c r="B6" s="3" t="s">
        <v>13</v>
      </c>
      <c r="C6" s="3" t="s">
        <v>14</v>
      </c>
      <c r="D6" s="3" t="s">
        <v>15</v>
      </c>
      <c r="E6" s="3" t="s">
        <v>16</v>
      </c>
    </row>
    <row r="7" spans="1:9" ht="27">
      <c r="A7" s="3" t="s">
        <v>17</v>
      </c>
      <c r="B7" s="3" t="s">
        <v>18</v>
      </c>
      <c r="C7" s="3" t="s">
        <v>19</v>
      </c>
      <c r="D7" s="3" t="s">
        <v>20</v>
      </c>
      <c r="E7" s="3" t="s">
        <v>21</v>
      </c>
    </row>
    <row r="8" spans="1:9" ht="27">
      <c r="A8" s="3" t="s">
        <v>22</v>
      </c>
      <c r="B8" s="3" t="s">
        <v>23</v>
      </c>
      <c r="C8" s="3" t="s">
        <v>24</v>
      </c>
      <c r="D8" s="3" t="s">
        <v>25</v>
      </c>
      <c r="E8" s="3" t="s">
        <v>26</v>
      </c>
    </row>
    <row r="9" spans="1:9" ht="27">
      <c r="A9" s="3" t="s">
        <v>27</v>
      </c>
      <c r="B9" s="3" t="s">
        <v>28</v>
      </c>
      <c r="C9" s="3" t="s">
        <v>29</v>
      </c>
      <c r="D9" s="3" t="s">
        <v>30</v>
      </c>
      <c r="E9" s="3" t="s">
        <v>31</v>
      </c>
    </row>
    <row r="10" spans="1:9" ht="40.5">
      <c r="A10" s="3" t="s">
        <v>32</v>
      </c>
      <c r="B10" s="3" t="s">
        <v>33</v>
      </c>
      <c r="C10" s="3" t="s">
        <v>34</v>
      </c>
      <c r="D10" s="3" t="s">
        <v>35</v>
      </c>
      <c r="E10" s="3" t="s">
        <v>36</v>
      </c>
    </row>
    <row r="11" spans="1:9" ht="27">
      <c r="A11" s="3" t="s">
        <v>37</v>
      </c>
      <c r="B11" s="3" t="s">
        <v>38</v>
      </c>
      <c r="C11" s="3" t="s">
        <v>39</v>
      </c>
      <c r="D11" s="3" t="s">
        <v>40</v>
      </c>
      <c r="E11" s="3" t="s">
        <v>41</v>
      </c>
    </row>
    <row r="12" spans="1:9">
      <c r="A12" s="3" t="s">
        <v>42</v>
      </c>
      <c r="B12" s="3" t="s">
        <v>43</v>
      </c>
      <c r="C12" s="3" t="s">
        <v>44</v>
      </c>
      <c r="D12" s="3" t="s">
        <v>45</v>
      </c>
      <c r="E12" s="3" t="s">
        <v>46</v>
      </c>
    </row>
    <row r="13" spans="1:9">
      <c r="A13" s="3" t="s">
        <v>47</v>
      </c>
      <c r="B13" s="3" t="s">
        <v>48</v>
      </c>
      <c r="C13" s="3" t="s">
        <v>49</v>
      </c>
      <c r="D13" s="3" t="s">
        <v>50</v>
      </c>
      <c r="E13" s="3" t="s">
        <v>51</v>
      </c>
    </row>
    <row r="16" spans="1:9" ht="14" customHeight="1">
      <c r="A16" s="27" t="s">
        <v>52</v>
      </c>
      <c r="B16" s="27"/>
      <c r="C16" s="27"/>
      <c r="D16" s="27"/>
      <c r="E16" s="27"/>
      <c r="F16" s="27"/>
      <c r="G16" s="27"/>
      <c r="H16" s="27"/>
      <c r="I16" s="27"/>
    </row>
    <row r="17" spans="1:9">
      <c r="A17" s="28" t="s">
        <v>53</v>
      </c>
      <c r="B17" s="28"/>
      <c r="C17" s="28"/>
      <c r="D17" s="28"/>
      <c r="E17" s="28"/>
      <c r="F17" s="28"/>
      <c r="G17" s="28"/>
      <c r="H17" s="28"/>
      <c r="I17" s="28"/>
    </row>
    <row r="18" spans="1:9">
      <c r="A18" s="28"/>
      <c r="B18" s="28"/>
      <c r="C18" s="28"/>
      <c r="D18" s="28"/>
      <c r="E18" s="28"/>
      <c r="F18" s="28"/>
      <c r="G18" s="28"/>
      <c r="H18" s="28"/>
      <c r="I18" s="28"/>
    </row>
    <row r="19" spans="1:9">
      <c r="A19" s="28"/>
      <c r="B19" s="28"/>
      <c r="C19" s="28"/>
      <c r="D19" s="28"/>
      <c r="E19" s="28"/>
      <c r="F19" s="28"/>
      <c r="G19" s="28"/>
      <c r="H19" s="28"/>
      <c r="I19" s="28"/>
    </row>
    <row r="20" spans="1:9">
      <c r="A20" s="28"/>
      <c r="B20" s="28"/>
      <c r="C20" s="28"/>
      <c r="D20" s="28"/>
      <c r="E20" s="28"/>
      <c r="F20" s="28"/>
      <c r="G20" s="28"/>
      <c r="H20" s="28"/>
      <c r="I20" s="28"/>
    </row>
  </sheetData>
  <mergeCells count="4">
    <mergeCell ref="A1:I1"/>
    <mergeCell ref="A2:I2"/>
    <mergeCell ref="A16:I16"/>
    <mergeCell ref="A17:I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defaultRowHeight="13.5"/>
  <cols>
    <col min="1" max="1" width="34" customWidth="1"/>
    <col min="2" max="2" width="28" customWidth="1"/>
    <col min="3" max="4" width="14" customWidth="1"/>
    <col min="5" max="5" width="58" customWidth="1"/>
    <col min="6" max="6" width="24" customWidth="1"/>
  </cols>
  <sheetData>
    <row r="1" spans="1:6" ht="15" customHeight="1">
      <c r="A1" s="25" t="s">
        <v>54</v>
      </c>
      <c r="B1" s="25"/>
      <c r="C1" s="25"/>
      <c r="D1" s="25"/>
      <c r="E1" s="25"/>
      <c r="F1" s="25"/>
    </row>
    <row r="2" spans="1:6" ht="16.05" customHeight="1">
      <c r="A2" s="26" t="s">
        <v>55</v>
      </c>
      <c r="B2" s="26"/>
      <c r="C2" s="26"/>
      <c r="D2" s="26"/>
      <c r="E2" s="26"/>
      <c r="F2" s="26"/>
    </row>
    <row r="4" spans="1:6" ht="17" customHeight="1">
      <c r="A4" s="1" t="s">
        <v>56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61</v>
      </c>
    </row>
    <row r="5" spans="1:6" ht="40.5">
      <c r="A5" s="2" t="s">
        <v>62</v>
      </c>
      <c r="B5" s="4" t="s">
        <v>386</v>
      </c>
      <c r="C5" s="2"/>
      <c r="D5" s="2" t="s">
        <v>63</v>
      </c>
      <c r="E5" s="2" t="s">
        <v>64</v>
      </c>
      <c r="F5" s="2"/>
    </row>
    <row r="6" spans="1:6" ht="40.5">
      <c r="A6" s="2" t="s">
        <v>65</v>
      </c>
      <c r="B6" s="4" t="s">
        <v>387</v>
      </c>
      <c r="C6" s="2"/>
      <c r="D6" s="2" t="s">
        <v>63</v>
      </c>
      <c r="E6" s="2" t="s">
        <v>66</v>
      </c>
      <c r="F6" s="2"/>
    </row>
    <row r="7" spans="1:6" ht="27">
      <c r="A7" s="2" t="s">
        <v>67</v>
      </c>
      <c r="B7" s="4" t="s">
        <v>388</v>
      </c>
      <c r="C7" s="2"/>
      <c r="D7" s="2" t="s">
        <v>63</v>
      </c>
      <c r="E7" s="2" t="s">
        <v>68</v>
      </c>
      <c r="F7" s="2"/>
    </row>
    <row r="8" spans="1:6">
      <c r="A8" s="2" t="s">
        <v>69</v>
      </c>
      <c r="B8" s="5">
        <v>46298</v>
      </c>
      <c r="C8" s="2" t="s">
        <v>389</v>
      </c>
      <c r="D8" s="2" t="s">
        <v>63</v>
      </c>
      <c r="E8" s="2" t="s">
        <v>390</v>
      </c>
      <c r="F8" s="2"/>
    </row>
    <row r="9" spans="1:6">
      <c r="A9" s="2" t="s">
        <v>70</v>
      </c>
      <c r="B9" s="5">
        <f>COUNTA('02_Конкуренты_SW'!A4:A33)</f>
        <v>12</v>
      </c>
      <c r="C9" s="2" t="s">
        <v>71</v>
      </c>
      <c r="D9" s="2" t="s">
        <v>72</v>
      </c>
      <c r="E9" s="2" t="s">
        <v>391</v>
      </c>
      <c r="F9" s="2" t="s">
        <v>12</v>
      </c>
    </row>
    <row r="10" spans="1:6" ht="27">
      <c r="A10" s="2" t="s">
        <v>73</v>
      </c>
      <c r="B10" s="7">
        <f>SUM('02_Конкуренты_SW'!E4:E33)</f>
        <v>87230.380599999989</v>
      </c>
      <c r="C10" s="2" t="s">
        <v>74</v>
      </c>
      <c r="D10" s="2" t="s">
        <v>72</v>
      </c>
      <c r="E10" s="2" t="s">
        <v>392</v>
      </c>
      <c r="F10" s="2" t="s">
        <v>12</v>
      </c>
    </row>
    <row r="11" spans="1:6" ht="27">
      <c r="A11" s="2" t="s">
        <v>75</v>
      </c>
      <c r="B11" s="6">
        <v>0.6</v>
      </c>
      <c r="C11" s="2" t="s">
        <v>76</v>
      </c>
      <c r="D11" s="2" t="s">
        <v>63</v>
      </c>
      <c r="E11" s="2" t="s">
        <v>77</v>
      </c>
      <c r="F11" s="2"/>
    </row>
    <row r="12" spans="1:6">
      <c r="A12" s="2" t="s">
        <v>78</v>
      </c>
      <c r="B12" s="6">
        <v>0.75</v>
      </c>
      <c r="C12" s="2" t="s">
        <v>76</v>
      </c>
      <c r="D12" s="2" t="s">
        <v>63</v>
      </c>
      <c r="E12" s="2" t="s">
        <v>79</v>
      </c>
      <c r="F12" s="2"/>
    </row>
    <row r="13" spans="1:6">
      <c r="A13" s="2" t="s">
        <v>80</v>
      </c>
      <c r="B13" s="4">
        <v>2500</v>
      </c>
      <c r="C13" s="2" t="s">
        <v>81</v>
      </c>
      <c r="D13" s="2" t="s">
        <v>63</v>
      </c>
      <c r="E13" s="2" t="s">
        <v>82</v>
      </c>
      <c r="F13" s="2"/>
    </row>
    <row r="14" spans="1:6">
      <c r="A14" s="2" t="s">
        <v>83</v>
      </c>
      <c r="B14" s="6">
        <v>0.2</v>
      </c>
      <c r="C14" s="2" t="s">
        <v>76</v>
      </c>
      <c r="D14" s="2" t="s">
        <v>63</v>
      </c>
      <c r="E14" s="2" t="s">
        <v>84</v>
      </c>
      <c r="F14" s="2"/>
    </row>
    <row r="15" spans="1:6" ht="27">
      <c r="A15" s="2" t="s">
        <v>85</v>
      </c>
      <c r="B15" s="6">
        <v>0.45</v>
      </c>
      <c r="C15" s="2" t="s">
        <v>76</v>
      </c>
      <c r="D15" s="2" t="s">
        <v>63</v>
      </c>
      <c r="E15" s="2" t="s">
        <v>86</v>
      </c>
      <c r="F15" s="2"/>
    </row>
    <row r="16" spans="1:6">
      <c r="A16" s="2" t="s">
        <v>87</v>
      </c>
      <c r="B16" s="6">
        <v>0.5</v>
      </c>
      <c r="C16" s="2" t="s">
        <v>76</v>
      </c>
      <c r="D16" s="2" t="s">
        <v>63</v>
      </c>
      <c r="E16" s="2" t="s">
        <v>88</v>
      </c>
      <c r="F16" s="2"/>
    </row>
    <row r="17" spans="1:6" ht="27">
      <c r="A17" s="2" t="s">
        <v>89</v>
      </c>
      <c r="B17" s="4">
        <v>100</v>
      </c>
      <c r="C17" s="2" t="s">
        <v>90</v>
      </c>
      <c r="D17" s="2" t="s">
        <v>63</v>
      </c>
      <c r="E17" s="2" t="s">
        <v>91</v>
      </c>
      <c r="F17" s="2"/>
    </row>
    <row r="18" spans="1:6" ht="27">
      <c r="A18" s="2" t="s">
        <v>92</v>
      </c>
      <c r="B18" s="2">
        <v>30</v>
      </c>
      <c r="C18" s="2" t="s">
        <v>93</v>
      </c>
      <c r="D18" s="2" t="s">
        <v>63</v>
      </c>
      <c r="E18" s="2" t="s">
        <v>94</v>
      </c>
      <c r="F18" s="2"/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1"/>
  <sheetViews>
    <sheetView workbookViewId="0"/>
  </sheetViews>
  <sheetFormatPr defaultRowHeight="13.5"/>
  <cols>
    <col min="1" max="1" width="24" customWidth="1"/>
    <col min="2" max="2" width="22" customWidth="1"/>
    <col min="3" max="3" width="16" customWidth="1"/>
    <col min="4" max="6" width="18" customWidth="1"/>
    <col min="7" max="8" width="14" customWidth="1"/>
    <col min="9" max="9" width="12" customWidth="1"/>
    <col min="10" max="10" width="14" customWidth="1"/>
    <col min="11" max="11" width="12" customWidth="1"/>
    <col min="12" max="12" width="14" customWidth="1"/>
    <col min="13" max="14" width="12" customWidth="1"/>
    <col min="15" max="16" width="16" customWidth="1"/>
    <col min="17" max="17" width="26" customWidth="1"/>
  </cols>
  <sheetData>
    <row r="1" spans="1:17" ht="15" customHeight="1">
      <c r="A1" s="25" t="s">
        <v>95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16.05" customHeight="1">
      <c r="A2" s="26" t="s">
        <v>96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17" customHeight="1">
      <c r="A3" s="1" t="s">
        <v>97</v>
      </c>
      <c r="B3" s="1" t="s">
        <v>98</v>
      </c>
      <c r="C3" s="1" t="s">
        <v>99</v>
      </c>
      <c r="D3" s="1" t="s">
        <v>393</v>
      </c>
      <c r="E3" s="1" t="s">
        <v>100</v>
      </c>
      <c r="F3" s="1" t="s">
        <v>101</v>
      </c>
      <c r="G3" s="1" t="s">
        <v>102</v>
      </c>
      <c r="H3" s="1" t="s">
        <v>103</v>
      </c>
      <c r="I3" s="1" t="s">
        <v>104</v>
      </c>
      <c r="J3" s="1" t="s">
        <v>105</v>
      </c>
      <c r="K3" s="1" t="s">
        <v>106</v>
      </c>
      <c r="L3" s="1" t="s">
        <v>107</v>
      </c>
      <c r="M3" s="1" t="s">
        <v>108</v>
      </c>
      <c r="N3" s="1" t="s">
        <v>109</v>
      </c>
      <c r="O3" s="1" t="s">
        <v>110</v>
      </c>
      <c r="P3" s="1" t="s">
        <v>111</v>
      </c>
      <c r="Q3" s="1" t="s">
        <v>60</v>
      </c>
    </row>
    <row r="4" spans="1:17" ht="54">
      <c r="A4" s="4" t="s">
        <v>394</v>
      </c>
      <c r="B4" s="4" t="s">
        <v>395</v>
      </c>
      <c r="C4" s="10">
        <v>154111</v>
      </c>
      <c r="D4" s="11">
        <v>7.9000000000000001E-2</v>
      </c>
      <c r="E4" s="5">
        <f t="shared" ref="E4:E33" si="0">IFERROR(C4*D4,0)</f>
        <v>12174.769</v>
      </c>
      <c r="F4" s="9">
        <f t="shared" ref="F4:F33" si="1">IFERROR(E4/SUM($E$4:$E$33),0)</f>
        <v>0.13957028407141905</v>
      </c>
      <c r="G4" s="4">
        <v>83</v>
      </c>
      <c r="H4" s="4">
        <v>3.14</v>
      </c>
      <c r="I4" s="11"/>
      <c r="J4" s="11">
        <v>0.55579999999999996</v>
      </c>
      <c r="K4" s="11">
        <v>0.31739999999999996</v>
      </c>
      <c r="L4" s="11">
        <v>2.3E-3</v>
      </c>
      <c r="M4" s="11">
        <v>3.4500000000000003E-2</v>
      </c>
      <c r="N4" s="11">
        <v>6.4199999999999993E-2</v>
      </c>
      <c r="O4" s="11">
        <v>3.3E-3</v>
      </c>
      <c r="P4" s="11"/>
      <c r="Q4" s="4" t="s">
        <v>441</v>
      </c>
    </row>
    <row r="5" spans="1:17" ht="54">
      <c r="A5" s="4" t="s">
        <v>396</v>
      </c>
      <c r="B5" s="4" t="s">
        <v>397</v>
      </c>
      <c r="C5" s="10">
        <v>35325</v>
      </c>
      <c r="D5" s="11">
        <v>0.2989</v>
      </c>
      <c r="E5" s="5">
        <f t="shared" si="0"/>
        <v>10558.6425</v>
      </c>
      <c r="F5" s="9">
        <f t="shared" si="1"/>
        <v>0.12104317816079781</v>
      </c>
      <c r="G5" s="4">
        <v>30</v>
      </c>
      <c r="H5" s="4">
        <v>1.84</v>
      </c>
      <c r="I5" s="11">
        <v>0.40329999999999999</v>
      </c>
      <c r="J5" s="11">
        <v>0.40429999999999999</v>
      </c>
      <c r="K5" s="11">
        <v>0.32549999999999996</v>
      </c>
      <c r="L5" s="11">
        <v>1.5300000000000001E-2</v>
      </c>
      <c r="M5" s="11">
        <v>6.2199999999999998E-2</v>
      </c>
      <c r="N5" s="11">
        <v>0.10550000000000001</v>
      </c>
      <c r="O5" s="11">
        <v>2.7099999999999999E-2</v>
      </c>
      <c r="P5" s="11"/>
      <c r="Q5" s="4" t="s">
        <v>441</v>
      </c>
    </row>
    <row r="6" spans="1:17" ht="54">
      <c r="A6" s="4" t="s">
        <v>398</v>
      </c>
      <c r="B6" s="4" t="s">
        <v>399</v>
      </c>
      <c r="C6" s="10">
        <v>241737</v>
      </c>
      <c r="D6" s="11">
        <v>1.3899999999999999E-2</v>
      </c>
      <c r="E6" s="5">
        <f t="shared" si="0"/>
        <v>3360.1442999999999</v>
      </c>
      <c r="F6" s="9">
        <f t="shared" si="1"/>
        <v>3.8520344367269678E-2</v>
      </c>
      <c r="G6" s="4">
        <v>37</v>
      </c>
      <c r="H6" s="4">
        <v>1.95</v>
      </c>
      <c r="I6" s="11">
        <v>0.41420000000000001</v>
      </c>
      <c r="J6" s="11">
        <v>0.34159999999999996</v>
      </c>
      <c r="K6" s="11">
        <v>0.53139999999999998</v>
      </c>
      <c r="L6" s="11">
        <v>0</v>
      </c>
      <c r="M6" s="11">
        <v>3.4200000000000001E-2</v>
      </c>
      <c r="N6" s="11">
        <v>2.9600000000000001E-2</v>
      </c>
      <c r="O6" s="11">
        <v>1.37E-2</v>
      </c>
      <c r="P6" s="11"/>
      <c r="Q6" s="4" t="s">
        <v>441</v>
      </c>
    </row>
    <row r="7" spans="1:17" ht="54">
      <c r="A7" s="4" t="s">
        <v>400</v>
      </c>
      <c r="B7" s="4" t="s">
        <v>401</v>
      </c>
      <c r="C7" s="10">
        <v>202178</v>
      </c>
      <c r="D7" s="11">
        <v>4.1399999999999999E-2</v>
      </c>
      <c r="E7" s="5">
        <f t="shared" si="0"/>
        <v>8370.1692000000003</v>
      </c>
      <c r="F7" s="9">
        <f t="shared" si="1"/>
        <v>9.5954748132785303E-2</v>
      </c>
      <c r="G7" s="4">
        <v>29</v>
      </c>
      <c r="H7" s="4">
        <v>2.34</v>
      </c>
      <c r="I7" s="11">
        <v>0.43520000000000003</v>
      </c>
      <c r="J7" s="11">
        <v>0.255</v>
      </c>
      <c r="K7" s="11">
        <v>0.56380000000000008</v>
      </c>
      <c r="L7" s="11">
        <v>4.24E-2</v>
      </c>
      <c r="M7" s="11">
        <v>1.66E-2</v>
      </c>
      <c r="N7" s="11">
        <v>8.2899999999999988E-2</v>
      </c>
      <c r="O7" s="11">
        <v>1.67E-2</v>
      </c>
      <c r="P7" s="11"/>
      <c r="Q7" s="4" t="s">
        <v>441</v>
      </c>
    </row>
    <row r="8" spans="1:17" ht="54">
      <c r="A8" s="4" t="s">
        <v>402</v>
      </c>
      <c r="B8" s="4" t="s">
        <v>403</v>
      </c>
      <c r="C8" s="10">
        <v>14688</v>
      </c>
      <c r="D8" s="11">
        <v>0.38390000000000002</v>
      </c>
      <c r="E8" s="5">
        <f t="shared" si="0"/>
        <v>5638.7232000000004</v>
      </c>
      <c r="F8" s="9">
        <f t="shared" si="1"/>
        <v>6.4641735611090531E-2</v>
      </c>
      <c r="G8" s="4">
        <v>26</v>
      </c>
      <c r="H8" s="4">
        <v>1.72</v>
      </c>
      <c r="I8" s="11">
        <v>0.69</v>
      </c>
      <c r="J8" s="11">
        <v>0.2676</v>
      </c>
      <c r="K8" s="11">
        <v>0.29380000000000001</v>
      </c>
      <c r="L8" s="11">
        <v>4.3400000000000001E-2</v>
      </c>
      <c r="M8" s="11">
        <v>0.10919999999999999</v>
      </c>
      <c r="N8" s="11">
        <v>8.1900000000000001E-2</v>
      </c>
      <c r="O8" s="11">
        <v>9.2200000000000004E-2</v>
      </c>
      <c r="P8" s="11"/>
      <c r="Q8" s="4" t="s">
        <v>441</v>
      </c>
    </row>
    <row r="9" spans="1:17" ht="54">
      <c r="A9" s="4" t="s">
        <v>404</v>
      </c>
      <c r="B9" s="4" t="s">
        <v>397</v>
      </c>
      <c r="C9" s="10">
        <v>17824</v>
      </c>
      <c r="D9" s="11">
        <v>0.37569999999999998</v>
      </c>
      <c r="E9" s="5">
        <f t="shared" si="0"/>
        <v>6696.4767999999995</v>
      </c>
      <c r="F9" s="9">
        <f t="shared" si="1"/>
        <v>7.6767712738834482E-2</v>
      </c>
      <c r="G9" s="4">
        <v>31</v>
      </c>
      <c r="H9" s="4">
        <v>2.0299999999999998</v>
      </c>
      <c r="I9" s="11">
        <v>0.38909999999999995</v>
      </c>
      <c r="J9" s="11">
        <v>0.38640000000000002</v>
      </c>
      <c r="K9" s="11">
        <v>0.32950000000000002</v>
      </c>
      <c r="L9" s="11">
        <v>1.61E-2</v>
      </c>
      <c r="M9" s="11">
        <v>6.0200000000000004E-2</v>
      </c>
      <c r="N9" s="11">
        <v>0.10890000000000001</v>
      </c>
      <c r="O9" s="11">
        <v>3.2199999999999999E-2</v>
      </c>
      <c r="P9" s="11"/>
      <c r="Q9" s="4" t="s">
        <v>441</v>
      </c>
    </row>
    <row r="10" spans="1:17" ht="54">
      <c r="A10" s="4" t="s">
        <v>405</v>
      </c>
      <c r="B10" s="4" t="s">
        <v>401</v>
      </c>
      <c r="C10" s="10">
        <v>292214</v>
      </c>
      <c r="D10" s="11">
        <v>2.3199999999999998E-2</v>
      </c>
      <c r="E10" s="5">
        <f t="shared" si="0"/>
        <v>6779.3647999999994</v>
      </c>
      <c r="F10" s="9">
        <f t="shared" si="1"/>
        <v>7.7717932139803145E-2</v>
      </c>
      <c r="G10" s="4">
        <v>55</v>
      </c>
      <c r="H10" s="4">
        <v>3.09</v>
      </c>
      <c r="I10" s="11">
        <v>0.41840000000000005</v>
      </c>
      <c r="J10" s="11">
        <v>0.28260000000000002</v>
      </c>
      <c r="K10" s="11">
        <v>0.57700000000000007</v>
      </c>
      <c r="L10" s="11">
        <v>1E-4</v>
      </c>
      <c r="M10" s="11">
        <v>2.46E-2</v>
      </c>
      <c r="N10" s="11">
        <v>7.5800000000000006E-2</v>
      </c>
      <c r="O10" s="11">
        <v>7.000000000000001E-4</v>
      </c>
      <c r="P10" s="11"/>
      <c r="Q10" s="4" t="s">
        <v>441</v>
      </c>
    </row>
    <row r="11" spans="1:17" ht="54">
      <c r="A11" s="4" t="s">
        <v>406</v>
      </c>
      <c r="B11" s="4" t="s">
        <v>401</v>
      </c>
      <c r="C11" s="10">
        <v>116617</v>
      </c>
      <c r="D11" s="11">
        <v>3.8699999999999998E-2</v>
      </c>
      <c r="E11" s="5">
        <f t="shared" si="0"/>
        <v>4513.0779000000002</v>
      </c>
      <c r="F11" s="9">
        <f t="shared" si="1"/>
        <v>5.1737455104030584E-2</v>
      </c>
      <c r="G11" s="4">
        <v>28</v>
      </c>
      <c r="H11" s="4">
        <v>1.81</v>
      </c>
      <c r="I11" s="11">
        <v>0.40770000000000001</v>
      </c>
      <c r="J11" s="11">
        <v>0.26350000000000001</v>
      </c>
      <c r="K11" s="11">
        <v>0.56409999999999993</v>
      </c>
      <c r="L11" s="11">
        <v>7.000000000000001E-4</v>
      </c>
      <c r="M11" s="11">
        <v>1.7399999999999999E-2</v>
      </c>
      <c r="N11" s="11">
        <v>0.11810000000000001</v>
      </c>
      <c r="O11" s="11">
        <v>3.0000000000000001E-3</v>
      </c>
      <c r="P11" s="11"/>
      <c r="Q11" s="4" t="s">
        <v>441</v>
      </c>
    </row>
    <row r="12" spans="1:17" ht="54">
      <c r="A12" s="4" t="s">
        <v>407</v>
      </c>
      <c r="B12" s="4" t="s">
        <v>408</v>
      </c>
      <c r="C12" s="10">
        <v>222359</v>
      </c>
      <c r="D12" s="11">
        <v>0.1031</v>
      </c>
      <c r="E12" s="5">
        <f t="shared" si="0"/>
        <v>22925.212899999999</v>
      </c>
      <c r="F12" s="9">
        <f t="shared" si="1"/>
        <v>0.26281225350975945</v>
      </c>
      <c r="G12" s="4">
        <v>199</v>
      </c>
      <c r="H12" s="4">
        <v>3.86</v>
      </c>
      <c r="I12" s="11">
        <v>0.39200000000000002</v>
      </c>
      <c r="J12" s="11">
        <v>0.59200000000000008</v>
      </c>
      <c r="K12" s="11">
        <v>0.121</v>
      </c>
      <c r="L12" s="11">
        <v>0.1159</v>
      </c>
      <c r="M12" s="11">
        <v>5.1400000000000001E-2</v>
      </c>
      <c r="N12" s="11">
        <v>1.9900000000000001E-2</v>
      </c>
      <c r="O12" s="11">
        <v>3.1099999999999999E-2</v>
      </c>
      <c r="P12" s="11"/>
      <c r="Q12" s="4" t="s">
        <v>441</v>
      </c>
    </row>
    <row r="13" spans="1:17" ht="54">
      <c r="A13" s="4" t="s">
        <v>409</v>
      </c>
      <c r="B13" s="4" t="s">
        <v>410</v>
      </c>
      <c r="C13" s="10">
        <v>701540</v>
      </c>
      <c r="D13" s="11">
        <v>7.0000000000000001E-3</v>
      </c>
      <c r="E13" s="5">
        <f t="shared" si="0"/>
        <v>4910.78</v>
      </c>
      <c r="F13" s="9">
        <f t="shared" si="1"/>
        <v>5.6296670566171991E-2</v>
      </c>
      <c r="G13" s="4">
        <v>104</v>
      </c>
      <c r="H13" s="4">
        <v>3.24</v>
      </c>
      <c r="I13" s="11">
        <v>0.4325</v>
      </c>
      <c r="J13" s="11">
        <v>0.35590000000000005</v>
      </c>
      <c r="K13" s="11">
        <v>0.40939999999999999</v>
      </c>
      <c r="L13" s="11">
        <v>5.2900000000000003E-2</v>
      </c>
      <c r="M13" s="11">
        <v>2.01E-2</v>
      </c>
      <c r="N13" s="11">
        <v>0.1018</v>
      </c>
      <c r="O13" s="11">
        <v>3.3E-3</v>
      </c>
      <c r="P13" s="11"/>
      <c r="Q13" s="4" t="s">
        <v>441</v>
      </c>
    </row>
    <row r="14" spans="1:17" ht="54">
      <c r="A14" s="4" t="s">
        <v>411</v>
      </c>
      <c r="B14" s="4" t="s">
        <v>397</v>
      </c>
      <c r="C14" s="10">
        <v>1935</v>
      </c>
      <c r="D14" s="11">
        <v>0.4294</v>
      </c>
      <c r="E14" s="5">
        <f t="shared" si="0"/>
        <v>830.88900000000001</v>
      </c>
      <c r="F14" s="9">
        <f t="shared" si="1"/>
        <v>9.5252249764917352E-3</v>
      </c>
      <c r="G14" s="4">
        <v>55</v>
      </c>
      <c r="H14" s="4">
        <v>2.0499999999999998</v>
      </c>
      <c r="I14" s="11">
        <v>0.40749999999999997</v>
      </c>
      <c r="J14" s="11">
        <v>0.38969999999999999</v>
      </c>
      <c r="K14" s="11">
        <v>0.30840000000000001</v>
      </c>
      <c r="L14" s="11">
        <v>1.72E-2</v>
      </c>
      <c r="M14" s="11">
        <v>6.3699999999999993E-2</v>
      </c>
      <c r="N14" s="11">
        <v>0.10640000000000001</v>
      </c>
      <c r="O14" s="11">
        <v>4.0300000000000002E-2</v>
      </c>
      <c r="P14" s="11"/>
      <c r="Q14" s="4" t="s">
        <v>441</v>
      </c>
    </row>
    <row r="15" spans="1:17" ht="54">
      <c r="A15" s="4" t="s">
        <v>412</v>
      </c>
      <c r="B15" s="4" t="s">
        <v>413</v>
      </c>
      <c r="C15" s="10">
        <v>5522</v>
      </c>
      <c r="D15" s="11">
        <v>8.5500000000000007E-2</v>
      </c>
      <c r="E15" s="5">
        <f t="shared" si="0"/>
        <v>472.13100000000003</v>
      </c>
      <c r="F15" s="9">
        <f t="shared" si="1"/>
        <v>5.4124606215463431E-3</v>
      </c>
      <c r="G15" s="4">
        <v>34</v>
      </c>
      <c r="H15" s="4">
        <v>1.85</v>
      </c>
      <c r="I15" s="11">
        <v>0.37270000000000003</v>
      </c>
      <c r="J15" s="11">
        <v>0.38520000000000004</v>
      </c>
      <c r="K15" s="11">
        <v>0.34020000000000006</v>
      </c>
      <c r="L15" s="11">
        <v>1.3899999999999999E-2</v>
      </c>
      <c r="M15" s="11">
        <v>6.1400000000000003E-2</v>
      </c>
      <c r="N15" s="11">
        <v>9.6500000000000002E-2</v>
      </c>
      <c r="O15" s="11">
        <v>3.0099999999999998E-2</v>
      </c>
      <c r="P15" s="11"/>
      <c r="Q15" s="4" t="s">
        <v>441</v>
      </c>
    </row>
    <row r="16" spans="1:17">
      <c r="A16" s="4"/>
      <c r="B16" s="4"/>
      <c r="C16" s="10"/>
      <c r="D16" s="11"/>
      <c r="E16" s="5">
        <f t="shared" si="0"/>
        <v>0</v>
      </c>
      <c r="F16" s="9">
        <f t="shared" si="1"/>
        <v>0</v>
      </c>
      <c r="G16" s="4"/>
      <c r="H16" s="4"/>
      <c r="I16" s="11"/>
      <c r="J16" s="11"/>
      <c r="K16" s="11"/>
      <c r="L16" s="11"/>
      <c r="M16" s="11"/>
      <c r="N16" s="11"/>
      <c r="O16" s="11"/>
      <c r="P16" s="11"/>
      <c r="Q16" s="4"/>
    </row>
    <row r="17" spans="1:17">
      <c r="A17" s="4"/>
      <c r="B17" s="4"/>
      <c r="C17" s="10"/>
      <c r="D17" s="11"/>
      <c r="E17" s="5">
        <f t="shared" si="0"/>
        <v>0</v>
      </c>
      <c r="F17" s="9">
        <f t="shared" si="1"/>
        <v>0</v>
      </c>
      <c r="G17" s="4"/>
      <c r="H17" s="4"/>
      <c r="I17" s="11"/>
      <c r="J17" s="11"/>
      <c r="K17" s="11"/>
      <c r="L17" s="11"/>
      <c r="M17" s="11"/>
      <c r="N17" s="11"/>
      <c r="O17" s="11"/>
      <c r="P17" s="11"/>
      <c r="Q17" s="4"/>
    </row>
    <row r="18" spans="1:17">
      <c r="A18" s="4"/>
      <c r="B18" s="4"/>
      <c r="C18" s="10"/>
      <c r="D18" s="11"/>
      <c r="E18" s="5">
        <f t="shared" si="0"/>
        <v>0</v>
      </c>
      <c r="F18" s="9">
        <f t="shared" si="1"/>
        <v>0</v>
      </c>
      <c r="G18" s="4"/>
      <c r="H18" s="4"/>
      <c r="I18" s="11"/>
      <c r="J18" s="11"/>
      <c r="K18" s="11"/>
      <c r="L18" s="11"/>
      <c r="M18" s="11"/>
      <c r="N18" s="11"/>
      <c r="O18" s="11"/>
      <c r="P18" s="11"/>
      <c r="Q18" s="4"/>
    </row>
    <row r="19" spans="1:17">
      <c r="A19" s="4"/>
      <c r="B19" s="4"/>
      <c r="C19" s="10"/>
      <c r="D19" s="11"/>
      <c r="E19" s="5">
        <f t="shared" si="0"/>
        <v>0</v>
      </c>
      <c r="F19" s="9">
        <f t="shared" si="1"/>
        <v>0</v>
      </c>
      <c r="G19" s="4"/>
      <c r="H19" s="4"/>
      <c r="I19" s="11"/>
      <c r="J19" s="11"/>
      <c r="K19" s="11"/>
      <c r="L19" s="11"/>
      <c r="M19" s="11"/>
      <c r="N19" s="11"/>
      <c r="O19" s="11"/>
      <c r="P19" s="11"/>
      <c r="Q19" s="4"/>
    </row>
    <row r="20" spans="1:17">
      <c r="A20" s="4"/>
      <c r="B20" s="4"/>
      <c r="C20" s="10"/>
      <c r="D20" s="11"/>
      <c r="E20" s="5">
        <f t="shared" si="0"/>
        <v>0</v>
      </c>
      <c r="F20" s="9">
        <f t="shared" si="1"/>
        <v>0</v>
      </c>
      <c r="G20" s="4"/>
      <c r="H20" s="4"/>
      <c r="I20" s="11"/>
      <c r="J20" s="11"/>
      <c r="K20" s="11"/>
      <c r="L20" s="11"/>
      <c r="M20" s="11"/>
      <c r="N20" s="11"/>
      <c r="O20" s="11"/>
      <c r="P20" s="11"/>
      <c r="Q20" s="4"/>
    </row>
    <row r="21" spans="1:17">
      <c r="A21" s="4"/>
      <c r="B21" s="4"/>
      <c r="C21" s="10"/>
      <c r="D21" s="11"/>
      <c r="E21" s="5">
        <f t="shared" si="0"/>
        <v>0</v>
      </c>
      <c r="F21" s="9">
        <f t="shared" si="1"/>
        <v>0</v>
      </c>
      <c r="G21" s="4"/>
      <c r="H21" s="4"/>
      <c r="I21" s="11"/>
      <c r="J21" s="11"/>
      <c r="K21" s="11"/>
      <c r="L21" s="11"/>
      <c r="M21" s="11"/>
      <c r="N21" s="11"/>
      <c r="O21" s="11"/>
      <c r="P21" s="11"/>
      <c r="Q21" s="4"/>
    </row>
    <row r="22" spans="1:17">
      <c r="A22" s="4"/>
      <c r="B22" s="4"/>
      <c r="C22" s="10"/>
      <c r="D22" s="11"/>
      <c r="E22" s="5">
        <f t="shared" si="0"/>
        <v>0</v>
      </c>
      <c r="F22" s="9">
        <f t="shared" si="1"/>
        <v>0</v>
      </c>
      <c r="G22" s="4"/>
      <c r="H22" s="4"/>
      <c r="I22" s="11"/>
      <c r="J22" s="11"/>
      <c r="K22" s="11"/>
      <c r="L22" s="11"/>
      <c r="M22" s="11"/>
      <c r="N22" s="11"/>
      <c r="O22" s="11"/>
      <c r="P22" s="11"/>
      <c r="Q22" s="4"/>
    </row>
    <row r="23" spans="1:17">
      <c r="A23" s="4"/>
      <c r="B23" s="4"/>
      <c r="C23" s="10"/>
      <c r="D23" s="11"/>
      <c r="E23" s="5">
        <f t="shared" si="0"/>
        <v>0</v>
      </c>
      <c r="F23" s="9">
        <f t="shared" si="1"/>
        <v>0</v>
      </c>
      <c r="G23" s="4"/>
      <c r="H23" s="4"/>
      <c r="I23" s="11"/>
      <c r="J23" s="11"/>
      <c r="K23" s="11"/>
      <c r="L23" s="11"/>
      <c r="M23" s="11"/>
      <c r="N23" s="11"/>
      <c r="O23" s="11"/>
      <c r="P23" s="11"/>
      <c r="Q23" s="4"/>
    </row>
    <row r="24" spans="1:17">
      <c r="A24" s="4"/>
      <c r="B24" s="4"/>
      <c r="C24" s="10"/>
      <c r="D24" s="11"/>
      <c r="E24" s="5">
        <f t="shared" si="0"/>
        <v>0</v>
      </c>
      <c r="F24" s="9">
        <f t="shared" si="1"/>
        <v>0</v>
      </c>
      <c r="G24" s="4"/>
      <c r="H24" s="4"/>
      <c r="I24" s="11"/>
      <c r="J24" s="11"/>
      <c r="K24" s="11"/>
      <c r="L24" s="11"/>
      <c r="M24" s="11"/>
      <c r="N24" s="11"/>
      <c r="O24" s="11"/>
      <c r="P24" s="11"/>
      <c r="Q24" s="4"/>
    </row>
    <row r="25" spans="1:17">
      <c r="A25" s="4"/>
      <c r="B25" s="4"/>
      <c r="C25" s="10"/>
      <c r="D25" s="11"/>
      <c r="E25" s="5">
        <f t="shared" si="0"/>
        <v>0</v>
      </c>
      <c r="F25" s="9">
        <f t="shared" si="1"/>
        <v>0</v>
      </c>
      <c r="G25" s="4"/>
      <c r="H25" s="4"/>
      <c r="I25" s="11"/>
      <c r="J25" s="11"/>
      <c r="K25" s="11"/>
      <c r="L25" s="11"/>
      <c r="M25" s="11"/>
      <c r="N25" s="11"/>
      <c r="O25" s="11"/>
      <c r="P25" s="11"/>
      <c r="Q25" s="4"/>
    </row>
    <row r="26" spans="1:17">
      <c r="A26" s="4"/>
      <c r="B26" s="4"/>
      <c r="C26" s="10"/>
      <c r="D26" s="11"/>
      <c r="E26" s="5">
        <f t="shared" si="0"/>
        <v>0</v>
      </c>
      <c r="F26" s="9">
        <f t="shared" si="1"/>
        <v>0</v>
      </c>
      <c r="G26" s="4"/>
      <c r="H26" s="4"/>
      <c r="I26" s="11"/>
      <c r="J26" s="11"/>
      <c r="K26" s="11"/>
      <c r="L26" s="11"/>
      <c r="M26" s="11"/>
      <c r="N26" s="11"/>
      <c r="O26" s="11"/>
      <c r="P26" s="11"/>
      <c r="Q26" s="4"/>
    </row>
    <row r="27" spans="1:17">
      <c r="A27" s="4"/>
      <c r="B27" s="4"/>
      <c r="C27" s="10"/>
      <c r="D27" s="11"/>
      <c r="E27" s="5">
        <f t="shared" si="0"/>
        <v>0</v>
      </c>
      <c r="F27" s="9">
        <f t="shared" si="1"/>
        <v>0</v>
      </c>
      <c r="G27" s="4"/>
      <c r="H27" s="4"/>
      <c r="I27" s="11"/>
      <c r="J27" s="11"/>
      <c r="K27" s="11"/>
      <c r="L27" s="11"/>
      <c r="M27" s="11"/>
      <c r="N27" s="11"/>
      <c r="O27" s="11"/>
      <c r="P27" s="11"/>
      <c r="Q27" s="4"/>
    </row>
    <row r="28" spans="1:17">
      <c r="A28" s="4"/>
      <c r="B28" s="4"/>
      <c r="C28" s="10"/>
      <c r="D28" s="11"/>
      <c r="E28" s="5">
        <f t="shared" si="0"/>
        <v>0</v>
      </c>
      <c r="F28" s="9">
        <f t="shared" si="1"/>
        <v>0</v>
      </c>
      <c r="G28" s="4"/>
      <c r="H28" s="4"/>
      <c r="I28" s="11"/>
      <c r="J28" s="11"/>
      <c r="K28" s="11"/>
      <c r="L28" s="11"/>
      <c r="M28" s="11"/>
      <c r="N28" s="11"/>
      <c r="O28" s="11"/>
      <c r="P28" s="11"/>
      <c r="Q28" s="4"/>
    </row>
    <row r="29" spans="1:17">
      <c r="A29" s="4"/>
      <c r="B29" s="4"/>
      <c r="C29" s="10"/>
      <c r="D29" s="11"/>
      <c r="E29" s="5">
        <f t="shared" si="0"/>
        <v>0</v>
      </c>
      <c r="F29" s="9">
        <f t="shared" si="1"/>
        <v>0</v>
      </c>
      <c r="G29" s="4"/>
      <c r="H29" s="4"/>
      <c r="I29" s="11"/>
      <c r="J29" s="11"/>
      <c r="K29" s="11"/>
      <c r="L29" s="11"/>
      <c r="M29" s="11"/>
      <c r="N29" s="11"/>
      <c r="O29" s="11"/>
      <c r="P29" s="11"/>
      <c r="Q29" s="4"/>
    </row>
    <row r="30" spans="1:17">
      <c r="A30" s="4"/>
      <c r="B30" s="4"/>
      <c r="C30" s="10"/>
      <c r="D30" s="11"/>
      <c r="E30" s="5">
        <f t="shared" si="0"/>
        <v>0</v>
      </c>
      <c r="F30" s="9">
        <f t="shared" si="1"/>
        <v>0</v>
      </c>
      <c r="G30" s="4"/>
      <c r="H30" s="4"/>
      <c r="I30" s="11"/>
      <c r="J30" s="11"/>
      <c r="K30" s="11"/>
      <c r="L30" s="11"/>
      <c r="M30" s="11"/>
      <c r="N30" s="11"/>
      <c r="O30" s="11"/>
      <c r="P30" s="11"/>
      <c r="Q30" s="4"/>
    </row>
    <row r="31" spans="1:17">
      <c r="A31" s="4"/>
      <c r="B31" s="4"/>
      <c r="C31" s="10"/>
      <c r="D31" s="11"/>
      <c r="E31" s="5">
        <f t="shared" si="0"/>
        <v>0</v>
      </c>
      <c r="F31" s="9">
        <f t="shared" si="1"/>
        <v>0</v>
      </c>
      <c r="G31" s="4"/>
      <c r="H31" s="4"/>
      <c r="I31" s="11"/>
      <c r="J31" s="11"/>
      <c r="K31" s="11"/>
      <c r="L31" s="11"/>
      <c r="M31" s="11"/>
      <c r="N31" s="11"/>
      <c r="O31" s="11"/>
      <c r="P31" s="11"/>
      <c r="Q31" s="4"/>
    </row>
    <row r="32" spans="1:17">
      <c r="A32" s="4"/>
      <c r="B32" s="4"/>
      <c r="C32" s="10"/>
      <c r="D32" s="11"/>
      <c r="E32" s="5">
        <f t="shared" si="0"/>
        <v>0</v>
      </c>
      <c r="F32" s="9">
        <f t="shared" si="1"/>
        <v>0</v>
      </c>
      <c r="G32" s="4"/>
      <c r="H32" s="4"/>
      <c r="I32" s="11"/>
      <c r="J32" s="11"/>
      <c r="K32" s="11"/>
      <c r="L32" s="11"/>
      <c r="M32" s="11"/>
      <c r="N32" s="11"/>
      <c r="O32" s="11"/>
      <c r="P32" s="11"/>
      <c r="Q32" s="4"/>
    </row>
    <row r="33" spans="1:17">
      <c r="A33" s="4"/>
      <c r="B33" s="4"/>
      <c r="C33" s="10"/>
      <c r="D33" s="11"/>
      <c r="E33" s="5">
        <f t="shared" si="0"/>
        <v>0</v>
      </c>
      <c r="F33" s="9">
        <f t="shared" si="1"/>
        <v>0</v>
      </c>
      <c r="G33" s="4"/>
      <c r="H33" s="4"/>
      <c r="I33" s="11"/>
      <c r="J33" s="11"/>
      <c r="K33" s="11"/>
      <c r="L33" s="11"/>
      <c r="M33" s="11"/>
      <c r="N33" s="11"/>
      <c r="O33" s="11"/>
      <c r="P33" s="11"/>
      <c r="Q33" s="4"/>
    </row>
    <row r="36" spans="1:17" ht="17" customHeight="1">
      <c r="A36" s="1" t="s">
        <v>112</v>
      </c>
      <c r="B36" s="1" t="s">
        <v>113</v>
      </c>
      <c r="C36" s="1" t="s">
        <v>114</v>
      </c>
    </row>
    <row r="37" spans="1:17" ht="54">
      <c r="A37" s="2" t="s">
        <v>73</v>
      </c>
      <c r="B37" s="7">
        <f>SUM(E4:E33)</f>
        <v>87230.380599999989</v>
      </c>
      <c r="C37" s="2" t="s">
        <v>115</v>
      </c>
    </row>
    <row r="38" spans="1:17" ht="40.5">
      <c r="A38" s="2" t="s">
        <v>116</v>
      </c>
      <c r="B38" s="8">
        <f>LARGE(F4:F33,1)+LARGE(F4:F33,2)+LARGE(F4:F33,3)</f>
        <v>0.52342571574197627</v>
      </c>
      <c r="C38" s="2" t="s">
        <v>117</v>
      </c>
    </row>
    <row r="39" spans="1:17" ht="40.5">
      <c r="A39" s="2" t="s">
        <v>118</v>
      </c>
      <c r="B39" s="8">
        <f>LARGE(F4:F33,1)+LARGE(F4:F33,2)+LARGE(F4:F33,3)+LARGE(F4:F33,4)+LARGE(F4:F33,5)</f>
        <v>0.69709839601456469</v>
      </c>
      <c r="C39" s="2" t="s">
        <v>119</v>
      </c>
    </row>
    <row r="40" spans="1:17" ht="67.5">
      <c r="A40" s="2" t="s">
        <v>120</v>
      </c>
      <c r="B40" s="14">
        <f>SUMSQ(F4:F33)*10000</f>
        <v>1359.7074308568426</v>
      </c>
      <c r="C40" s="2" t="s">
        <v>121</v>
      </c>
    </row>
    <row r="41" spans="1:17" ht="40.5">
      <c r="A41" s="2" t="s">
        <v>122</v>
      </c>
      <c r="B41" s="14">
        <f>IFERROR(SUMPRODUCT(E4:E33,G4:G33)/SUM(E4:E33),0)</f>
        <v>88.069591813749341</v>
      </c>
      <c r="C41" s="2" t="s">
        <v>123</v>
      </c>
    </row>
  </sheetData>
  <mergeCells count="2">
    <mergeCell ref="A1:Q1"/>
    <mergeCell ref="A2:Q2"/>
  </mergeCells>
  <dataValidations count="1">
    <dataValidation type="list" sqref="B4:B33" xr:uid="{00000000-0002-0000-0200-000000000000}">
      <formula1>"агентство,нишевый специалист,рекламный подрядчик,консалтинг,платформа услуг,обучающий заменитель,цифровой сервис,маркетплейс,другое"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/>
  </sheetViews>
  <sheetFormatPr defaultRowHeight="13.5"/>
  <cols>
    <col min="1" max="1" width="22" customWidth="1"/>
    <col min="2" max="2" width="28" customWidth="1"/>
    <col min="3" max="4" width="18" customWidth="1"/>
    <col min="5" max="5" width="16" customWidth="1"/>
    <col min="6" max="6" width="34" customWidth="1"/>
    <col min="7" max="7" width="38" customWidth="1"/>
    <col min="8" max="8" width="36" customWidth="1"/>
    <col min="9" max="9" width="28" customWidth="1"/>
  </cols>
  <sheetData>
    <row r="1" spans="1:9" ht="15" customHeight="1">
      <c r="A1" s="25" t="s">
        <v>124</v>
      </c>
      <c r="B1" s="25"/>
      <c r="C1" s="25"/>
      <c r="D1" s="25"/>
      <c r="E1" s="25"/>
      <c r="F1" s="25"/>
      <c r="G1" s="25"/>
      <c r="H1" s="25"/>
      <c r="I1" s="25"/>
    </row>
    <row r="2" spans="1:9" ht="16.05" customHeight="1">
      <c r="A2" s="26" t="s">
        <v>125</v>
      </c>
      <c r="B2" s="26"/>
      <c r="C2" s="26"/>
      <c r="D2" s="26"/>
      <c r="E2" s="26"/>
      <c r="F2" s="26"/>
      <c r="G2" s="26"/>
      <c r="H2" s="26"/>
      <c r="I2" s="26"/>
    </row>
    <row r="3" spans="1:9" ht="17" customHeight="1">
      <c r="A3" s="1" t="s">
        <v>126</v>
      </c>
      <c r="B3" s="1" t="s">
        <v>127</v>
      </c>
      <c r="C3" s="1" t="s">
        <v>128</v>
      </c>
      <c r="D3" s="1" t="s">
        <v>129</v>
      </c>
      <c r="E3" s="1" t="s">
        <v>130</v>
      </c>
      <c r="F3" s="1" t="s">
        <v>114</v>
      </c>
      <c r="G3" s="1" t="s">
        <v>131</v>
      </c>
      <c r="H3" s="1" t="s">
        <v>132</v>
      </c>
      <c r="I3" s="1" t="s">
        <v>133</v>
      </c>
    </row>
    <row r="4" spans="1:9" ht="27">
      <c r="A4" s="2" t="s">
        <v>105</v>
      </c>
      <c r="B4" s="2" t="s">
        <v>134</v>
      </c>
      <c r="C4" s="9">
        <f>IFERROR(SUMPRODUCT('02_Конкуренты_SW'!$E$4:$E$33,'02_Конкуренты_SW'!$J$4:$J$33)/SUM('02_Конкуренты_SW'!$E$4:$E$33),0)</f>
        <v>0.42811271005849544</v>
      </c>
      <c r="D4" s="9">
        <v>0.3</v>
      </c>
      <c r="E4" s="15">
        <f t="shared" ref="E4:E10" si="0">IF(C4&gt;=D4,5,IF(C4&gt;=D4*0.65,3,1))</f>
        <v>5</v>
      </c>
      <c r="F4" s="2" t="s">
        <v>135</v>
      </c>
      <c r="G4" s="2" t="s">
        <v>136</v>
      </c>
      <c r="H4" s="2" t="s">
        <v>137</v>
      </c>
      <c r="I4" s="2" t="s">
        <v>138</v>
      </c>
    </row>
    <row r="5" spans="1:9" ht="27">
      <c r="A5" s="2" t="s">
        <v>139</v>
      </c>
      <c r="B5" s="2" t="s">
        <v>140</v>
      </c>
      <c r="C5" s="9">
        <f>IFERROR(SUMPRODUCT('02_Конкуренты_SW'!$E$4:$E$33,'02_Конкуренты_SW'!$K$4:$K$33)/SUM('02_Конкуренты_SW'!$E$4:$E$33),0)</f>
        <v>0.33621024727914578</v>
      </c>
      <c r="D5" s="9">
        <f>'01_Параметры'!B15</f>
        <v>0.45</v>
      </c>
      <c r="E5" s="15">
        <f t="shared" si="0"/>
        <v>3</v>
      </c>
      <c r="F5" s="2" t="s">
        <v>141</v>
      </c>
      <c r="G5" s="2" t="s">
        <v>142</v>
      </c>
      <c r="H5" s="2" t="s">
        <v>143</v>
      </c>
      <c r="I5" s="2" t="s">
        <v>144</v>
      </c>
    </row>
    <row r="6" spans="1:9" ht="27">
      <c r="A6" s="2" t="s">
        <v>107</v>
      </c>
      <c r="B6" s="2" t="s">
        <v>145</v>
      </c>
      <c r="C6" s="9">
        <f>IFERROR(SUMPRODUCT('02_Конкуренты_SW'!$E$4:$E$33,'02_Конкуренты_SW'!$L$4:$L$33)/SUM('02_Конкуренты_SW'!$E$4:$E$33),0)</f>
        <v>4.40039542394247E-2</v>
      </c>
      <c r="D6" s="9">
        <f>'01_Параметры'!B14</f>
        <v>0.2</v>
      </c>
      <c r="E6" s="15">
        <f t="shared" si="0"/>
        <v>1</v>
      </c>
      <c r="F6" s="2" t="s">
        <v>146</v>
      </c>
      <c r="G6" s="2" t="s">
        <v>147</v>
      </c>
      <c r="H6" s="2" t="s">
        <v>148</v>
      </c>
      <c r="I6" s="2" t="s">
        <v>149</v>
      </c>
    </row>
    <row r="7" spans="1:9" ht="27">
      <c r="A7" s="2" t="s">
        <v>150</v>
      </c>
      <c r="B7" s="2" t="s">
        <v>151</v>
      </c>
      <c r="C7" s="9">
        <f>IFERROR(SUMPRODUCT('02_Конкуренты_SW'!$E$4:$E$33,'02_Конкуренты_SW'!$M$4:$M$33)/SUM('02_Конкуренты_SW'!$E$4:$E$33),0)</f>
        <v>4.5325886585435807E-2</v>
      </c>
      <c r="D7" s="9">
        <v>0.2</v>
      </c>
      <c r="E7" s="15">
        <f t="shared" si="0"/>
        <v>1</v>
      </c>
      <c r="F7" s="2" t="s">
        <v>152</v>
      </c>
      <c r="G7" s="2" t="s">
        <v>153</v>
      </c>
      <c r="H7" s="2" t="s">
        <v>154</v>
      </c>
      <c r="I7" s="2" t="s">
        <v>155</v>
      </c>
    </row>
    <row r="8" spans="1:9" ht="27">
      <c r="A8" s="2" t="s">
        <v>156</v>
      </c>
      <c r="B8" s="2" t="s">
        <v>157</v>
      </c>
      <c r="C8" s="9">
        <f>IFERROR(SUMPRODUCT('02_Конкуренты_SW'!$E$4:$E$33,'02_Конкуренты_SW'!$N$4:$N$33)/SUM('02_Конкуренты_SW'!$E$4:$E$33),0)</f>
        <v>6.8977444410577307E-2</v>
      </c>
      <c r="D8" s="9">
        <v>0.15</v>
      </c>
      <c r="E8" s="15">
        <f t="shared" si="0"/>
        <v>1</v>
      </c>
      <c r="F8" s="2" t="s">
        <v>158</v>
      </c>
      <c r="G8" s="2" t="s">
        <v>159</v>
      </c>
      <c r="H8" s="2" t="s">
        <v>160</v>
      </c>
      <c r="I8" s="2" t="s">
        <v>161</v>
      </c>
    </row>
    <row r="9" spans="1:9" ht="27">
      <c r="A9" s="2" t="s">
        <v>110</v>
      </c>
      <c r="B9" s="2" t="s">
        <v>162</v>
      </c>
      <c r="C9" s="9">
        <f>IFERROR(SUMPRODUCT('02_Конкуренты_SW'!$E$4:$E$33,'02_Конкуренты_SW'!$O$4:$O$33)/SUM('02_Конкуренты_SW'!$E$4:$E$33),0)</f>
        <v>2.3418550096868437E-2</v>
      </c>
      <c r="D9" s="9">
        <v>0.1</v>
      </c>
      <c r="E9" s="15">
        <f t="shared" si="0"/>
        <v>1</v>
      </c>
      <c r="F9" s="2" t="s">
        <v>163</v>
      </c>
      <c r="G9" s="2" t="s">
        <v>164</v>
      </c>
      <c r="H9" s="2" t="s">
        <v>165</v>
      </c>
      <c r="I9" s="2" t="s">
        <v>166</v>
      </c>
    </row>
    <row r="10" spans="1:9" ht="27">
      <c r="A10" s="2" t="s">
        <v>167</v>
      </c>
      <c r="B10" s="2" t="s">
        <v>168</v>
      </c>
      <c r="C10" s="9">
        <f>IFERROR(SUMPRODUCT('02_Конкуренты_SW'!$E$4:$E$33,('02_Конкуренты_SW'!$J$4:$J$33+'02_Конкуренты_SW'!$P$4:$P$33))/SUM('02_Конкуренты_SW'!$E$4:$E$33),0)</f>
        <v>0.42811271005849544</v>
      </c>
      <c r="D10" s="9">
        <f>'01_Параметры'!B16</f>
        <v>0.5</v>
      </c>
      <c r="E10" s="15">
        <f t="shared" si="0"/>
        <v>3</v>
      </c>
      <c r="F10" s="2" t="s">
        <v>169</v>
      </c>
      <c r="G10" s="2" t="s">
        <v>170</v>
      </c>
      <c r="H10" s="2" t="s">
        <v>171</v>
      </c>
      <c r="I10" s="2" t="s">
        <v>172</v>
      </c>
    </row>
  </sheetData>
  <mergeCells count="2">
    <mergeCell ref="A1:I1"/>
    <mergeCell ref="A2:I2"/>
  </mergeCells>
  <conditionalFormatting sqref="E4:E10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9"/>
  <sheetViews>
    <sheetView workbookViewId="0"/>
  </sheetViews>
  <sheetFormatPr defaultRowHeight="13.5"/>
  <cols>
    <col min="1" max="1" width="28" customWidth="1"/>
    <col min="2" max="2" width="18" customWidth="1"/>
    <col min="3" max="3" width="26" customWidth="1"/>
    <col min="4" max="4" width="16" customWidth="1"/>
    <col min="5" max="5" width="14" customWidth="1"/>
    <col min="6" max="7" width="16" customWidth="1"/>
    <col min="8" max="10" width="18" customWidth="1"/>
    <col min="11" max="12" width="16" customWidth="1"/>
    <col min="13" max="13" width="28" customWidth="1"/>
  </cols>
  <sheetData>
    <row r="1" spans="1:13" ht="15" customHeight="1">
      <c r="A1" s="25" t="s">
        <v>173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16.05" customHeight="1">
      <c r="A2" s="26" t="s">
        <v>174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17" customHeight="1">
      <c r="A3" s="1" t="s">
        <v>175</v>
      </c>
      <c r="B3" s="1" t="s">
        <v>176</v>
      </c>
      <c r="C3" s="1" t="s">
        <v>133</v>
      </c>
      <c r="D3" s="1" t="s">
        <v>423</v>
      </c>
      <c r="E3" s="1" t="s">
        <v>177</v>
      </c>
      <c r="F3" s="1" t="s">
        <v>178</v>
      </c>
      <c r="G3" s="1" t="s">
        <v>179</v>
      </c>
      <c r="H3" s="1" t="s">
        <v>180</v>
      </c>
      <c r="I3" s="1" t="s">
        <v>181</v>
      </c>
      <c r="J3" s="1" t="s">
        <v>182</v>
      </c>
      <c r="K3" s="1" t="s">
        <v>183</v>
      </c>
      <c r="L3" s="1" t="s">
        <v>130</v>
      </c>
      <c r="M3" s="1" t="s">
        <v>60</v>
      </c>
    </row>
    <row r="4" spans="1:13" ht="67.5">
      <c r="A4" s="4" t="s">
        <v>414</v>
      </c>
      <c r="B4" s="4" t="s">
        <v>184</v>
      </c>
      <c r="C4" s="4" t="s">
        <v>415</v>
      </c>
      <c r="D4" s="10">
        <v>47.6</v>
      </c>
      <c r="E4" s="16"/>
      <c r="F4" s="16"/>
      <c r="G4" s="17"/>
      <c r="H4" s="4"/>
      <c r="I4" s="4"/>
      <c r="J4" s="4"/>
      <c r="K4" s="9" t="str">
        <f t="shared" ref="K4:K33" si="0">IF(COUNT(E4:J4)&lt;2,"",MIN(1,(IF(ISNUMBER(E4),MIN(E4/2,1),0)+IF(ISNUMBER(F4),F4,0)+IF(ISNUMBER(G4),G4/100,0)+IF(ISNUMBER(H4),MIN(H4/10,1),0)+IF(ISNUMBER(J4),MIN(J4/50,1),0))/MAX(1,COUNT(E4:H4,J4))))</f>
        <v/>
      </c>
      <c r="L4" s="18" t="str">
        <f t="shared" ref="L4:L33" si="1">IF(K4="","",IF(K4&gt;=0.7,5,IF(K4&gt;=0.4,3,1)))</f>
        <v/>
      </c>
      <c r="M4" s="2" t="s">
        <v>444</v>
      </c>
    </row>
    <row r="5" spans="1:13" ht="67.5">
      <c r="A5" s="4" t="s">
        <v>416</v>
      </c>
      <c r="B5" s="4" t="s">
        <v>184</v>
      </c>
      <c r="C5" s="4" t="s">
        <v>415</v>
      </c>
      <c r="D5" s="10">
        <v>32</v>
      </c>
      <c r="E5" s="16"/>
      <c r="F5" s="16"/>
      <c r="G5" s="17"/>
      <c r="H5" s="4"/>
      <c r="I5" s="4"/>
      <c r="J5" s="4"/>
      <c r="K5" s="9" t="str">
        <f t="shared" si="0"/>
        <v/>
      </c>
      <c r="L5" s="18" t="str">
        <f t="shared" si="1"/>
        <v/>
      </c>
      <c r="M5" s="2" t="s">
        <v>444</v>
      </c>
    </row>
    <row r="6" spans="1:13" ht="67.5">
      <c r="A6" s="4" t="s">
        <v>417</v>
      </c>
      <c r="B6" s="4" t="s">
        <v>185</v>
      </c>
      <c r="C6" s="4" t="s">
        <v>415</v>
      </c>
      <c r="D6" s="10">
        <v>13.2</v>
      </c>
      <c r="E6" s="16"/>
      <c r="F6" s="16"/>
      <c r="G6" s="17"/>
      <c r="H6" s="4"/>
      <c r="I6" s="4"/>
      <c r="J6" s="4"/>
      <c r="K6" s="9" t="str">
        <f t="shared" si="0"/>
        <v/>
      </c>
      <c r="L6" s="18" t="str">
        <f t="shared" si="1"/>
        <v/>
      </c>
      <c r="M6" s="2" t="s">
        <v>444</v>
      </c>
    </row>
    <row r="7" spans="1:13" ht="67.5">
      <c r="A7" s="4" t="s">
        <v>418</v>
      </c>
      <c r="B7" s="4" t="s">
        <v>184</v>
      </c>
      <c r="C7" s="4" t="s">
        <v>415</v>
      </c>
      <c r="D7" s="10">
        <v>29</v>
      </c>
      <c r="E7" s="16"/>
      <c r="F7" s="16"/>
      <c r="G7" s="17"/>
      <c r="H7" s="4"/>
      <c r="I7" s="4"/>
      <c r="J7" s="4"/>
      <c r="K7" s="9" t="str">
        <f t="shared" si="0"/>
        <v/>
      </c>
      <c r="L7" s="18" t="str">
        <f t="shared" si="1"/>
        <v/>
      </c>
      <c r="M7" s="2" t="s">
        <v>444</v>
      </c>
    </row>
    <row r="8" spans="1:13" ht="67.5">
      <c r="A8" s="4" t="s">
        <v>419</v>
      </c>
      <c r="B8" s="4" t="s">
        <v>420</v>
      </c>
      <c r="C8" s="4" t="s">
        <v>415</v>
      </c>
      <c r="D8" s="10">
        <v>60.9</v>
      </c>
      <c r="E8" s="16"/>
      <c r="F8" s="16"/>
      <c r="G8" s="17"/>
      <c r="H8" s="4"/>
      <c r="I8" s="4"/>
      <c r="J8" s="4"/>
      <c r="K8" s="9" t="str">
        <f t="shared" si="0"/>
        <v/>
      </c>
      <c r="L8" s="18" t="str">
        <f t="shared" si="1"/>
        <v/>
      </c>
      <c r="M8" s="2" t="s">
        <v>444</v>
      </c>
    </row>
    <row r="9" spans="1:13" ht="67.5">
      <c r="A9" s="4" t="s">
        <v>421</v>
      </c>
      <c r="B9" s="4" t="s">
        <v>422</v>
      </c>
      <c r="C9" s="4" t="s">
        <v>415</v>
      </c>
      <c r="D9" s="10">
        <v>0.6</v>
      </c>
      <c r="E9" s="16"/>
      <c r="F9" s="16"/>
      <c r="G9" s="17"/>
      <c r="H9" s="4"/>
      <c r="I9" s="4"/>
      <c r="J9" s="4"/>
      <c r="K9" s="9" t="str">
        <f t="shared" si="0"/>
        <v/>
      </c>
      <c r="L9" s="18" t="str">
        <f t="shared" si="1"/>
        <v/>
      </c>
      <c r="M9" s="2" t="s">
        <v>444</v>
      </c>
    </row>
    <row r="10" spans="1:13">
      <c r="A10" s="4"/>
      <c r="B10" s="4"/>
      <c r="C10" s="4"/>
      <c r="D10" s="10"/>
      <c r="E10" s="16"/>
      <c r="F10" s="16"/>
      <c r="G10" s="17"/>
      <c r="H10" s="4"/>
      <c r="I10" s="4"/>
      <c r="J10" s="4"/>
      <c r="K10" s="9" t="str">
        <f t="shared" si="0"/>
        <v/>
      </c>
      <c r="L10" s="18" t="str">
        <f t="shared" si="1"/>
        <v/>
      </c>
      <c r="M10" s="2"/>
    </row>
    <row r="11" spans="1:13">
      <c r="A11" s="4"/>
      <c r="B11" s="4"/>
      <c r="C11" s="4"/>
      <c r="D11" s="10"/>
      <c r="E11" s="16"/>
      <c r="F11" s="16"/>
      <c r="G11" s="17"/>
      <c r="H11" s="4"/>
      <c r="I11" s="4"/>
      <c r="J11" s="4"/>
      <c r="K11" s="9" t="str">
        <f t="shared" si="0"/>
        <v/>
      </c>
      <c r="L11" s="18" t="str">
        <f t="shared" si="1"/>
        <v/>
      </c>
      <c r="M11" s="2"/>
    </row>
    <row r="12" spans="1:13">
      <c r="A12" s="4"/>
      <c r="B12" s="4"/>
      <c r="C12" s="4"/>
      <c r="D12" s="10"/>
      <c r="E12" s="16"/>
      <c r="F12" s="16"/>
      <c r="G12" s="17"/>
      <c r="H12" s="4"/>
      <c r="I12" s="4"/>
      <c r="J12" s="4"/>
      <c r="K12" s="9" t="str">
        <f t="shared" si="0"/>
        <v/>
      </c>
      <c r="L12" s="18" t="str">
        <f t="shared" si="1"/>
        <v/>
      </c>
      <c r="M12" s="2"/>
    </row>
    <row r="13" spans="1:13">
      <c r="A13" s="4"/>
      <c r="B13" s="4"/>
      <c r="C13" s="4"/>
      <c r="D13" s="10"/>
      <c r="E13" s="16"/>
      <c r="F13" s="16"/>
      <c r="G13" s="17"/>
      <c r="H13" s="4"/>
      <c r="I13" s="4"/>
      <c r="J13" s="4"/>
      <c r="K13" s="9" t="str">
        <f t="shared" si="0"/>
        <v/>
      </c>
      <c r="L13" s="18" t="str">
        <f t="shared" si="1"/>
        <v/>
      </c>
      <c r="M13" s="2"/>
    </row>
    <row r="14" spans="1:13">
      <c r="A14" s="4"/>
      <c r="B14" s="4"/>
      <c r="C14" s="4"/>
      <c r="D14" s="10"/>
      <c r="E14" s="16"/>
      <c r="F14" s="16"/>
      <c r="G14" s="17"/>
      <c r="H14" s="4"/>
      <c r="I14" s="4"/>
      <c r="J14" s="4"/>
      <c r="K14" s="9" t="str">
        <f t="shared" si="0"/>
        <v/>
      </c>
      <c r="L14" s="18" t="str">
        <f t="shared" si="1"/>
        <v/>
      </c>
      <c r="M14" s="2"/>
    </row>
    <row r="15" spans="1:13">
      <c r="A15" s="4"/>
      <c r="B15" s="4"/>
      <c r="C15" s="4"/>
      <c r="D15" s="10"/>
      <c r="E15" s="16"/>
      <c r="F15" s="16"/>
      <c r="G15" s="17"/>
      <c r="H15" s="4"/>
      <c r="I15" s="4"/>
      <c r="J15" s="4"/>
      <c r="K15" s="9" t="str">
        <f t="shared" si="0"/>
        <v/>
      </c>
      <c r="L15" s="18" t="str">
        <f t="shared" si="1"/>
        <v/>
      </c>
      <c r="M15" s="2"/>
    </row>
    <row r="16" spans="1:13">
      <c r="A16" s="4"/>
      <c r="B16" s="4"/>
      <c r="C16" s="4"/>
      <c r="D16" s="10"/>
      <c r="E16" s="16"/>
      <c r="F16" s="16"/>
      <c r="G16" s="17"/>
      <c r="H16" s="4"/>
      <c r="I16" s="4"/>
      <c r="J16" s="4"/>
      <c r="K16" s="9" t="str">
        <f t="shared" si="0"/>
        <v/>
      </c>
      <c r="L16" s="18" t="str">
        <f t="shared" si="1"/>
        <v/>
      </c>
      <c r="M16" s="2"/>
    </row>
    <row r="17" spans="1:13">
      <c r="A17" s="4"/>
      <c r="B17" s="4"/>
      <c r="C17" s="4"/>
      <c r="D17" s="10"/>
      <c r="E17" s="16"/>
      <c r="F17" s="16"/>
      <c r="G17" s="17"/>
      <c r="H17" s="4"/>
      <c r="I17" s="4"/>
      <c r="J17" s="4"/>
      <c r="K17" s="9" t="str">
        <f t="shared" si="0"/>
        <v/>
      </c>
      <c r="L17" s="18" t="str">
        <f t="shared" si="1"/>
        <v/>
      </c>
      <c r="M17" s="2"/>
    </row>
    <row r="18" spans="1:13">
      <c r="A18" s="4"/>
      <c r="B18" s="4"/>
      <c r="C18" s="4"/>
      <c r="D18" s="10"/>
      <c r="E18" s="16"/>
      <c r="F18" s="16"/>
      <c r="G18" s="17"/>
      <c r="H18" s="4"/>
      <c r="I18" s="4"/>
      <c r="J18" s="4"/>
      <c r="K18" s="9" t="str">
        <f t="shared" si="0"/>
        <v/>
      </c>
      <c r="L18" s="18" t="str">
        <f t="shared" si="1"/>
        <v/>
      </c>
      <c r="M18" s="2"/>
    </row>
    <row r="19" spans="1:13">
      <c r="A19" s="4"/>
      <c r="B19" s="4"/>
      <c r="C19" s="4"/>
      <c r="D19" s="10"/>
      <c r="E19" s="16"/>
      <c r="F19" s="16"/>
      <c r="G19" s="17"/>
      <c r="H19" s="4"/>
      <c r="I19" s="4"/>
      <c r="J19" s="4"/>
      <c r="K19" s="9" t="str">
        <f t="shared" si="0"/>
        <v/>
      </c>
      <c r="L19" s="18" t="str">
        <f t="shared" si="1"/>
        <v/>
      </c>
      <c r="M19" s="2"/>
    </row>
    <row r="20" spans="1:13">
      <c r="A20" s="4"/>
      <c r="B20" s="4"/>
      <c r="C20" s="4"/>
      <c r="D20" s="10"/>
      <c r="E20" s="16"/>
      <c r="F20" s="16"/>
      <c r="G20" s="17"/>
      <c r="H20" s="4"/>
      <c r="I20" s="4"/>
      <c r="J20" s="4"/>
      <c r="K20" s="9" t="str">
        <f t="shared" si="0"/>
        <v/>
      </c>
      <c r="L20" s="18" t="str">
        <f t="shared" si="1"/>
        <v/>
      </c>
      <c r="M20" s="2"/>
    </row>
    <row r="21" spans="1:13">
      <c r="A21" s="4"/>
      <c r="B21" s="4"/>
      <c r="C21" s="4"/>
      <c r="D21" s="10"/>
      <c r="E21" s="16"/>
      <c r="F21" s="16"/>
      <c r="G21" s="17"/>
      <c r="H21" s="4"/>
      <c r="I21" s="4"/>
      <c r="J21" s="4"/>
      <c r="K21" s="9" t="str">
        <f t="shared" si="0"/>
        <v/>
      </c>
      <c r="L21" s="18" t="str">
        <f t="shared" si="1"/>
        <v/>
      </c>
      <c r="M21" s="2"/>
    </row>
    <row r="22" spans="1:13">
      <c r="A22" s="4"/>
      <c r="B22" s="4"/>
      <c r="C22" s="4"/>
      <c r="D22" s="10"/>
      <c r="E22" s="16"/>
      <c r="F22" s="16"/>
      <c r="G22" s="17"/>
      <c r="H22" s="4"/>
      <c r="I22" s="4"/>
      <c r="J22" s="4"/>
      <c r="K22" s="9" t="str">
        <f t="shared" si="0"/>
        <v/>
      </c>
      <c r="L22" s="18" t="str">
        <f t="shared" si="1"/>
        <v/>
      </c>
      <c r="M22" s="2"/>
    </row>
    <row r="23" spans="1:13">
      <c r="A23" s="4"/>
      <c r="B23" s="4"/>
      <c r="C23" s="4"/>
      <c r="D23" s="10"/>
      <c r="E23" s="16"/>
      <c r="F23" s="16"/>
      <c r="G23" s="17"/>
      <c r="H23" s="4"/>
      <c r="I23" s="4"/>
      <c r="J23" s="4"/>
      <c r="K23" s="9" t="str">
        <f t="shared" si="0"/>
        <v/>
      </c>
      <c r="L23" s="18" t="str">
        <f t="shared" si="1"/>
        <v/>
      </c>
      <c r="M23" s="2"/>
    </row>
    <row r="24" spans="1:13">
      <c r="A24" s="4"/>
      <c r="B24" s="4"/>
      <c r="C24" s="4"/>
      <c r="D24" s="10"/>
      <c r="E24" s="16"/>
      <c r="F24" s="16"/>
      <c r="G24" s="17"/>
      <c r="H24" s="4"/>
      <c r="I24" s="4"/>
      <c r="J24" s="4"/>
      <c r="K24" s="9" t="str">
        <f t="shared" si="0"/>
        <v/>
      </c>
      <c r="L24" s="18" t="str">
        <f t="shared" si="1"/>
        <v/>
      </c>
      <c r="M24" s="2"/>
    </row>
    <row r="25" spans="1:13">
      <c r="A25" s="4"/>
      <c r="B25" s="4"/>
      <c r="C25" s="4"/>
      <c r="D25" s="10"/>
      <c r="E25" s="16"/>
      <c r="F25" s="16"/>
      <c r="G25" s="17"/>
      <c r="H25" s="4"/>
      <c r="I25" s="4"/>
      <c r="J25" s="4"/>
      <c r="K25" s="9" t="str">
        <f t="shared" si="0"/>
        <v/>
      </c>
      <c r="L25" s="18" t="str">
        <f t="shared" si="1"/>
        <v/>
      </c>
      <c r="M25" s="2"/>
    </row>
    <row r="26" spans="1:13">
      <c r="A26" s="4"/>
      <c r="B26" s="4"/>
      <c r="C26" s="4"/>
      <c r="D26" s="10"/>
      <c r="E26" s="16"/>
      <c r="F26" s="16"/>
      <c r="G26" s="17"/>
      <c r="H26" s="4"/>
      <c r="I26" s="4"/>
      <c r="J26" s="4"/>
      <c r="K26" s="9" t="str">
        <f t="shared" si="0"/>
        <v/>
      </c>
      <c r="L26" s="18" t="str">
        <f t="shared" si="1"/>
        <v/>
      </c>
      <c r="M26" s="2"/>
    </row>
    <row r="27" spans="1:13">
      <c r="A27" s="4"/>
      <c r="B27" s="4"/>
      <c r="C27" s="4"/>
      <c r="D27" s="10"/>
      <c r="E27" s="16"/>
      <c r="F27" s="16"/>
      <c r="G27" s="17"/>
      <c r="H27" s="4"/>
      <c r="I27" s="4"/>
      <c r="J27" s="4"/>
      <c r="K27" s="9" t="str">
        <f t="shared" si="0"/>
        <v/>
      </c>
      <c r="L27" s="18" t="str">
        <f t="shared" si="1"/>
        <v/>
      </c>
      <c r="M27" s="2"/>
    </row>
    <row r="28" spans="1:13">
      <c r="A28" s="4"/>
      <c r="B28" s="4"/>
      <c r="C28" s="4"/>
      <c r="D28" s="10"/>
      <c r="E28" s="16"/>
      <c r="F28" s="16"/>
      <c r="G28" s="17"/>
      <c r="H28" s="4"/>
      <c r="I28" s="4"/>
      <c r="J28" s="4"/>
      <c r="K28" s="9" t="str">
        <f t="shared" si="0"/>
        <v/>
      </c>
      <c r="L28" s="18" t="str">
        <f t="shared" si="1"/>
        <v/>
      </c>
      <c r="M28" s="2"/>
    </row>
    <row r="29" spans="1:13">
      <c r="A29" s="4"/>
      <c r="B29" s="4"/>
      <c r="C29" s="4"/>
      <c r="D29" s="10"/>
      <c r="E29" s="16"/>
      <c r="F29" s="16"/>
      <c r="G29" s="17"/>
      <c r="H29" s="4"/>
      <c r="I29" s="4"/>
      <c r="J29" s="4"/>
      <c r="K29" s="9" t="str">
        <f t="shared" si="0"/>
        <v/>
      </c>
      <c r="L29" s="18" t="str">
        <f t="shared" si="1"/>
        <v/>
      </c>
      <c r="M29" s="2"/>
    </row>
    <row r="30" spans="1:13">
      <c r="A30" s="4"/>
      <c r="B30" s="4"/>
      <c r="C30" s="4"/>
      <c r="D30" s="10"/>
      <c r="E30" s="16"/>
      <c r="F30" s="16"/>
      <c r="G30" s="17"/>
      <c r="H30" s="4"/>
      <c r="I30" s="4"/>
      <c r="J30" s="4"/>
      <c r="K30" s="9" t="str">
        <f t="shared" si="0"/>
        <v/>
      </c>
      <c r="L30" s="18" t="str">
        <f t="shared" si="1"/>
        <v/>
      </c>
      <c r="M30" s="2"/>
    </row>
    <row r="31" spans="1:13">
      <c r="A31" s="4"/>
      <c r="B31" s="4"/>
      <c r="C31" s="4"/>
      <c r="D31" s="10"/>
      <c r="E31" s="16"/>
      <c r="F31" s="16"/>
      <c r="G31" s="17"/>
      <c r="H31" s="4"/>
      <c r="I31" s="4"/>
      <c r="J31" s="4"/>
      <c r="K31" s="9" t="str">
        <f t="shared" si="0"/>
        <v/>
      </c>
      <c r="L31" s="18" t="str">
        <f t="shared" si="1"/>
        <v/>
      </c>
      <c r="M31" s="2"/>
    </row>
    <row r="32" spans="1:13">
      <c r="A32" s="4"/>
      <c r="B32" s="4"/>
      <c r="C32" s="4"/>
      <c r="D32" s="10"/>
      <c r="E32" s="16"/>
      <c r="F32" s="16"/>
      <c r="G32" s="17"/>
      <c r="H32" s="4"/>
      <c r="I32" s="4"/>
      <c r="J32" s="4"/>
      <c r="K32" s="9" t="str">
        <f t="shared" si="0"/>
        <v/>
      </c>
      <c r="L32" s="18" t="str">
        <f t="shared" si="1"/>
        <v/>
      </c>
      <c r="M32" s="2"/>
    </row>
    <row r="33" spans="1:13">
      <c r="A33" s="4"/>
      <c r="B33" s="4"/>
      <c r="C33" s="4"/>
      <c r="D33" s="10"/>
      <c r="E33" s="16"/>
      <c r="F33" s="16"/>
      <c r="G33" s="17"/>
      <c r="H33" s="4"/>
      <c r="I33" s="4"/>
      <c r="J33" s="4"/>
      <c r="K33" s="9" t="str">
        <f t="shared" si="0"/>
        <v/>
      </c>
      <c r="L33" s="18" t="str">
        <f t="shared" si="1"/>
        <v/>
      </c>
      <c r="M33" s="2"/>
    </row>
    <row r="36" spans="1:13" ht="17" customHeight="1">
      <c r="A36" s="1" t="s">
        <v>186</v>
      </c>
      <c r="B36" s="1" t="s">
        <v>57</v>
      </c>
      <c r="C36" s="1" t="s">
        <v>187</v>
      </c>
      <c r="D36" s="1" t="s">
        <v>114</v>
      </c>
    </row>
    <row r="37" spans="1:13">
      <c r="A37" t="s">
        <v>188</v>
      </c>
      <c r="B37" s="13" t="str">
        <f>IFERROR(AVERAGE(K4:K33),"нет данных")</f>
        <v>нет данных</v>
      </c>
      <c r="C37" t="str">
        <f>IF(ISNUMBER(B37),IF(B37&gt;=0.7,"высокое",IF(B37&gt;=0.4,"среднее","низкое")),"нет данных")</f>
        <v>нет данных</v>
      </c>
      <c r="D37" t="s">
        <v>189</v>
      </c>
    </row>
    <row r="38" spans="1:13">
      <c r="A38" t="s">
        <v>190</v>
      </c>
      <c r="B38" s="13" t="str">
        <f>IFERROR(COUNTIF(L4:L33,5)/COUNT(L4:L33),"нет данных")</f>
        <v>нет данных</v>
      </c>
      <c r="C38" t="str">
        <f>IF(ISNUMBER(B38),IF(B38&gt;=0.5,"высокая доля",IF(B38&gt;=0.25,"средняя доля","низкая доля")),"нет данных")</f>
        <v>нет данных</v>
      </c>
      <c r="D38" t="s">
        <v>191</v>
      </c>
    </row>
    <row r="39" spans="1:13">
      <c r="A39" t="s">
        <v>192</v>
      </c>
      <c r="D39" t="s">
        <v>424</v>
      </c>
    </row>
  </sheetData>
  <mergeCells count="2">
    <mergeCell ref="A1:M1"/>
    <mergeCell ref="A2:M2"/>
  </mergeCells>
  <conditionalFormatting sqref="L4:L3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1">
    <dataValidation type="list" sqref="B4:B33" xr:uid="{00000000-0002-0000-0400-000000000000}">
      <formula1>"информационный,проблемный,коммерческий,инструментальный,брендовый,региональный"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8"/>
  <sheetViews>
    <sheetView workbookViewId="0"/>
  </sheetViews>
  <sheetFormatPr defaultRowHeight="13.5"/>
  <cols>
    <col min="1" max="1" width="24" customWidth="1"/>
    <col min="2" max="3" width="12" customWidth="1"/>
    <col min="4" max="9" width="14" customWidth="1"/>
    <col min="10" max="10" width="12" customWidth="1"/>
    <col min="11" max="11" width="14" customWidth="1"/>
    <col min="12" max="13" width="16" customWidth="1"/>
    <col min="14" max="14" width="28" customWidth="1"/>
  </cols>
  <sheetData>
    <row r="1" spans="1:14" ht="15" customHeight="1">
      <c r="A1" s="25" t="s">
        <v>193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6.05" customHeight="1">
      <c r="A2" s="26" t="s">
        <v>194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17" customHeight="1">
      <c r="A3" s="1" t="s">
        <v>195</v>
      </c>
      <c r="B3" s="1" t="s">
        <v>196</v>
      </c>
      <c r="C3" s="1" t="s">
        <v>197</v>
      </c>
      <c r="D3" s="1" t="s">
        <v>198</v>
      </c>
      <c r="E3" s="1" t="s">
        <v>199</v>
      </c>
      <c r="F3" s="1" t="s">
        <v>200</v>
      </c>
      <c r="G3" s="1" t="s">
        <v>201</v>
      </c>
      <c r="H3" s="1" t="s">
        <v>202</v>
      </c>
      <c r="I3" s="1" t="s">
        <v>203</v>
      </c>
      <c r="J3" s="1" t="s">
        <v>204</v>
      </c>
      <c r="K3" s="1" t="s">
        <v>205</v>
      </c>
      <c r="L3" s="1" t="s">
        <v>206</v>
      </c>
      <c r="M3" s="1" t="s">
        <v>130</v>
      </c>
      <c r="N3" s="1" t="s">
        <v>60</v>
      </c>
    </row>
    <row r="4" spans="1:14" ht="40.5">
      <c r="A4" s="4" t="s">
        <v>394</v>
      </c>
      <c r="B4" s="19"/>
      <c r="C4" s="10"/>
      <c r="D4" s="4"/>
      <c r="E4" s="4"/>
      <c r="F4" s="4"/>
      <c r="G4" s="4"/>
      <c r="H4" s="4"/>
      <c r="I4" s="4"/>
      <c r="J4" s="4"/>
      <c r="K4" s="4"/>
      <c r="L4" s="9" t="str">
        <f t="shared" ref="L4:L33" si="0">IF(COUNT(B4:K4)=0,"",MIN(1,(IF(COUNT(B4,D4,F4,H4)&gt;0,AVERAGE(B4,D4,F4,H4)/5,0)+IF(COUNT(C4,E4,G4,I4)&gt;0,MIN(SUM(C4,E4,G4,I4)/300,1),0)+IF(ISNUMBER(J4),MIN(J4/30,1),0)+IF(ISNUMBER(K4),MIN(K4/10,1),0))/MAX(1,(COUNT(B4,D4,F4,H4)&gt;0)+(COUNT(C4,E4,G4,I4)&gt;0)+ISNUMBER(J4)+ISNUMBER(K4))))</f>
        <v/>
      </c>
      <c r="M4" s="18" t="str">
        <f t="shared" ref="M4:M33" si="1">IF(L4="","",IF(L4&gt;=0.7,5,IF(L4&gt;=0.4,3,1)))</f>
        <v/>
      </c>
      <c r="N4" s="2" t="s">
        <v>425</v>
      </c>
    </row>
    <row r="5" spans="1:14" ht="27">
      <c r="A5" s="4" t="s">
        <v>396</v>
      </c>
      <c r="B5" s="19"/>
      <c r="C5" s="10">
        <v>0</v>
      </c>
      <c r="D5" s="4"/>
      <c r="E5" s="4"/>
      <c r="F5" s="4"/>
      <c r="G5" s="4">
        <v>0</v>
      </c>
      <c r="H5" s="4"/>
      <c r="I5" s="4"/>
      <c r="J5" s="4"/>
      <c r="K5" s="4"/>
      <c r="L5" s="9">
        <f t="shared" si="0"/>
        <v>0</v>
      </c>
      <c r="M5" s="18">
        <f t="shared" si="1"/>
        <v>1</v>
      </c>
      <c r="N5" s="2" t="s">
        <v>426</v>
      </c>
    </row>
    <row r="6" spans="1:14">
      <c r="A6" s="4" t="s">
        <v>398</v>
      </c>
      <c r="B6" s="19">
        <v>4.9000000000000004</v>
      </c>
      <c r="C6" s="10">
        <v>24</v>
      </c>
      <c r="D6" s="4"/>
      <c r="E6" s="4"/>
      <c r="F6" s="4"/>
      <c r="G6" s="4"/>
      <c r="H6" s="4"/>
      <c r="I6" s="4"/>
      <c r="J6" s="4"/>
      <c r="K6" s="4"/>
      <c r="L6" s="9">
        <f t="shared" si="0"/>
        <v>0.53</v>
      </c>
      <c r="M6" s="18">
        <f t="shared" si="1"/>
        <v>3</v>
      </c>
      <c r="N6" s="2" t="s">
        <v>427</v>
      </c>
    </row>
    <row r="7" spans="1:14" ht="27">
      <c r="A7" s="4" t="s">
        <v>400</v>
      </c>
      <c r="B7" s="19"/>
      <c r="C7" s="10"/>
      <c r="D7" s="4"/>
      <c r="E7" s="4"/>
      <c r="F7" s="4"/>
      <c r="G7" s="4"/>
      <c r="H7" s="4"/>
      <c r="I7" s="4"/>
      <c r="J7" s="4"/>
      <c r="K7" s="4"/>
      <c r="L7" s="9" t="str">
        <f t="shared" si="0"/>
        <v/>
      </c>
      <c r="M7" s="18" t="str">
        <f t="shared" si="1"/>
        <v/>
      </c>
      <c r="N7" s="2" t="s">
        <v>428</v>
      </c>
    </row>
    <row r="8" spans="1:14" ht="54">
      <c r="A8" s="4" t="s">
        <v>402</v>
      </c>
      <c r="B8" s="19"/>
      <c r="C8" s="10"/>
      <c r="D8" s="4"/>
      <c r="E8" s="4"/>
      <c r="F8" s="4"/>
      <c r="G8" s="4"/>
      <c r="H8" s="4"/>
      <c r="I8" s="4"/>
      <c r="J8" s="4"/>
      <c r="K8" s="4"/>
      <c r="L8" s="9" t="str">
        <f t="shared" si="0"/>
        <v/>
      </c>
      <c r="M8" s="18" t="str">
        <f t="shared" si="1"/>
        <v/>
      </c>
      <c r="N8" s="2" t="s">
        <v>429</v>
      </c>
    </row>
    <row r="9" spans="1:14">
      <c r="A9" s="4" t="s">
        <v>404</v>
      </c>
      <c r="B9" s="19">
        <v>4</v>
      </c>
      <c r="C9" s="10">
        <v>1</v>
      </c>
      <c r="D9" s="4"/>
      <c r="E9" s="4"/>
      <c r="F9" s="4"/>
      <c r="G9" s="4"/>
      <c r="H9" s="4"/>
      <c r="I9" s="4"/>
      <c r="J9" s="4"/>
      <c r="K9" s="4"/>
      <c r="L9" s="9">
        <f t="shared" si="0"/>
        <v>0.40166666666666667</v>
      </c>
      <c r="M9" s="18">
        <f t="shared" si="1"/>
        <v>3</v>
      </c>
      <c r="N9" s="2" t="s">
        <v>430</v>
      </c>
    </row>
    <row r="10" spans="1:14">
      <c r="A10" s="4" t="s">
        <v>405</v>
      </c>
      <c r="B10" s="19">
        <v>4.5</v>
      </c>
      <c r="C10" s="10">
        <v>90</v>
      </c>
      <c r="D10" s="4"/>
      <c r="E10" s="4"/>
      <c r="F10" s="4"/>
      <c r="G10" s="4"/>
      <c r="H10" s="4"/>
      <c r="I10" s="4"/>
      <c r="J10" s="4"/>
      <c r="K10" s="4"/>
      <c r="L10" s="9">
        <f t="shared" si="0"/>
        <v>0.6</v>
      </c>
      <c r="M10" s="18">
        <f t="shared" si="1"/>
        <v>3</v>
      </c>
      <c r="N10" s="2" t="s">
        <v>431</v>
      </c>
    </row>
    <row r="11" spans="1:14">
      <c r="A11" s="4" t="s">
        <v>406</v>
      </c>
      <c r="B11" s="19">
        <v>4.5</v>
      </c>
      <c r="C11" s="10">
        <v>1</v>
      </c>
      <c r="D11" s="4"/>
      <c r="E11" s="4"/>
      <c r="F11" s="4"/>
      <c r="G11" s="4"/>
      <c r="H11" s="4"/>
      <c r="I11" s="4"/>
      <c r="J11" s="4"/>
      <c r="K11" s="4"/>
      <c r="L11" s="9">
        <f t="shared" si="0"/>
        <v>0.45166666666666666</v>
      </c>
      <c r="M11" s="18">
        <f t="shared" si="1"/>
        <v>3</v>
      </c>
      <c r="N11" s="2" t="s">
        <v>432</v>
      </c>
    </row>
    <row r="12" spans="1:14">
      <c r="A12" s="4" t="s">
        <v>407</v>
      </c>
      <c r="B12" s="19">
        <v>4.5999999999999996</v>
      </c>
      <c r="C12" s="10">
        <v>386</v>
      </c>
      <c r="D12" s="4"/>
      <c r="E12" s="4"/>
      <c r="F12" s="4"/>
      <c r="G12" s="4"/>
      <c r="H12" s="4"/>
      <c r="I12" s="4"/>
      <c r="J12" s="4"/>
      <c r="K12" s="4"/>
      <c r="L12" s="9">
        <f t="shared" si="0"/>
        <v>0.96</v>
      </c>
      <c r="M12" s="18">
        <f t="shared" si="1"/>
        <v>5</v>
      </c>
      <c r="N12" s="2" t="s">
        <v>433</v>
      </c>
    </row>
    <row r="13" spans="1:14">
      <c r="A13" s="4" t="s">
        <v>409</v>
      </c>
      <c r="B13" s="19">
        <v>4.5</v>
      </c>
      <c r="C13" s="10">
        <v>4</v>
      </c>
      <c r="D13" s="4"/>
      <c r="E13" s="4"/>
      <c r="F13" s="4"/>
      <c r="G13" s="4"/>
      <c r="H13" s="4"/>
      <c r="I13" s="4"/>
      <c r="J13" s="4"/>
      <c r="K13" s="4"/>
      <c r="L13" s="9">
        <f t="shared" si="0"/>
        <v>0.45666666666666667</v>
      </c>
      <c r="M13" s="18">
        <f t="shared" si="1"/>
        <v>3</v>
      </c>
      <c r="N13" s="2" t="s">
        <v>434</v>
      </c>
    </row>
    <row r="14" spans="1:14">
      <c r="A14" s="4" t="s">
        <v>411</v>
      </c>
      <c r="B14" s="19"/>
      <c r="C14" s="10">
        <v>0</v>
      </c>
      <c r="D14" s="4"/>
      <c r="E14" s="4"/>
      <c r="F14" s="4"/>
      <c r="G14" s="4"/>
      <c r="H14" s="4"/>
      <c r="I14" s="4"/>
      <c r="J14" s="4"/>
      <c r="K14" s="4"/>
      <c r="L14" s="9">
        <f t="shared" si="0"/>
        <v>0</v>
      </c>
      <c r="M14" s="18">
        <f t="shared" si="1"/>
        <v>1</v>
      </c>
      <c r="N14" s="2" t="s">
        <v>435</v>
      </c>
    </row>
    <row r="15" spans="1:14" ht="27">
      <c r="A15" s="4" t="s">
        <v>412</v>
      </c>
      <c r="B15" s="19">
        <v>4.7</v>
      </c>
      <c r="C15" s="10">
        <v>19</v>
      </c>
      <c r="D15" s="4"/>
      <c r="E15" s="4"/>
      <c r="F15" s="4"/>
      <c r="G15" s="4"/>
      <c r="H15" s="4"/>
      <c r="I15" s="4"/>
      <c r="J15" s="4"/>
      <c r="K15" s="4"/>
      <c r="L15" s="9">
        <f t="shared" si="0"/>
        <v>0.50166666666666671</v>
      </c>
      <c r="M15" s="18">
        <f t="shared" si="1"/>
        <v>3</v>
      </c>
      <c r="N15" s="2" t="s">
        <v>436</v>
      </c>
    </row>
    <row r="16" spans="1:14">
      <c r="A16" s="4"/>
      <c r="B16" s="19"/>
      <c r="C16" s="10"/>
      <c r="D16" s="4"/>
      <c r="E16" s="4"/>
      <c r="F16" s="4"/>
      <c r="G16" s="4"/>
      <c r="H16" s="4"/>
      <c r="I16" s="4"/>
      <c r="J16" s="4"/>
      <c r="K16" s="4"/>
      <c r="L16" s="9" t="str">
        <f t="shared" si="0"/>
        <v/>
      </c>
      <c r="M16" s="18" t="str">
        <f t="shared" si="1"/>
        <v/>
      </c>
      <c r="N16" s="2"/>
    </row>
    <row r="17" spans="1:14">
      <c r="A17" s="4"/>
      <c r="B17" s="19"/>
      <c r="C17" s="10"/>
      <c r="D17" s="4"/>
      <c r="E17" s="4"/>
      <c r="F17" s="4"/>
      <c r="G17" s="4"/>
      <c r="H17" s="4"/>
      <c r="I17" s="4"/>
      <c r="J17" s="4"/>
      <c r="K17" s="4"/>
      <c r="L17" s="9" t="str">
        <f t="shared" si="0"/>
        <v/>
      </c>
      <c r="M17" s="18" t="str">
        <f t="shared" si="1"/>
        <v/>
      </c>
      <c r="N17" s="2"/>
    </row>
    <row r="18" spans="1:14">
      <c r="A18" s="4"/>
      <c r="B18" s="19"/>
      <c r="C18" s="10"/>
      <c r="D18" s="4"/>
      <c r="E18" s="4"/>
      <c r="F18" s="4"/>
      <c r="G18" s="4"/>
      <c r="H18" s="4"/>
      <c r="I18" s="4"/>
      <c r="J18" s="4"/>
      <c r="K18" s="4"/>
      <c r="L18" s="9" t="str">
        <f t="shared" si="0"/>
        <v/>
      </c>
      <c r="M18" s="18" t="str">
        <f t="shared" si="1"/>
        <v/>
      </c>
      <c r="N18" s="2"/>
    </row>
    <row r="19" spans="1:14">
      <c r="A19" s="4"/>
      <c r="B19" s="19"/>
      <c r="C19" s="10"/>
      <c r="D19" s="4"/>
      <c r="E19" s="4"/>
      <c r="F19" s="4"/>
      <c r="G19" s="4"/>
      <c r="H19" s="4"/>
      <c r="I19" s="4"/>
      <c r="J19" s="4"/>
      <c r="K19" s="4"/>
      <c r="L19" s="9" t="str">
        <f t="shared" si="0"/>
        <v/>
      </c>
      <c r="M19" s="18" t="str">
        <f t="shared" si="1"/>
        <v/>
      </c>
      <c r="N19" s="2"/>
    </row>
    <row r="20" spans="1:14">
      <c r="A20" s="4"/>
      <c r="B20" s="19"/>
      <c r="C20" s="10"/>
      <c r="D20" s="4"/>
      <c r="E20" s="4"/>
      <c r="F20" s="4"/>
      <c r="G20" s="4"/>
      <c r="H20" s="4"/>
      <c r="I20" s="4"/>
      <c r="J20" s="4"/>
      <c r="K20" s="4"/>
      <c r="L20" s="9" t="str">
        <f t="shared" si="0"/>
        <v/>
      </c>
      <c r="M20" s="18" t="str">
        <f t="shared" si="1"/>
        <v/>
      </c>
      <c r="N20" s="2"/>
    </row>
    <row r="21" spans="1:14">
      <c r="A21" s="4"/>
      <c r="B21" s="19"/>
      <c r="C21" s="10"/>
      <c r="D21" s="4"/>
      <c r="E21" s="4"/>
      <c r="F21" s="4"/>
      <c r="G21" s="4"/>
      <c r="H21" s="4"/>
      <c r="I21" s="4"/>
      <c r="J21" s="4"/>
      <c r="K21" s="4"/>
      <c r="L21" s="9" t="str">
        <f t="shared" si="0"/>
        <v/>
      </c>
      <c r="M21" s="18" t="str">
        <f t="shared" si="1"/>
        <v/>
      </c>
      <c r="N21" s="2"/>
    </row>
    <row r="22" spans="1:14">
      <c r="A22" s="4"/>
      <c r="B22" s="19"/>
      <c r="C22" s="10"/>
      <c r="D22" s="4"/>
      <c r="E22" s="4"/>
      <c r="F22" s="4"/>
      <c r="G22" s="4"/>
      <c r="H22" s="4"/>
      <c r="I22" s="4"/>
      <c r="J22" s="4"/>
      <c r="K22" s="4"/>
      <c r="L22" s="9" t="str">
        <f t="shared" si="0"/>
        <v/>
      </c>
      <c r="M22" s="18" t="str">
        <f t="shared" si="1"/>
        <v/>
      </c>
      <c r="N22" s="2"/>
    </row>
    <row r="23" spans="1:14">
      <c r="A23" s="4"/>
      <c r="B23" s="19"/>
      <c r="C23" s="10"/>
      <c r="D23" s="4"/>
      <c r="E23" s="4"/>
      <c r="F23" s="4"/>
      <c r="G23" s="4"/>
      <c r="H23" s="4"/>
      <c r="I23" s="4"/>
      <c r="J23" s="4"/>
      <c r="K23" s="4"/>
      <c r="L23" s="9" t="str">
        <f t="shared" si="0"/>
        <v/>
      </c>
      <c r="M23" s="18" t="str">
        <f t="shared" si="1"/>
        <v/>
      </c>
      <c r="N23" s="2"/>
    </row>
    <row r="24" spans="1:14">
      <c r="A24" s="4"/>
      <c r="B24" s="19"/>
      <c r="C24" s="10"/>
      <c r="D24" s="4"/>
      <c r="E24" s="4"/>
      <c r="F24" s="4"/>
      <c r="G24" s="4"/>
      <c r="H24" s="4"/>
      <c r="I24" s="4"/>
      <c r="J24" s="4"/>
      <c r="K24" s="4"/>
      <c r="L24" s="9" t="str">
        <f t="shared" si="0"/>
        <v/>
      </c>
      <c r="M24" s="18" t="str">
        <f t="shared" si="1"/>
        <v/>
      </c>
      <c r="N24" s="2"/>
    </row>
    <row r="25" spans="1:14">
      <c r="A25" s="4"/>
      <c r="B25" s="19"/>
      <c r="C25" s="10"/>
      <c r="D25" s="4"/>
      <c r="E25" s="4"/>
      <c r="F25" s="4"/>
      <c r="G25" s="4"/>
      <c r="H25" s="4"/>
      <c r="I25" s="4"/>
      <c r="J25" s="4"/>
      <c r="K25" s="4"/>
      <c r="L25" s="9" t="str">
        <f t="shared" si="0"/>
        <v/>
      </c>
      <c r="M25" s="18" t="str">
        <f t="shared" si="1"/>
        <v/>
      </c>
      <c r="N25" s="2"/>
    </row>
    <row r="26" spans="1:14">
      <c r="A26" s="4"/>
      <c r="B26" s="19"/>
      <c r="C26" s="10"/>
      <c r="D26" s="4"/>
      <c r="E26" s="4"/>
      <c r="F26" s="4"/>
      <c r="G26" s="4"/>
      <c r="H26" s="4"/>
      <c r="I26" s="4"/>
      <c r="J26" s="4"/>
      <c r="K26" s="4"/>
      <c r="L26" s="9" t="str">
        <f t="shared" si="0"/>
        <v/>
      </c>
      <c r="M26" s="18" t="str">
        <f t="shared" si="1"/>
        <v/>
      </c>
      <c r="N26" s="2"/>
    </row>
    <row r="27" spans="1:14">
      <c r="A27" s="4"/>
      <c r="B27" s="19"/>
      <c r="C27" s="10"/>
      <c r="D27" s="4"/>
      <c r="E27" s="4"/>
      <c r="F27" s="4"/>
      <c r="G27" s="4"/>
      <c r="H27" s="4"/>
      <c r="I27" s="4"/>
      <c r="J27" s="4"/>
      <c r="K27" s="4"/>
      <c r="L27" s="9" t="str">
        <f t="shared" si="0"/>
        <v/>
      </c>
      <c r="M27" s="18" t="str">
        <f t="shared" si="1"/>
        <v/>
      </c>
      <c r="N27" s="2"/>
    </row>
    <row r="28" spans="1:14">
      <c r="A28" s="4"/>
      <c r="B28" s="19"/>
      <c r="C28" s="10"/>
      <c r="D28" s="4"/>
      <c r="E28" s="4"/>
      <c r="F28" s="4"/>
      <c r="G28" s="4"/>
      <c r="H28" s="4"/>
      <c r="I28" s="4"/>
      <c r="J28" s="4"/>
      <c r="K28" s="4"/>
      <c r="L28" s="9" t="str">
        <f t="shared" si="0"/>
        <v/>
      </c>
      <c r="M28" s="18" t="str">
        <f t="shared" si="1"/>
        <v/>
      </c>
      <c r="N28" s="2"/>
    </row>
    <row r="29" spans="1:14">
      <c r="A29" s="4"/>
      <c r="B29" s="19"/>
      <c r="C29" s="10"/>
      <c r="D29" s="4"/>
      <c r="E29" s="4"/>
      <c r="F29" s="4"/>
      <c r="G29" s="4"/>
      <c r="H29" s="4"/>
      <c r="I29" s="4"/>
      <c r="J29" s="4"/>
      <c r="K29" s="4"/>
      <c r="L29" s="9" t="str">
        <f t="shared" si="0"/>
        <v/>
      </c>
      <c r="M29" s="18" t="str">
        <f t="shared" si="1"/>
        <v/>
      </c>
      <c r="N29" s="2"/>
    </row>
    <row r="30" spans="1:14">
      <c r="A30" s="4"/>
      <c r="B30" s="19"/>
      <c r="C30" s="10"/>
      <c r="D30" s="4"/>
      <c r="E30" s="4"/>
      <c r="F30" s="4"/>
      <c r="G30" s="4"/>
      <c r="H30" s="4"/>
      <c r="I30" s="4"/>
      <c r="J30" s="4"/>
      <c r="K30" s="4"/>
      <c r="L30" s="9" t="str">
        <f t="shared" si="0"/>
        <v/>
      </c>
      <c r="M30" s="18" t="str">
        <f t="shared" si="1"/>
        <v/>
      </c>
      <c r="N30" s="2"/>
    </row>
    <row r="31" spans="1:14">
      <c r="A31" s="4"/>
      <c r="B31" s="19"/>
      <c r="C31" s="10"/>
      <c r="D31" s="4"/>
      <c r="E31" s="4"/>
      <c r="F31" s="4"/>
      <c r="G31" s="4"/>
      <c r="H31" s="4"/>
      <c r="I31" s="4"/>
      <c r="J31" s="4"/>
      <c r="K31" s="4"/>
      <c r="L31" s="9" t="str">
        <f t="shared" si="0"/>
        <v/>
      </c>
      <c r="M31" s="18" t="str">
        <f t="shared" si="1"/>
        <v/>
      </c>
      <c r="N31" s="2"/>
    </row>
    <row r="32" spans="1:14">
      <c r="A32" s="4"/>
      <c r="B32" s="19"/>
      <c r="C32" s="10"/>
      <c r="D32" s="4"/>
      <c r="E32" s="4"/>
      <c r="F32" s="4"/>
      <c r="G32" s="4"/>
      <c r="H32" s="4"/>
      <c r="I32" s="4"/>
      <c r="J32" s="4"/>
      <c r="K32" s="4"/>
      <c r="L32" s="9" t="str">
        <f t="shared" si="0"/>
        <v/>
      </c>
      <c r="M32" s="18" t="str">
        <f t="shared" si="1"/>
        <v/>
      </c>
      <c r="N32" s="2"/>
    </row>
    <row r="33" spans="1:14">
      <c r="A33" s="4"/>
      <c r="B33" s="19"/>
      <c r="C33" s="10"/>
      <c r="D33" s="4"/>
      <c r="E33" s="4"/>
      <c r="F33" s="4"/>
      <c r="G33" s="4"/>
      <c r="H33" s="4"/>
      <c r="I33" s="4"/>
      <c r="J33" s="4"/>
      <c r="K33" s="4"/>
      <c r="L33" s="9" t="str">
        <f t="shared" si="0"/>
        <v/>
      </c>
      <c r="M33" s="18" t="str">
        <f t="shared" si="1"/>
        <v/>
      </c>
      <c r="N33" s="2"/>
    </row>
    <row r="36" spans="1:14" ht="17" customHeight="1">
      <c r="A36" s="1" t="s">
        <v>186</v>
      </c>
      <c r="B36" s="1" t="s">
        <v>57</v>
      </c>
      <c r="C36" s="1" t="s">
        <v>187</v>
      </c>
      <c r="D36" s="1" t="s">
        <v>114</v>
      </c>
    </row>
    <row r="37" spans="1:14">
      <c r="A37" t="s">
        <v>207</v>
      </c>
      <c r="B37" s="13">
        <f>AVERAGE(L4:L33)</f>
        <v>0.43351851851851847</v>
      </c>
      <c r="C37" t="str">
        <f>IF(B37&gt;=0.7,"высокий",IF(B37&gt;=0.4,"средний","низкий"))</f>
        <v>средний</v>
      </c>
      <c r="D37" t="s">
        <v>208</v>
      </c>
    </row>
    <row r="38" spans="1:14">
      <c r="A38" t="s">
        <v>209</v>
      </c>
      <c r="B38" s="12">
        <f>SUM(C4:C33,E4:E33,G4:G33,I4:I33)/COUNTA(A4:A33)</f>
        <v>43.75</v>
      </c>
      <c r="C38" t="str">
        <f>IF(B38&gt;='01_Параметры'!B17,"высокий барьер",IF(B38&gt;='01_Параметры'!B17*0.5,"средний барьер","низкий барьер"))</f>
        <v>низкий барьер</v>
      </c>
      <c r="D38" t="s">
        <v>442</v>
      </c>
    </row>
  </sheetData>
  <mergeCells count="2">
    <mergeCell ref="A1:N1"/>
    <mergeCell ref="A2:N2"/>
  </mergeCells>
  <conditionalFormatting sqref="M4:M3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8"/>
  <sheetViews>
    <sheetView workbookViewId="0"/>
  </sheetViews>
  <sheetFormatPr defaultRowHeight="13.5"/>
  <cols>
    <col min="1" max="1" width="24" customWidth="1"/>
    <col min="2" max="2" width="18" customWidth="1"/>
    <col min="3" max="3" width="16" customWidth="1"/>
    <col min="4" max="5" width="18" customWidth="1"/>
    <col min="6" max="7" width="14" customWidth="1"/>
    <col min="8" max="8" width="18" customWidth="1"/>
    <col min="9" max="9" width="12" customWidth="1"/>
    <col min="10" max="11" width="18" customWidth="1"/>
    <col min="12" max="12" width="16" customWidth="1"/>
    <col min="13" max="13" width="32" customWidth="1"/>
  </cols>
  <sheetData>
    <row r="1" spans="1:13" ht="15" customHeight="1">
      <c r="A1" s="25" t="s">
        <v>210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16.05" customHeight="1">
      <c r="A2" s="26" t="s">
        <v>211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17" customHeight="1">
      <c r="A3" s="1" t="s">
        <v>195</v>
      </c>
      <c r="B3" s="1" t="s">
        <v>212</v>
      </c>
      <c r="C3" s="1" t="s">
        <v>213</v>
      </c>
      <c r="D3" s="1" t="s">
        <v>214</v>
      </c>
      <c r="E3" s="1" t="s">
        <v>215</v>
      </c>
      <c r="F3" s="1" t="s">
        <v>216</v>
      </c>
      <c r="G3" s="1" t="s">
        <v>217</v>
      </c>
      <c r="H3" s="1" t="s">
        <v>218</v>
      </c>
      <c r="I3" s="1" t="s">
        <v>219</v>
      </c>
      <c r="J3" s="1" t="s">
        <v>220</v>
      </c>
      <c r="K3" s="1" t="s">
        <v>221</v>
      </c>
      <c r="L3" s="1" t="s">
        <v>130</v>
      </c>
      <c r="M3" s="1" t="s">
        <v>60</v>
      </c>
    </row>
    <row r="4" spans="1:13" ht="54">
      <c r="A4" s="4" t="s">
        <v>394</v>
      </c>
      <c r="B4" s="10"/>
      <c r="C4" s="17"/>
      <c r="D4" s="17">
        <v>5</v>
      </c>
      <c r="E4" s="17">
        <v>5</v>
      </c>
      <c r="F4" s="4"/>
      <c r="G4" s="4"/>
      <c r="H4" s="4"/>
      <c r="I4" s="4"/>
      <c r="J4" s="4"/>
      <c r="K4" s="9">
        <f t="shared" ref="K4:K33" si="0">IF(COUNTA(B4:J4)=0,"",MIN(1,(IF(ISNUMBER(B4),MIN(B4/500000,1),0)+IF(ISNUMBER(C4),MIN(C4/60,1),0)+IF(ISNUMBER(D4),D4/5,0)+IF(ISNUMBER(E4),E4/5,0)+IF(F4="да",1,0)+IF(G4="да",1,0)+IF(ISNUMBER(H4),MIN(H4/50,1),0)+IF(ISNUMBER(I4),MIN(I4/6,1),0)+IF(ISNUMBER(J4),IF(J4&gt;0,1,0),0))/MAX(1,ISNUMBER(B4)+ISNUMBER(C4)+ISNUMBER(D4)+ISNUMBER(E4)+(F4&lt;&gt;"")+(G4&lt;&gt;"")+ISNUMBER(H4)+ISNUMBER(I4)+ISNUMBER(J4))))</f>
        <v>1</v>
      </c>
      <c r="L4" s="18">
        <f t="shared" ref="L4:L33" si="1">IF(K4="","",IF(K4&gt;=0.7,5,IF(K4&gt;=0.4,3,1)))</f>
        <v>5</v>
      </c>
      <c r="M4" s="2" t="s">
        <v>443</v>
      </c>
    </row>
    <row r="5" spans="1:13" ht="54">
      <c r="A5" s="4" t="s">
        <v>396</v>
      </c>
      <c r="B5" s="10"/>
      <c r="C5" s="17"/>
      <c r="D5" s="17">
        <v>3</v>
      </c>
      <c r="E5" s="17">
        <v>3</v>
      </c>
      <c r="F5" s="4"/>
      <c r="G5" s="4"/>
      <c r="H5" s="4"/>
      <c r="I5" s="4"/>
      <c r="J5" s="4"/>
      <c r="K5" s="9">
        <f t="shared" si="0"/>
        <v>0.6</v>
      </c>
      <c r="L5" s="18">
        <f t="shared" si="1"/>
        <v>3</v>
      </c>
      <c r="M5" s="2" t="s">
        <v>443</v>
      </c>
    </row>
    <row r="6" spans="1:13" ht="54">
      <c r="A6" s="4" t="s">
        <v>398</v>
      </c>
      <c r="B6" s="10"/>
      <c r="C6" s="17"/>
      <c r="D6" s="17">
        <v>5</v>
      </c>
      <c r="E6" s="17">
        <v>4</v>
      </c>
      <c r="F6" s="4"/>
      <c r="G6" s="4"/>
      <c r="H6" s="4"/>
      <c r="I6" s="4"/>
      <c r="J6" s="4"/>
      <c r="K6" s="9">
        <f t="shared" si="0"/>
        <v>0.9</v>
      </c>
      <c r="L6" s="18">
        <f t="shared" si="1"/>
        <v>5</v>
      </c>
      <c r="M6" s="2" t="s">
        <v>443</v>
      </c>
    </row>
    <row r="7" spans="1:13" ht="54">
      <c r="A7" s="4" t="s">
        <v>400</v>
      </c>
      <c r="B7" s="10"/>
      <c r="C7" s="17"/>
      <c r="D7" s="17">
        <v>4</v>
      </c>
      <c r="E7" s="17">
        <v>4</v>
      </c>
      <c r="F7" s="4"/>
      <c r="G7" s="4"/>
      <c r="H7" s="4"/>
      <c r="I7" s="4"/>
      <c r="J7" s="4"/>
      <c r="K7" s="9">
        <f t="shared" si="0"/>
        <v>0.8</v>
      </c>
      <c r="L7" s="18">
        <f t="shared" si="1"/>
        <v>5</v>
      </c>
      <c r="M7" s="2" t="s">
        <v>443</v>
      </c>
    </row>
    <row r="8" spans="1:13" ht="54">
      <c r="A8" s="4" t="s">
        <v>402</v>
      </c>
      <c r="B8" s="10"/>
      <c r="C8" s="17"/>
      <c r="D8" s="17">
        <v>3</v>
      </c>
      <c r="E8" s="17">
        <v>2</v>
      </c>
      <c r="F8" s="4"/>
      <c r="G8" s="4"/>
      <c r="H8" s="4"/>
      <c r="I8" s="4"/>
      <c r="J8" s="4"/>
      <c r="K8" s="9">
        <f t="shared" si="0"/>
        <v>0.5</v>
      </c>
      <c r="L8" s="18">
        <f t="shared" si="1"/>
        <v>3</v>
      </c>
      <c r="M8" s="2" t="s">
        <v>443</v>
      </c>
    </row>
    <row r="9" spans="1:13" ht="54">
      <c r="A9" s="4" t="s">
        <v>404</v>
      </c>
      <c r="B9" s="10"/>
      <c r="C9" s="17"/>
      <c r="D9" s="17">
        <v>2</v>
      </c>
      <c r="E9" s="17">
        <v>2</v>
      </c>
      <c r="F9" s="4"/>
      <c r="G9" s="4"/>
      <c r="H9" s="4"/>
      <c r="I9" s="4"/>
      <c r="J9" s="4"/>
      <c r="K9" s="9">
        <f t="shared" si="0"/>
        <v>0.4</v>
      </c>
      <c r="L9" s="18">
        <f t="shared" si="1"/>
        <v>3</v>
      </c>
      <c r="M9" s="2" t="s">
        <v>443</v>
      </c>
    </row>
    <row r="10" spans="1:13" ht="54">
      <c r="A10" s="4" t="s">
        <v>405</v>
      </c>
      <c r="B10" s="10"/>
      <c r="C10" s="17"/>
      <c r="D10" s="17">
        <v>3</v>
      </c>
      <c r="E10" s="17">
        <v>3</v>
      </c>
      <c r="F10" s="4"/>
      <c r="G10" s="4"/>
      <c r="H10" s="4"/>
      <c r="I10" s="4"/>
      <c r="J10" s="4"/>
      <c r="K10" s="9">
        <f t="shared" si="0"/>
        <v>0.6</v>
      </c>
      <c r="L10" s="18">
        <f t="shared" si="1"/>
        <v>3</v>
      </c>
      <c r="M10" s="2" t="s">
        <v>443</v>
      </c>
    </row>
    <row r="11" spans="1:13" ht="54">
      <c r="A11" s="4" t="s">
        <v>406</v>
      </c>
      <c r="B11" s="10"/>
      <c r="C11" s="17"/>
      <c r="D11" s="17">
        <v>3</v>
      </c>
      <c r="E11" s="17">
        <v>3</v>
      </c>
      <c r="F11" s="4"/>
      <c r="G11" s="4"/>
      <c r="H11" s="4"/>
      <c r="I11" s="4"/>
      <c r="J11" s="4"/>
      <c r="K11" s="9">
        <f t="shared" si="0"/>
        <v>0.6</v>
      </c>
      <c r="L11" s="18">
        <f t="shared" si="1"/>
        <v>3</v>
      </c>
      <c r="M11" s="2" t="s">
        <v>443</v>
      </c>
    </row>
    <row r="12" spans="1:13" ht="54">
      <c r="A12" s="4" t="s">
        <v>407</v>
      </c>
      <c r="B12" s="10"/>
      <c r="C12" s="17"/>
      <c r="D12" s="17">
        <v>5</v>
      </c>
      <c r="E12" s="17">
        <v>5</v>
      </c>
      <c r="F12" s="4"/>
      <c r="G12" s="4"/>
      <c r="H12" s="4"/>
      <c r="I12" s="4"/>
      <c r="J12" s="4"/>
      <c r="K12" s="9">
        <f t="shared" si="0"/>
        <v>1</v>
      </c>
      <c r="L12" s="18">
        <f t="shared" si="1"/>
        <v>5</v>
      </c>
      <c r="M12" s="2" t="s">
        <v>443</v>
      </c>
    </row>
    <row r="13" spans="1:13" ht="54">
      <c r="A13" s="4" t="s">
        <v>409</v>
      </c>
      <c r="B13" s="10"/>
      <c r="C13" s="17"/>
      <c r="D13" s="17">
        <v>5</v>
      </c>
      <c r="E13" s="17">
        <v>4</v>
      </c>
      <c r="F13" s="4"/>
      <c r="G13" s="4"/>
      <c r="H13" s="4"/>
      <c r="I13" s="4"/>
      <c r="J13" s="4"/>
      <c r="K13" s="9">
        <f t="shared" si="0"/>
        <v>0.9</v>
      </c>
      <c r="L13" s="18">
        <f t="shared" si="1"/>
        <v>5</v>
      </c>
      <c r="M13" s="2" t="s">
        <v>443</v>
      </c>
    </row>
    <row r="14" spans="1:13" ht="54">
      <c r="A14" s="4" t="s">
        <v>411</v>
      </c>
      <c r="B14" s="10"/>
      <c r="C14" s="17"/>
      <c r="D14" s="17">
        <v>2</v>
      </c>
      <c r="E14" s="17">
        <v>1</v>
      </c>
      <c r="F14" s="4"/>
      <c r="G14" s="4"/>
      <c r="H14" s="4"/>
      <c r="I14" s="4"/>
      <c r="J14" s="4"/>
      <c r="K14" s="9">
        <f t="shared" si="0"/>
        <v>0.30000000000000004</v>
      </c>
      <c r="L14" s="18">
        <f t="shared" si="1"/>
        <v>1</v>
      </c>
      <c r="M14" s="2" t="s">
        <v>443</v>
      </c>
    </row>
    <row r="15" spans="1:13" ht="54">
      <c r="A15" s="4" t="s">
        <v>412</v>
      </c>
      <c r="B15" s="10"/>
      <c r="C15" s="17"/>
      <c r="D15" s="17">
        <v>4</v>
      </c>
      <c r="E15" s="17">
        <v>4</v>
      </c>
      <c r="F15" s="4"/>
      <c r="G15" s="4"/>
      <c r="H15" s="4"/>
      <c r="I15" s="4"/>
      <c r="J15" s="4"/>
      <c r="K15" s="9">
        <f t="shared" si="0"/>
        <v>0.8</v>
      </c>
      <c r="L15" s="18">
        <f t="shared" si="1"/>
        <v>5</v>
      </c>
      <c r="M15" s="2" t="s">
        <v>443</v>
      </c>
    </row>
    <row r="16" spans="1:13">
      <c r="A16" s="4"/>
      <c r="B16" s="10"/>
      <c r="C16" s="17"/>
      <c r="D16" s="17"/>
      <c r="E16" s="17"/>
      <c r="F16" s="4"/>
      <c r="G16" s="4"/>
      <c r="H16" s="4"/>
      <c r="I16" s="4"/>
      <c r="J16" s="4"/>
      <c r="K16" s="9" t="str">
        <f t="shared" si="0"/>
        <v/>
      </c>
      <c r="L16" s="18" t="str">
        <f t="shared" si="1"/>
        <v/>
      </c>
      <c r="M16" s="2"/>
    </row>
    <row r="17" spans="1:13">
      <c r="A17" s="4"/>
      <c r="B17" s="10"/>
      <c r="C17" s="17"/>
      <c r="D17" s="17"/>
      <c r="E17" s="17"/>
      <c r="F17" s="4"/>
      <c r="G17" s="4"/>
      <c r="H17" s="4"/>
      <c r="I17" s="4"/>
      <c r="J17" s="4"/>
      <c r="K17" s="9" t="str">
        <f t="shared" si="0"/>
        <v/>
      </c>
      <c r="L17" s="18" t="str">
        <f t="shared" si="1"/>
        <v/>
      </c>
      <c r="M17" s="2"/>
    </row>
    <row r="18" spans="1:13">
      <c r="A18" s="4"/>
      <c r="B18" s="10"/>
      <c r="C18" s="17"/>
      <c r="D18" s="17"/>
      <c r="E18" s="17"/>
      <c r="F18" s="4"/>
      <c r="G18" s="4"/>
      <c r="H18" s="4"/>
      <c r="I18" s="4"/>
      <c r="J18" s="4"/>
      <c r="K18" s="9" t="str">
        <f t="shared" si="0"/>
        <v/>
      </c>
      <c r="L18" s="18" t="str">
        <f t="shared" si="1"/>
        <v/>
      </c>
      <c r="M18" s="2"/>
    </row>
    <row r="19" spans="1:13">
      <c r="A19" s="4"/>
      <c r="B19" s="10"/>
      <c r="C19" s="17"/>
      <c r="D19" s="17"/>
      <c r="E19" s="17"/>
      <c r="F19" s="4"/>
      <c r="G19" s="4"/>
      <c r="H19" s="4"/>
      <c r="I19" s="4"/>
      <c r="J19" s="4"/>
      <c r="K19" s="9" t="str">
        <f t="shared" si="0"/>
        <v/>
      </c>
      <c r="L19" s="18" t="str">
        <f t="shared" si="1"/>
        <v/>
      </c>
      <c r="M19" s="2"/>
    </row>
    <row r="20" spans="1:13">
      <c r="A20" s="4"/>
      <c r="B20" s="10"/>
      <c r="C20" s="17"/>
      <c r="D20" s="17"/>
      <c r="E20" s="17"/>
      <c r="F20" s="4"/>
      <c r="G20" s="4"/>
      <c r="H20" s="4"/>
      <c r="I20" s="4"/>
      <c r="J20" s="4"/>
      <c r="K20" s="9" t="str">
        <f t="shared" si="0"/>
        <v/>
      </c>
      <c r="L20" s="18" t="str">
        <f t="shared" si="1"/>
        <v/>
      </c>
      <c r="M20" s="2"/>
    </row>
    <row r="21" spans="1:13">
      <c r="A21" s="4"/>
      <c r="B21" s="10"/>
      <c r="C21" s="17"/>
      <c r="D21" s="17"/>
      <c r="E21" s="17"/>
      <c r="F21" s="4"/>
      <c r="G21" s="4"/>
      <c r="H21" s="4"/>
      <c r="I21" s="4"/>
      <c r="J21" s="4"/>
      <c r="K21" s="9" t="str">
        <f t="shared" si="0"/>
        <v/>
      </c>
      <c r="L21" s="18" t="str">
        <f t="shared" si="1"/>
        <v/>
      </c>
      <c r="M21" s="2"/>
    </row>
    <row r="22" spans="1:13">
      <c r="A22" s="4"/>
      <c r="B22" s="10"/>
      <c r="C22" s="17"/>
      <c r="D22" s="17"/>
      <c r="E22" s="17"/>
      <c r="F22" s="4"/>
      <c r="G22" s="4"/>
      <c r="H22" s="4"/>
      <c r="I22" s="4"/>
      <c r="J22" s="4"/>
      <c r="K22" s="9" t="str">
        <f t="shared" si="0"/>
        <v/>
      </c>
      <c r="L22" s="18" t="str">
        <f t="shared" si="1"/>
        <v/>
      </c>
      <c r="M22" s="2"/>
    </row>
    <row r="23" spans="1:13">
      <c r="A23" s="4"/>
      <c r="B23" s="10"/>
      <c r="C23" s="17"/>
      <c r="D23" s="17"/>
      <c r="E23" s="17"/>
      <c r="F23" s="4"/>
      <c r="G23" s="4"/>
      <c r="H23" s="4"/>
      <c r="I23" s="4"/>
      <c r="J23" s="4"/>
      <c r="K23" s="9" t="str">
        <f t="shared" si="0"/>
        <v/>
      </c>
      <c r="L23" s="18" t="str">
        <f t="shared" si="1"/>
        <v/>
      </c>
      <c r="M23" s="2"/>
    </row>
    <row r="24" spans="1:13">
      <c r="A24" s="4"/>
      <c r="B24" s="10"/>
      <c r="C24" s="17"/>
      <c r="D24" s="17"/>
      <c r="E24" s="17"/>
      <c r="F24" s="4"/>
      <c r="G24" s="4"/>
      <c r="H24" s="4"/>
      <c r="I24" s="4"/>
      <c r="J24" s="4"/>
      <c r="K24" s="9" t="str">
        <f t="shared" si="0"/>
        <v/>
      </c>
      <c r="L24" s="18" t="str">
        <f t="shared" si="1"/>
        <v/>
      </c>
      <c r="M24" s="2"/>
    </row>
    <row r="25" spans="1:13">
      <c r="A25" s="4"/>
      <c r="B25" s="10"/>
      <c r="C25" s="17"/>
      <c r="D25" s="17"/>
      <c r="E25" s="17"/>
      <c r="F25" s="4"/>
      <c r="G25" s="4"/>
      <c r="H25" s="4"/>
      <c r="I25" s="4"/>
      <c r="J25" s="4"/>
      <c r="K25" s="9" t="str">
        <f t="shared" si="0"/>
        <v/>
      </c>
      <c r="L25" s="18" t="str">
        <f t="shared" si="1"/>
        <v/>
      </c>
      <c r="M25" s="2"/>
    </row>
    <row r="26" spans="1:13">
      <c r="A26" s="4"/>
      <c r="B26" s="10"/>
      <c r="C26" s="17"/>
      <c r="D26" s="17"/>
      <c r="E26" s="17"/>
      <c r="F26" s="4"/>
      <c r="G26" s="4"/>
      <c r="H26" s="4"/>
      <c r="I26" s="4"/>
      <c r="J26" s="4"/>
      <c r="K26" s="9" t="str">
        <f t="shared" si="0"/>
        <v/>
      </c>
      <c r="L26" s="18" t="str">
        <f t="shared" si="1"/>
        <v/>
      </c>
      <c r="M26" s="2"/>
    </row>
    <row r="27" spans="1:13">
      <c r="A27" s="4"/>
      <c r="B27" s="10"/>
      <c r="C27" s="17"/>
      <c r="D27" s="17"/>
      <c r="E27" s="17"/>
      <c r="F27" s="4"/>
      <c r="G27" s="4"/>
      <c r="H27" s="4"/>
      <c r="I27" s="4"/>
      <c r="J27" s="4"/>
      <c r="K27" s="9" t="str">
        <f t="shared" si="0"/>
        <v/>
      </c>
      <c r="L27" s="18" t="str">
        <f t="shared" si="1"/>
        <v/>
      </c>
      <c r="M27" s="2"/>
    </row>
    <row r="28" spans="1:13">
      <c r="A28" s="4"/>
      <c r="B28" s="10"/>
      <c r="C28" s="17"/>
      <c r="D28" s="17"/>
      <c r="E28" s="17"/>
      <c r="F28" s="4"/>
      <c r="G28" s="4"/>
      <c r="H28" s="4"/>
      <c r="I28" s="4"/>
      <c r="J28" s="4"/>
      <c r="K28" s="9" t="str">
        <f t="shared" si="0"/>
        <v/>
      </c>
      <c r="L28" s="18" t="str">
        <f t="shared" si="1"/>
        <v/>
      </c>
      <c r="M28" s="2"/>
    </row>
    <row r="29" spans="1:13">
      <c r="A29" s="4"/>
      <c r="B29" s="10"/>
      <c r="C29" s="17"/>
      <c r="D29" s="17"/>
      <c r="E29" s="17"/>
      <c r="F29" s="4"/>
      <c r="G29" s="4"/>
      <c r="H29" s="4"/>
      <c r="I29" s="4"/>
      <c r="J29" s="4"/>
      <c r="K29" s="9" t="str">
        <f t="shared" si="0"/>
        <v/>
      </c>
      <c r="L29" s="18" t="str">
        <f t="shared" si="1"/>
        <v/>
      </c>
      <c r="M29" s="2"/>
    </row>
    <row r="30" spans="1:13">
      <c r="A30" s="4"/>
      <c r="B30" s="10"/>
      <c r="C30" s="17"/>
      <c r="D30" s="17"/>
      <c r="E30" s="17"/>
      <c r="F30" s="4"/>
      <c r="G30" s="4"/>
      <c r="H30" s="4"/>
      <c r="I30" s="4"/>
      <c r="J30" s="4"/>
      <c r="K30" s="9" t="str">
        <f t="shared" si="0"/>
        <v/>
      </c>
      <c r="L30" s="18" t="str">
        <f t="shared" si="1"/>
        <v/>
      </c>
      <c r="M30" s="2"/>
    </row>
    <row r="31" spans="1:13">
      <c r="A31" s="4"/>
      <c r="B31" s="10"/>
      <c r="C31" s="17"/>
      <c r="D31" s="17"/>
      <c r="E31" s="17"/>
      <c r="F31" s="4"/>
      <c r="G31" s="4"/>
      <c r="H31" s="4"/>
      <c r="I31" s="4"/>
      <c r="J31" s="4"/>
      <c r="K31" s="9" t="str">
        <f t="shared" si="0"/>
        <v/>
      </c>
      <c r="L31" s="18" t="str">
        <f t="shared" si="1"/>
        <v/>
      </c>
      <c r="M31" s="2"/>
    </row>
    <row r="32" spans="1:13">
      <c r="A32" s="4"/>
      <c r="B32" s="10"/>
      <c r="C32" s="17"/>
      <c r="D32" s="17"/>
      <c r="E32" s="17"/>
      <c r="F32" s="4"/>
      <c r="G32" s="4"/>
      <c r="H32" s="4"/>
      <c r="I32" s="4"/>
      <c r="J32" s="4"/>
      <c r="K32" s="9" t="str">
        <f t="shared" si="0"/>
        <v/>
      </c>
      <c r="L32" s="18" t="str">
        <f t="shared" si="1"/>
        <v/>
      </c>
      <c r="M32" s="2"/>
    </row>
    <row r="33" spans="1:13">
      <c r="A33" s="4"/>
      <c r="B33" s="10"/>
      <c r="C33" s="17"/>
      <c r="D33" s="17"/>
      <c r="E33" s="17"/>
      <c r="F33" s="4"/>
      <c r="G33" s="4"/>
      <c r="H33" s="4"/>
      <c r="I33" s="4"/>
      <c r="J33" s="4"/>
      <c r="K33" s="9" t="str">
        <f t="shared" si="0"/>
        <v/>
      </c>
      <c r="L33" s="18" t="str">
        <f t="shared" si="1"/>
        <v/>
      </c>
      <c r="M33" s="2"/>
    </row>
    <row r="36" spans="1:13" ht="17" customHeight="1">
      <c r="A36" s="1" t="s">
        <v>186</v>
      </c>
      <c r="B36" s="1" t="s">
        <v>57</v>
      </c>
      <c r="C36" s="1" t="s">
        <v>187</v>
      </c>
      <c r="D36" s="1" t="s">
        <v>114</v>
      </c>
    </row>
    <row r="37" spans="1:13">
      <c r="A37" t="s">
        <v>222</v>
      </c>
      <c r="B37" s="13">
        <f>AVERAGE(K4:K33)</f>
        <v>0.70000000000000007</v>
      </c>
      <c r="C37" t="str">
        <f>IF(B37&gt;=0.7,"высокая",IF(B37&gt;=0.4,"средняя","низкая"))</f>
        <v>высокая</v>
      </c>
      <c r="D37" t="s">
        <v>223</v>
      </c>
    </row>
    <row r="38" spans="1:13">
      <c r="A38" t="s">
        <v>224</v>
      </c>
      <c r="B38" s="13">
        <f>(COUNTIF(F4:F33,"да")+COUNTIF(G4:G33,"да"))/(2*COUNTA(A4:A33))</f>
        <v>0</v>
      </c>
      <c r="C38" t="str">
        <f>IF(B38&gt;=0.75,"высокая цифровая зрелость",IF(B38&gt;=0.35,"средняя цифровая зрелость","низкая цифровая зрелость"))</f>
        <v>низкая цифровая зрелость</v>
      </c>
      <c r="D38" t="s">
        <v>225</v>
      </c>
    </row>
  </sheetData>
  <mergeCells count="2">
    <mergeCell ref="A1:M1"/>
    <mergeCell ref="A2:M2"/>
  </mergeCells>
  <conditionalFormatting sqref="L4:L3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1">
    <dataValidation type="list" sqref="F4:G33" xr:uid="{00000000-0002-0000-0600-000000000000}">
      <formula1>"да,нет"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"/>
  <sheetViews>
    <sheetView workbookViewId="0"/>
  </sheetViews>
  <sheetFormatPr defaultRowHeight="13.5"/>
  <cols>
    <col min="1" max="2" width="28" customWidth="1"/>
    <col min="3" max="3" width="16" customWidth="1"/>
    <col min="4" max="4" width="14" customWidth="1"/>
    <col min="5" max="5" width="10" customWidth="1"/>
    <col min="6" max="6" width="14" customWidth="1"/>
    <col min="7" max="7" width="18" customWidth="1"/>
    <col min="8" max="9" width="42" customWidth="1"/>
  </cols>
  <sheetData>
    <row r="1" spans="1:9" ht="15" customHeight="1">
      <c r="A1" s="25" t="s">
        <v>226</v>
      </c>
      <c r="B1" s="25"/>
      <c r="C1" s="25"/>
      <c r="D1" s="25"/>
      <c r="E1" s="25"/>
      <c r="F1" s="25"/>
      <c r="G1" s="25"/>
      <c r="H1" s="25"/>
      <c r="I1" s="25"/>
    </row>
    <row r="2" spans="1:9" ht="16.05" customHeight="1">
      <c r="A2" s="26" t="s">
        <v>227</v>
      </c>
      <c r="B2" s="26"/>
      <c r="C2" s="26"/>
      <c r="D2" s="26"/>
      <c r="E2" s="26"/>
      <c r="F2" s="26"/>
      <c r="G2" s="26"/>
      <c r="H2" s="26"/>
      <c r="I2" s="26"/>
    </row>
    <row r="3" spans="1:9" ht="17" customHeight="1">
      <c r="A3" s="1" t="s">
        <v>228</v>
      </c>
      <c r="B3" s="1" t="s">
        <v>229</v>
      </c>
      <c r="C3" s="1" t="s">
        <v>57</v>
      </c>
      <c r="D3" s="1" t="s">
        <v>130</v>
      </c>
      <c r="E3" s="1" t="s">
        <v>230</v>
      </c>
      <c r="F3" s="1" t="s">
        <v>231</v>
      </c>
      <c r="G3" s="1" t="s">
        <v>232</v>
      </c>
      <c r="H3" s="1" t="s">
        <v>233</v>
      </c>
      <c r="I3" s="1" t="s">
        <v>234</v>
      </c>
    </row>
    <row r="4" spans="1:9" ht="27">
      <c r="A4" s="2" t="s">
        <v>235</v>
      </c>
      <c r="B4" s="2" t="s">
        <v>236</v>
      </c>
      <c r="C4" s="9">
        <f>'02_Конкуренты_SW'!B38</f>
        <v>0.52342571574197627</v>
      </c>
      <c r="D4" s="20">
        <f>IF(OR('02_Конкуренты_SW'!B38&gt;='01_Параметры'!B11,'02_Конкуренты_SW'!B40&gt;='01_Параметры'!B13),5,IF(OR('02_Конкуренты_SW'!B38&gt;='01_Параметры'!B11*0.65,'02_Конкуренты_SW'!B40&gt;='01_Параметры'!B13*0.65),3,1))</f>
        <v>3</v>
      </c>
      <c r="E4" s="21">
        <v>0.16</v>
      </c>
      <c r="F4" s="22">
        <f t="shared" ref="F4:F12" si="0">D4*E4</f>
        <v>0.48</v>
      </c>
      <c r="G4" s="2" t="str">
        <f t="shared" ref="G4:G12" si="1">IF(D4&gt;=5,"высокое",IF(D4&gt;=3,"среднее","низкое"))</f>
        <v>среднее</v>
      </c>
      <c r="H4" s="2" t="s">
        <v>237</v>
      </c>
      <c r="I4" s="2" t="s">
        <v>238</v>
      </c>
    </row>
    <row r="5" spans="1:9" ht="27">
      <c r="A5" s="2" t="s">
        <v>239</v>
      </c>
      <c r="B5" s="2" t="s">
        <v>240</v>
      </c>
      <c r="C5" s="9">
        <f>'03_Каналы_трафика'!C5</f>
        <v>0.33621024727914578</v>
      </c>
      <c r="D5" s="20">
        <f>'03_Каналы_трафика'!E5</f>
        <v>3</v>
      </c>
      <c r="E5" s="21">
        <v>0.12</v>
      </c>
      <c r="F5" s="22">
        <f t="shared" si="0"/>
        <v>0.36</v>
      </c>
      <c r="G5" s="2" t="str">
        <f t="shared" si="1"/>
        <v>среднее</v>
      </c>
      <c r="H5" s="2" t="s">
        <v>241</v>
      </c>
      <c r="I5" s="2" t="s">
        <v>242</v>
      </c>
    </row>
    <row r="6" spans="1:9" ht="27">
      <c r="A6" s="2" t="s">
        <v>243</v>
      </c>
      <c r="B6" s="2" t="s">
        <v>244</v>
      </c>
      <c r="C6" s="9">
        <f>AVERAGE('03_Каналы_трафика'!C6,'04_Поиск_реклама'!B37)</f>
        <v>4.40039542394247E-2</v>
      </c>
      <c r="D6" s="20">
        <f>IF(C6&gt;=0.6,5,IF(C6&gt;=0.35,3,1))</f>
        <v>1</v>
      </c>
      <c r="E6" s="21">
        <v>0.12</v>
      </c>
      <c r="F6" s="22">
        <f t="shared" si="0"/>
        <v>0.12</v>
      </c>
      <c r="G6" s="2" t="str">
        <f t="shared" si="1"/>
        <v>низкое</v>
      </c>
      <c r="H6" s="2" t="s">
        <v>245</v>
      </c>
      <c r="I6" s="2" t="s">
        <v>246</v>
      </c>
    </row>
    <row r="7" spans="1:9" ht="27">
      <c r="A7" s="2" t="s">
        <v>247</v>
      </c>
      <c r="B7" s="2" t="s">
        <v>248</v>
      </c>
      <c r="C7" s="9">
        <f>'03_Каналы_трафика'!C10</f>
        <v>0.42811271005849544</v>
      </c>
      <c r="D7" s="20">
        <f>'03_Каналы_трафика'!E10</f>
        <v>3</v>
      </c>
      <c r="E7" s="21">
        <v>0.12</v>
      </c>
      <c r="F7" s="22">
        <f t="shared" si="0"/>
        <v>0.36</v>
      </c>
      <c r="G7" s="2" t="str">
        <f t="shared" si="1"/>
        <v>среднее</v>
      </c>
      <c r="H7" s="2" t="s">
        <v>249</v>
      </c>
      <c r="I7" s="2" t="s">
        <v>250</v>
      </c>
    </row>
    <row r="8" spans="1:9" ht="54">
      <c r="A8" s="2" t="s">
        <v>251</v>
      </c>
      <c r="B8" s="2" t="s">
        <v>437</v>
      </c>
      <c r="C8" s="9">
        <f>IF(ISNUMBER('04_Поиск_реклама'!B37),'04_Поиск_реклама'!B37,AVERAGE(MIN('03_Каналы_трафика'!C5/'01_Параметры'!B15,1),MIN('03_Каналы_трафика'!C6/'01_Параметры'!B14,1)))</f>
        <v>0.48357682701983479</v>
      </c>
      <c r="D8" s="20">
        <f>IF(C8&gt;=0.7,5,IF(C8&gt;=0.4,3,1))</f>
        <v>3</v>
      </c>
      <c r="E8" s="21">
        <v>0.12</v>
      </c>
      <c r="F8" s="22">
        <f t="shared" si="0"/>
        <v>0.36</v>
      </c>
      <c r="G8" s="2" t="str">
        <f t="shared" si="1"/>
        <v>среднее</v>
      </c>
      <c r="H8" s="2" t="s">
        <v>252</v>
      </c>
      <c r="I8" s="2" t="s">
        <v>253</v>
      </c>
    </row>
    <row r="9" spans="1:9" ht="27">
      <c r="A9" s="2" t="s">
        <v>254</v>
      </c>
      <c r="B9" s="2" t="s">
        <v>255</v>
      </c>
      <c r="C9" s="9">
        <f>'05_Отзывы_рейтинги'!B37</f>
        <v>0.43351851851851847</v>
      </c>
      <c r="D9" s="20">
        <f>IF(C9&gt;=0.7,5,IF(C9&gt;=0.4,3,1))</f>
        <v>3</v>
      </c>
      <c r="E9" s="21">
        <v>0.12</v>
      </c>
      <c r="F9" s="22">
        <f t="shared" si="0"/>
        <v>0.36</v>
      </c>
      <c r="G9" s="2" t="str">
        <f t="shared" si="1"/>
        <v>среднее</v>
      </c>
      <c r="H9" s="2" t="s">
        <v>256</v>
      </c>
      <c r="I9" s="2" t="s">
        <v>257</v>
      </c>
    </row>
    <row r="10" spans="1:9" ht="40.5">
      <c r="A10" s="2" t="s">
        <v>258</v>
      </c>
      <c r="B10" s="2" t="s">
        <v>259</v>
      </c>
      <c r="C10" s="9">
        <f>'06_Технологии_финансы'!B37</f>
        <v>0.70000000000000007</v>
      </c>
      <c r="D10" s="20">
        <f>IF(C10&gt;=0.7,5,IF(C10&gt;=0.4,3,1))</f>
        <v>5</v>
      </c>
      <c r="E10" s="21">
        <v>0.12</v>
      </c>
      <c r="F10" s="22">
        <f t="shared" si="0"/>
        <v>0.6</v>
      </c>
      <c r="G10" s="2" t="str">
        <f t="shared" si="1"/>
        <v>высокое</v>
      </c>
      <c r="H10" s="2" t="s">
        <v>260</v>
      </c>
      <c r="I10" s="2" t="s">
        <v>261</v>
      </c>
    </row>
    <row r="11" spans="1:9" ht="54">
      <c r="A11" s="2" t="s">
        <v>262</v>
      </c>
      <c r="B11" s="2" t="s">
        <v>438</v>
      </c>
      <c r="C11" s="11">
        <v>0.6</v>
      </c>
      <c r="D11" s="22">
        <f>IF(C11&gt;=0.7,5,IF(C11&gt;=0.4,3,1))</f>
        <v>3</v>
      </c>
      <c r="E11" s="21">
        <v>0.08</v>
      </c>
      <c r="F11" s="22">
        <f t="shared" si="0"/>
        <v>0.24</v>
      </c>
      <c r="G11" s="2" t="str">
        <f t="shared" si="1"/>
        <v>среднее</v>
      </c>
      <c r="H11" s="2" t="s">
        <v>263</v>
      </c>
      <c r="I11" s="2" t="s">
        <v>264</v>
      </c>
    </row>
    <row r="12" spans="1:9" ht="40.5">
      <c r="A12" s="2" t="s">
        <v>265</v>
      </c>
      <c r="B12" s="2" t="s">
        <v>439</v>
      </c>
      <c r="C12" s="11">
        <f>IFERROR(1-SUMPRODUCT(('02_Конкуренты_SW'!B4:B33&lt;&gt;"")*(LEFT('02_Конкуренты_SW'!B4:B33,6)="прямой")*'02_Конкуренты_SW'!E4:E33)/SUM('02_Конкуренты_SW'!E4:E33),0)</f>
        <v>0.72802214851278546</v>
      </c>
      <c r="D12" s="22">
        <f>IF(C12&gt;=0.7,5,IF(C12&gt;=0.4,3,1))</f>
        <v>5</v>
      </c>
      <c r="E12" s="21">
        <v>0.08</v>
      </c>
      <c r="F12" s="22">
        <f t="shared" si="0"/>
        <v>0.4</v>
      </c>
      <c r="G12" s="2" t="str">
        <f t="shared" si="1"/>
        <v>высокое</v>
      </c>
      <c r="H12" s="2" t="s">
        <v>266</v>
      </c>
      <c r="I12" s="2" t="s">
        <v>267</v>
      </c>
    </row>
    <row r="13" spans="1:9" ht="40.5">
      <c r="A13" s="2" t="s">
        <v>268</v>
      </c>
      <c r="B13" s="2"/>
      <c r="C13" s="8">
        <f>F13</f>
        <v>3.1538461538461537</v>
      </c>
      <c r="D13" s="22">
        <f>C13</f>
        <v>3.1538461538461537</v>
      </c>
      <c r="E13" s="21">
        <v>1</v>
      </c>
      <c r="F13" s="22">
        <f>SUM(F4:F12)/SUM(E4:E12)</f>
        <v>3.1538461538461537</v>
      </c>
      <c r="G13" s="2" t="str">
        <f>IF(F13&gt;=4,"высокие барьеры",IF(F13&gt;=2.5,"средние барьеры","низкие барьеры"))</f>
        <v>средние барьеры</v>
      </c>
      <c r="H13" s="2" t="s">
        <v>440</v>
      </c>
      <c r="I13" s="2" t="s">
        <v>269</v>
      </c>
    </row>
  </sheetData>
  <mergeCells count="2">
    <mergeCell ref="A1:I1"/>
    <mergeCell ref="A2:I2"/>
  </mergeCells>
  <conditionalFormatting sqref="D4:D1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conditionalFormatting sqref="F4:F13">
    <cfRule type="colorScale" priority="2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"/>
  <sheetViews>
    <sheetView workbookViewId="0"/>
  </sheetViews>
  <sheetFormatPr defaultRowHeight="13.5"/>
  <cols>
    <col min="1" max="1" width="34" customWidth="1"/>
    <col min="2" max="2" width="20" customWidth="1"/>
    <col min="3" max="3" width="14" customWidth="1"/>
    <col min="4" max="4" width="60" customWidth="1"/>
    <col min="6" max="6" width="20" customWidth="1"/>
    <col min="7" max="12" width="14" customWidth="1"/>
  </cols>
  <sheetData>
    <row r="1" spans="1:12" ht="15" customHeight="1">
      <c r="A1" s="25" t="s">
        <v>270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6.05" customHeight="1">
      <c r="A2" s="26" t="s">
        <v>271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4" spans="1:12" ht="17" customHeight="1">
      <c r="A4" s="1" t="s">
        <v>272</v>
      </c>
      <c r="B4" s="1" t="s">
        <v>57</v>
      </c>
      <c r="C4" s="1" t="s">
        <v>58</v>
      </c>
      <c r="D4" s="1" t="s">
        <v>114</v>
      </c>
      <c r="F4" s="1" t="s">
        <v>273</v>
      </c>
      <c r="G4" s="1" t="s">
        <v>274</v>
      </c>
      <c r="H4" s="1" t="s">
        <v>230</v>
      </c>
      <c r="I4" s="1" t="s">
        <v>231</v>
      </c>
    </row>
    <row r="5" spans="1:12" ht="27">
      <c r="A5" s="2" t="s">
        <v>275</v>
      </c>
      <c r="B5" s="22">
        <f>'07_Барьеры_входа'!F13</f>
        <v>3.1538461538461537</v>
      </c>
      <c r="C5" s="2" t="s">
        <v>276</v>
      </c>
      <c r="D5" s="2" t="str">
        <f>IF(B5&gt;=4,"Рынок труден для входа: нужны ресурсы, нишевание или сильное отличие.",IF(B5&gt;=2.5,"Вход возможен, но требует проверки каналов и позиционирования.","Барьеры относительно низкие, но требуется проверка платежеспособности."))</f>
        <v>Вход возможен, но требует проверки каналов и позиционирования.</v>
      </c>
      <c r="F5" s="2" t="s">
        <v>235</v>
      </c>
      <c r="G5" s="22">
        <f>'07_Барьеры_входа'!D4</f>
        <v>3</v>
      </c>
      <c r="H5" s="22">
        <f>'07_Барьеры_входа'!E4</f>
        <v>0.16</v>
      </c>
      <c r="I5" s="22">
        <f>'07_Барьеры_входа'!F4</f>
        <v>0.48</v>
      </c>
    </row>
    <row r="6" spans="1:12">
      <c r="A6" s="2" t="s">
        <v>277</v>
      </c>
      <c r="B6" s="2" t="str">
        <f>'07_Барьеры_входа'!G13</f>
        <v>средние барьеры</v>
      </c>
      <c r="C6" s="2"/>
      <c r="D6" s="2"/>
      <c r="F6" s="2" t="s">
        <v>278</v>
      </c>
      <c r="G6" s="22">
        <f>'07_Барьеры_входа'!D5</f>
        <v>3</v>
      </c>
      <c r="H6" s="22">
        <f>'07_Барьеры_входа'!E5</f>
        <v>0.12</v>
      </c>
      <c r="I6" s="22">
        <f>'07_Барьеры_входа'!F5</f>
        <v>0.36</v>
      </c>
    </row>
    <row r="7" spans="1:12">
      <c r="A7" s="2" t="s">
        <v>279</v>
      </c>
      <c r="B7" s="8">
        <f>'02_Конкуренты_SW'!B38</f>
        <v>0.52342571574197627</v>
      </c>
      <c r="C7" s="2" t="s">
        <v>76</v>
      </c>
      <c r="D7" s="2" t="str">
        <f>IF(B7&gt;='01_Параметры'!B11,"Высокая концентрация лидеров",IF(B7&gt;='01_Параметры'!B11*0.65,"Средняя концентрация","Низкая концентрация"))</f>
        <v>Средняя концентрация</v>
      </c>
      <c r="F7" s="2" t="s">
        <v>280</v>
      </c>
      <c r="G7" s="22">
        <f>'07_Барьеры_входа'!D6</f>
        <v>1</v>
      </c>
      <c r="H7" s="22">
        <f>'07_Барьеры_входа'!E6</f>
        <v>0.12</v>
      </c>
      <c r="I7" s="22">
        <f>'07_Барьеры_входа'!F6</f>
        <v>0.12</v>
      </c>
    </row>
    <row r="8" spans="1:12">
      <c r="A8" s="2" t="s">
        <v>281</v>
      </c>
      <c r="B8" s="23">
        <f>'02_Конкуренты_SW'!B40</f>
        <v>1359.7074308568426</v>
      </c>
      <c r="C8" s="2" t="s">
        <v>81</v>
      </c>
      <c r="D8" s="2"/>
      <c r="F8" s="2" t="s">
        <v>167</v>
      </c>
      <c r="G8" s="22">
        <f>'07_Барьеры_входа'!D7</f>
        <v>3</v>
      </c>
      <c r="H8" s="22">
        <f>'07_Барьеры_входа'!E7</f>
        <v>0.12</v>
      </c>
      <c r="I8" s="22">
        <f>'07_Барьеры_входа'!F7</f>
        <v>0.36</v>
      </c>
    </row>
    <row r="9" spans="1:12">
      <c r="A9" s="2" t="s">
        <v>282</v>
      </c>
      <c r="B9" s="8" t="str">
        <f>'04_Поиск_реклама'!B37</f>
        <v>нет данных</v>
      </c>
      <c r="C9" s="2" t="s">
        <v>76</v>
      </c>
      <c r="D9" s="2"/>
      <c r="F9" s="2" t="s">
        <v>283</v>
      </c>
      <c r="G9" s="22">
        <f>'07_Барьеры_входа'!D8</f>
        <v>3</v>
      </c>
      <c r="H9" s="22">
        <f>'07_Барьеры_входа'!E8</f>
        <v>0.12</v>
      </c>
      <c r="I9" s="22">
        <f>'07_Барьеры_входа'!F8</f>
        <v>0.36</v>
      </c>
    </row>
    <row r="10" spans="1:12">
      <c r="A10" s="2" t="s">
        <v>207</v>
      </c>
      <c r="B10" s="8">
        <f>'05_Отзывы_рейтинги'!B37</f>
        <v>0.43351851851851847</v>
      </c>
      <c r="C10" s="2" t="s">
        <v>76</v>
      </c>
      <c r="D10" s="2"/>
      <c r="F10" s="2" t="s">
        <v>284</v>
      </c>
      <c r="G10" s="22">
        <f>'07_Барьеры_входа'!D9</f>
        <v>3</v>
      </c>
      <c r="H10" s="22">
        <f>'07_Барьеры_входа'!E9</f>
        <v>0.12</v>
      </c>
      <c r="I10" s="22">
        <f>'07_Барьеры_входа'!F9</f>
        <v>0.36</v>
      </c>
    </row>
    <row r="11" spans="1:12">
      <c r="A11" s="2" t="s">
        <v>222</v>
      </c>
      <c r="B11" s="8">
        <f>'06_Технологии_финансы'!B37</f>
        <v>0.70000000000000007</v>
      </c>
      <c r="C11" s="2" t="s">
        <v>76</v>
      </c>
      <c r="D11" s="2"/>
      <c r="F11" s="2" t="s">
        <v>285</v>
      </c>
      <c r="G11" s="22">
        <f>'07_Барьеры_входа'!D10</f>
        <v>5</v>
      </c>
      <c r="H11" s="22">
        <f>'07_Барьеры_входа'!E10</f>
        <v>0.12</v>
      </c>
      <c r="I11" s="22">
        <f>'07_Барьеры_входа'!F10</f>
        <v>0.6</v>
      </c>
    </row>
    <row r="12" spans="1:12">
      <c r="F12" s="2" t="s">
        <v>286</v>
      </c>
      <c r="G12" s="22">
        <f>'07_Барьеры_входа'!D11</f>
        <v>3</v>
      </c>
      <c r="H12" s="22">
        <f>'07_Барьеры_входа'!E11</f>
        <v>0.08</v>
      </c>
      <c r="I12" s="22">
        <f>'07_Барьеры_входа'!F11</f>
        <v>0.24</v>
      </c>
    </row>
    <row r="13" spans="1:12">
      <c r="F13" s="2" t="s">
        <v>287</v>
      </c>
      <c r="G13" s="22">
        <f>'07_Барьеры_входа'!D12</f>
        <v>5</v>
      </c>
      <c r="H13" s="22">
        <f>'07_Барьеры_входа'!E12</f>
        <v>0.08</v>
      </c>
      <c r="I13" s="22">
        <f>'07_Барьеры_входа'!F12</f>
        <v>0.4</v>
      </c>
    </row>
    <row r="14" spans="1:12" ht="14" customHeight="1">
      <c r="A14" s="27" t="s">
        <v>288</v>
      </c>
      <c r="B14" s="27"/>
      <c r="C14" s="27"/>
      <c r="D14" s="27"/>
    </row>
    <row r="15" spans="1:12">
      <c r="A15" s="29" t="str">
        <f>"По результатам оценки цифровой конкуренции индекс барьеров входа составляет "&amp;ROUND(B5,2)&amp;" из 5, что соответствует уровню: "&amp;B6&amp;". "&amp;"Наиболее значимые факторы давления определены по листу 07_Барьеры_входа. "&amp;"Данные Similarweb и альтернативных источников являются оценочной базой и требуют проверки "&amp;"через фактические коммерческие данные, цены, конверсии и платежеспособность клиентов."</f>
        <v>По результатам оценки цифровой конкуренции индекс барьеров входа составляет 3,15 из 5, что соответствует уровню: средние барьеры. Наиболее значимые факторы давления определены по листу 07_Барьеры_входа. Данные Similarweb и альтернативных источников являются оценочной базой и требуют проверки через фактические коммерческие данные, цены, конверсии и платежеспособность клиентов.</v>
      </c>
      <c r="B15" s="29"/>
      <c r="C15" s="29"/>
      <c r="D15" s="29"/>
    </row>
    <row r="16" spans="1:12">
      <c r="A16" s="29"/>
      <c r="B16" s="29"/>
      <c r="C16" s="29"/>
      <c r="D16" s="29"/>
    </row>
    <row r="17" spans="1:4">
      <c r="A17" s="29"/>
      <c r="B17" s="29"/>
      <c r="C17" s="29"/>
      <c r="D17" s="29"/>
    </row>
    <row r="18" spans="1:4">
      <c r="A18" s="29"/>
      <c r="B18" s="29"/>
      <c r="C18" s="29"/>
      <c r="D18" s="29"/>
    </row>
    <row r="19" spans="1:4">
      <c r="A19" s="29"/>
      <c r="B19" s="29"/>
      <c r="C19" s="29"/>
      <c r="D19" s="29"/>
    </row>
    <row r="20" spans="1:4">
      <c r="A20" s="29"/>
      <c r="B20" s="29"/>
      <c r="C20" s="29"/>
      <c r="D20" s="29"/>
    </row>
  </sheetData>
  <mergeCells count="4">
    <mergeCell ref="A1:L1"/>
    <mergeCell ref="A2:L2"/>
    <mergeCell ref="A14:D14"/>
    <mergeCell ref="A15:D2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9"/>
  <sheetViews>
    <sheetView workbookViewId="0"/>
  </sheetViews>
  <sheetFormatPr defaultRowHeight="13.5"/>
  <cols>
    <col min="1" max="1" width="24" customWidth="1"/>
    <col min="2" max="2" width="42" customWidth="1"/>
    <col min="3" max="3" width="48" customWidth="1"/>
    <col min="4" max="4" width="36" customWidth="1"/>
    <col min="5" max="5" width="32" customWidth="1"/>
    <col min="6" max="6" width="16" customWidth="1"/>
    <col min="7" max="7" width="44" customWidth="1"/>
  </cols>
  <sheetData>
    <row r="1" spans="1:7" ht="15" customHeight="1">
      <c r="A1" s="25" t="s">
        <v>289</v>
      </c>
      <c r="B1" s="25"/>
      <c r="C1" s="25"/>
      <c r="D1" s="25"/>
      <c r="E1" s="25"/>
      <c r="F1" s="25"/>
      <c r="G1" s="25"/>
    </row>
    <row r="2" spans="1:7" ht="16.05" customHeight="1">
      <c r="A2" s="26" t="s">
        <v>290</v>
      </c>
      <c r="B2" s="26"/>
      <c r="C2" s="26"/>
      <c r="D2" s="26"/>
      <c r="E2" s="26"/>
      <c r="F2" s="26"/>
      <c r="G2" s="26"/>
    </row>
    <row r="3" spans="1:7" ht="17" customHeight="1">
      <c r="A3" s="1" t="s">
        <v>133</v>
      </c>
      <c r="B3" s="1" t="s">
        <v>291</v>
      </c>
      <c r="C3" s="1" t="s">
        <v>292</v>
      </c>
      <c r="D3" s="1" t="s">
        <v>293</v>
      </c>
      <c r="E3" s="1" t="s">
        <v>294</v>
      </c>
      <c r="F3" s="1" t="s">
        <v>295</v>
      </c>
      <c r="G3" s="1" t="s">
        <v>296</v>
      </c>
    </row>
    <row r="4" spans="1:7" ht="27">
      <c r="A4" s="2" t="s">
        <v>138</v>
      </c>
      <c r="B4" s="2" t="s">
        <v>297</v>
      </c>
      <c r="C4" s="2" t="s">
        <v>298</v>
      </c>
      <c r="D4" s="2" t="s">
        <v>299</v>
      </c>
      <c r="E4" s="2" t="s">
        <v>300</v>
      </c>
      <c r="F4" s="24">
        <v>46298</v>
      </c>
      <c r="G4" s="2" t="s">
        <v>301</v>
      </c>
    </row>
    <row r="5" spans="1:7" ht="27">
      <c r="A5" s="2" t="s">
        <v>302</v>
      </c>
      <c r="B5" s="2" t="s">
        <v>303</v>
      </c>
      <c r="C5" s="2" t="s">
        <v>304</v>
      </c>
      <c r="D5" s="2" t="s">
        <v>305</v>
      </c>
      <c r="E5" s="2" t="s">
        <v>306</v>
      </c>
      <c r="F5" s="24">
        <v>46298</v>
      </c>
      <c r="G5" s="2" t="s">
        <v>445</v>
      </c>
    </row>
    <row r="6" spans="1:7" ht="27">
      <c r="A6" s="2" t="s">
        <v>307</v>
      </c>
      <c r="B6" s="2" t="s">
        <v>308</v>
      </c>
      <c r="C6" s="2" t="s">
        <v>309</v>
      </c>
      <c r="D6" s="2" t="s">
        <v>310</v>
      </c>
      <c r="E6" s="2" t="s">
        <v>311</v>
      </c>
      <c r="F6" s="24">
        <v>46298</v>
      </c>
      <c r="G6" s="2" t="s">
        <v>312</v>
      </c>
    </row>
    <row r="7" spans="1:7" ht="27">
      <c r="A7" s="2" t="s">
        <v>313</v>
      </c>
      <c r="B7" s="2" t="s">
        <v>314</v>
      </c>
      <c r="C7" s="2" t="s">
        <v>315</v>
      </c>
      <c r="D7" s="2" t="s">
        <v>316</v>
      </c>
      <c r="E7" s="2" t="s">
        <v>317</v>
      </c>
      <c r="F7" s="24">
        <v>46298</v>
      </c>
      <c r="G7" s="2" t="s">
        <v>318</v>
      </c>
    </row>
    <row r="8" spans="1:7">
      <c r="A8" s="2" t="s">
        <v>319</v>
      </c>
      <c r="B8" s="2" t="s">
        <v>320</v>
      </c>
      <c r="C8" s="2" t="s">
        <v>321</v>
      </c>
      <c r="D8" s="2" t="s">
        <v>322</v>
      </c>
      <c r="E8" s="2" t="s">
        <v>323</v>
      </c>
      <c r="F8" s="24">
        <v>46298</v>
      </c>
      <c r="G8" s="2" t="s">
        <v>324</v>
      </c>
    </row>
    <row r="9" spans="1:7">
      <c r="A9" s="2" t="s">
        <v>325</v>
      </c>
      <c r="B9" s="2" t="s">
        <v>326</v>
      </c>
      <c r="C9" s="2" t="s">
        <v>327</v>
      </c>
      <c r="D9" s="2" t="s">
        <v>328</v>
      </c>
      <c r="E9" s="2" t="s">
        <v>329</v>
      </c>
      <c r="F9" s="24">
        <v>46298</v>
      </c>
      <c r="G9" s="2" t="s">
        <v>330</v>
      </c>
    </row>
    <row r="10" spans="1:7">
      <c r="A10" s="2" t="s">
        <v>331</v>
      </c>
      <c r="B10" s="2" t="s">
        <v>332</v>
      </c>
      <c r="C10" s="2" t="s">
        <v>333</v>
      </c>
      <c r="D10" s="2" t="s">
        <v>334</v>
      </c>
      <c r="E10" s="2" t="s">
        <v>335</v>
      </c>
      <c r="F10" s="24">
        <v>46298</v>
      </c>
      <c r="G10" s="2" t="s">
        <v>336</v>
      </c>
    </row>
    <row r="11" spans="1:7">
      <c r="A11" s="2" t="s">
        <v>337</v>
      </c>
      <c r="B11" s="2" t="s">
        <v>338</v>
      </c>
      <c r="C11" s="2" t="s">
        <v>339</v>
      </c>
      <c r="D11" s="2" t="s">
        <v>340</v>
      </c>
      <c r="E11" s="2" t="s">
        <v>341</v>
      </c>
      <c r="F11" s="24">
        <v>46298</v>
      </c>
      <c r="G11" s="2" t="s">
        <v>342</v>
      </c>
    </row>
    <row r="12" spans="1:7">
      <c r="A12" s="2" t="s">
        <v>343</v>
      </c>
      <c r="B12" s="2" t="s">
        <v>344</v>
      </c>
      <c r="C12" s="2" t="s">
        <v>345</v>
      </c>
      <c r="D12" s="2" t="s">
        <v>340</v>
      </c>
      <c r="E12" s="2" t="s">
        <v>341</v>
      </c>
      <c r="F12" s="24">
        <v>46298</v>
      </c>
      <c r="G12" s="2" t="s">
        <v>346</v>
      </c>
    </row>
    <row r="13" spans="1:7">
      <c r="A13" s="2" t="s">
        <v>347</v>
      </c>
      <c r="B13" s="2" t="s">
        <v>348</v>
      </c>
      <c r="C13" s="2" t="s">
        <v>349</v>
      </c>
      <c r="D13" s="2" t="s">
        <v>350</v>
      </c>
      <c r="E13" s="2" t="s">
        <v>351</v>
      </c>
      <c r="F13" s="24">
        <v>46298</v>
      </c>
      <c r="G13" s="2" t="s">
        <v>352</v>
      </c>
    </row>
    <row r="14" spans="1:7" ht="27">
      <c r="A14" s="2" t="s">
        <v>353</v>
      </c>
      <c r="B14" s="2" t="s">
        <v>354</v>
      </c>
      <c r="C14" s="2" t="s">
        <v>355</v>
      </c>
      <c r="D14" s="2" t="s">
        <v>350</v>
      </c>
      <c r="E14" s="2" t="s">
        <v>356</v>
      </c>
      <c r="F14" s="24">
        <v>46298</v>
      </c>
      <c r="G14" s="2" t="s">
        <v>357</v>
      </c>
    </row>
    <row r="15" spans="1:7">
      <c r="A15" s="2" t="s">
        <v>358</v>
      </c>
      <c r="B15" s="2" t="s">
        <v>359</v>
      </c>
      <c r="C15" s="2" t="s">
        <v>360</v>
      </c>
      <c r="D15" s="2" t="s">
        <v>361</v>
      </c>
      <c r="E15" s="2" t="s">
        <v>356</v>
      </c>
      <c r="F15" s="24">
        <v>46298</v>
      </c>
      <c r="G15" s="2" t="s">
        <v>362</v>
      </c>
    </row>
    <row r="16" spans="1:7">
      <c r="A16" s="2" t="s">
        <v>363</v>
      </c>
      <c r="B16" s="2" t="s">
        <v>364</v>
      </c>
      <c r="C16" s="2" t="s">
        <v>365</v>
      </c>
      <c r="D16" s="2" t="s">
        <v>366</v>
      </c>
      <c r="E16" s="2" t="s">
        <v>356</v>
      </c>
      <c r="F16" s="24">
        <v>46298</v>
      </c>
      <c r="G16" s="2" t="s">
        <v>367</v>
      </c>
    </row>
    <row r="17" spans="1:7">
      <c r="A17" s="2" t="s">
        <v>368</v>
      </c>
      <c r="B17" s="2" t="s">
        <v>369</v>
      </c>
      <c r="C17" s="2" t="s">
        <v>370</v>
      </c>
      <c r="D17" s="2" t="s">
        <v>371</v>
      </c>
      <c r="E17" s="2" t="s">
        <v>372</v>
      </c>
      <c r="F17" s="24">
        <v>46298</v>
      </c>
      <c r="G17" s="2" t="s">
        <v>373</v>
      </c>
    </row>
    <row r="18" spans="1:7" ht="27">
      <c r="A18" s="2" t="s">
        <v>374</v>
      </c>
      <c r="B18" s="2" t="s">
        <v>375</v>
      </c>
      <c r="C18" s="2" t="s">
        <v>376</v>
      </c>
      <c r="D18" s="2" t="s">
        <v>377</v>
      </c>
      <c r="E18" s="2" t="s">
        <v>378</v>
      </c>
      <c r="F18" s="24">
        <v>46298</v>
      </c>
      <c r="G18" s="2" t="s">
        <v>379</v>
      </c>
    </row>
    <row r="19" spans="1:7" ht="27">
      <c r="A19" s="2" t="s">
        <v>380</v>
      </c>
      <c r="B19" s="2" t="s">
        <v>381</v>
      </c>
      <c r="C19" s="2" t="s">
        <v>382</v>
      </c>
      <c r="D19" s="2" t="s">
        <v>383</v>
      </c>
      <c r="E19" s="2" t="s">
        <v>384</v>
      </c>
      <c r="F19" s="24">
        <v>46298</v>
      </c>
      <c r="G19" s="2" t="s">
        <v>385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00_Методика</vt:lpstr>
      <vt:lpstr>01_Параметры</vt:lpstr>
      <vt:lpstr>02_Конкуренты_SW</vt:lpstr>
      <vt:lpstr>03_Каналы_трафика</vt:lpstr>
      <vt:lpstr>04_Поиск_реклама</vt:lpstr>
      <vt:lpstr>05_Отзывы_рейтинги</vt:lpstr>
      <vt:lpstr>06_Технологии_финансы</vt:lpstr>
      <vt:lpstr>07_Барьеры_входа</vt:lpstr>
      <vt:lpstr>08_Дашборд</vt:lpstr>
      <vt:lpstr>09_Источники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Р. В. Земляник</dc:creator>
  <cp:lastModifiedBy>К. А. Хаджинова</cp:lastModifiedBy>
  <dcterms:created xsi:type="dcterms:W3CDTF">2026-10-03T06:20:04Z</dcterms:created>
  <dcterms:modified xsi:type="dcterms:W3CDTF">2026-10-03T18:44:05Z</dcterms:modified>
</cp:coreProperties>
</file>